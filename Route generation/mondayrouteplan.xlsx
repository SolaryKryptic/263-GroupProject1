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been\engsci263\"/>
    </mc:Choice>
  </mc:AlternateContent>
  <xr:revisionPtr revIDLastSave="0" documentId="8_{07A2513F-E6C0-451F-A1DD-7F2D84814DF5}" xr6:coauthVersionLast="47" xr6:coauthVersionMax="47" xr10:uidLastSave="{00000000-0000-0000-0000-000000000000}"/>
  <bookViews>
    <workbookView xWindow="-108" yWindow="-108" windowWidth="23256" windowHeight="13176" xr2:uid="{25811B88-A053-414A-86E2-C0A40604BCBD}"/>
  </bookViews>
  <sheets>
    <sheet name="monday_model.lp" sheetId="2" r:id="rId1"/>
    <sheet name="Sheet1" sheetId="1" r:id="rId2"/>
  </sheets>
  <definedNames>
    <definedName name="Constraint_0" localSheetId="0" hidden="1">monday_model.lp!$C$6:$EDE$6</definedName>
    <definedName name="Constraint_0_LHS" localSheetId="0" hidden="1">monday_model.lp!$EDG$6</definedName>
    <definedName name="Constraint_0_RHS" localSheetId="0" hidden="1">monday_model.lp!$EDI$6</definedName>
    <definedName name="Constraint_0_Sense" localSheetId="0" hidden="1">monday_model.lp!$EDH$6</definedName>
    <definedName name="Constraint_1" localSheetId="0" hidden="1">monday_model.lp!$C$7:$EDE$7</definedName>
    <definedName name="Constraint_1_LHS" localSheetId="0" hidden="1">monday_model.lp!$EDG$7</definedName>
    <definedName name="Constraint_1_RHS" localSheetId="0" hidden="1">monday_model.lp!$EDI$7</definedName>
    <definedName name="Constraint_1_Sense" localSheetId="0" hidden="1">monday_model.lp!$EDH$7</definedName>
    <definedName name="Constraint_10" localSheetId="0" hidden="1">monday_model.lp!$C$16:$EDE$16</definedName>
    <definedName name="Constraint_10_LHS" localSheetId="0" hidden="1">monday_model.lp!$EDG$16</definedName>
    <definedName name="Constraint_10_RHS" localSheetId="0" hidden="1">monday_model.lp!$EDI$16</definedName>
    <definedName name="Constraint_10_Sense" localSheetId="0" hidden="1">monday_model.lp!$EDH$16</definedName>
    <definedName name="Constraint_100" localSheetId="0" hidden="1">monday_model.lp!$C$106:$EDE$106</definedName>
    <definedName name="Constraint_100_LHS" localSheetId="0" hidden="1">monday_model.lp!$EDG$106</definedName>
    <definedName name="Constraint_100_RHS" localSheetId="0" hidden="1">monday_model.lp!$EDI$106</definedName>
    <definedName name="Constraint_100_Sense" localSheetId="0" hidden="1">monday_model.lp!$EDH$106</definedName>
    <definedName name="Constraint_1000" localSheetId="0" hidden="1">monday_model.lp!$C$1006:$EDE$1006</definedName>
    <definedName name="Constraint_1000_LHS" localSheetId="0" hidden="1">monday_model.lp!$EDG$1006</definedName>
    <definedName name="Constraint_1000_RHS" localSheetId="0" hidden="1">monday_model.lp!$EDI$1006</definedName>
    <definedName name="Constraint_1000_Sense" localSheetId="0" hidden="1">monday_model.lp!$EDH$1006</definedName>
    <definedName name="Constraint_1001" localSheetId="0" hidden="1">monday_model.lp!$C$1007:$EDE$1007</definedName>
    <definedName name="Constraint_1001_LHS" localSheetId="0" hidden="1">monday_model.lp!$EDG$1007</definedName>
    <definedName name="Constraint_1001_RHS" localSheetId="0" hidden="1">monday_model.lp!$EDI$1007</definedName>
    <definedName name="Constraint_1001_Sense" localSheetId="0" hidden="1">monday_model.lp!$EDH$1007</definedName>
    <definedName name="Constraint_1002" localSheetId="0" hidden="1">monday_model.lp!$C$1008:$EDE$1008</definedName>
    <definedName name="Constraint_1002_LHS" localSheetId="0" hidden="1">monday_model.lp!$EDG$1008</definedName>
    <definedName name="Constraint_1002_RHS" localSheetId="0" hidden="1">monday_model.lp!$EDI$1008</definedName>
    <definedName name="Constraint_1002_Sense" localSheetId="0" hidden="1">monday_model.lp!$EDH$1008</definedName>
    <definedName name="Constraint_1003" localSheetId="0" hidden="1">monday_model.lp!$C$1009:$EDE$1009</definedName>
    <definedName name="Constraint_1003_LHS" localSheetId="0" hidden="1">monday_model.lp!$EDG$1009</definedName>
    <definedName name="Constraint_1003_RHS" localSheetId="0" hidden="1">monday_model.lp!$EDI$1009</definedName>
    <definedName name="Constraint_1003_Sense" localSheetId="0" hidden="1">monday_model.lp!$EDH$1009</definedName>
    <definedName name="Constraint_1004" localSheetId="0" hidden="1">monday_model.lp!$C$1010:$EDE$1010</definedName>
    <definedName name="Constraint_1004_LHS" localSheetId="0" hidden="1">monday_model.lp!$EDG$1010</definedName>
    <definedName name="Constraint_1004_RHS" localSheetId="0" hidden="1">monday_model.lp!$EDI$1010</definedName>
    <definedName name="Constraint_1004_Sense" localSheetId="0" hidden="1">monday_model.lp!$EDH$1010</definedName>
    <definedName name="Constraint_1005" localSheetId="0" hidden="1">monday_model.lp!$C$1011:$EDE$1011</definedName>
    <definedName name="Constraint_1005_LHS" localSheetId="0" hidden="1">monday_model.lp!$EDG$1011</definedName>
    <definedName name="Constraint_1005_RHS" localSheetId="0" hidden="1">monday_model.lp!$EDI$1011</definedName>
    <definedName name="Constraint_1005_Sense" localSheetId="0" hidden="1">monday_model.lp!$EDH$1011</definedName>
    <definedName name="Constraint_1006" localSheetId="0" hidden="1">monday_model.lp!$C$1012:$EDE$1012</definedName>
    <definedName name="Constraint_1006_LHS" localSheetId="0" hidden="1">monday_model.lp!$EDG$1012</definedName>
    <definedName name="Constraint_1006_RHS" localSheetId="0" hidden="1">monday_model.lp!$EDI$1012</definedName>
    <definedName name="Constraint_1006_Sense" localSheetId="0" hidden="1">monday_model.lp!$EDH$1012</definedName>
    <definedName name="Constraint_1007" localSheetId="0" hidden="1">monday_model.lp!$C$1013:$EDE$1013</definedName>
    <definedName name="Constraint_1007_LHS" localSheetId="0" hidden="1">monday_model.lp!$EDG$1013</definedName>
    <definedName name="Constraint_1007_RHS" localSheetId="0" hidden="1">monday_model.lp!$EDI$1013</definedName>
    <definedName name="Constraint_1007_Sense" localSheetId="0" hidden="1">monday_model.lp!$EDH$1013</definedName>
    <definedName name="Constraint_1008" localSheetId="0" hidden="1">monday_model.lp!$C$1014:$EDE$1014</definedName>
    <definedName name="Constraint_1008_LHS" localSheetId="0" hidden="1">monday_model.lp!$EDG$1014</definedName>
    <definedName name="Constraint_1008_RHS" localSheetId="0" hidden="1">monday_model.lp!$EDI$1014</definedName>
    <definedName name="Constraint_1008_Sense" localSheetId="0" hidden="1">monday_model.lp!$EDH$1014</definedName>
    <definedName name="Constraint_1009" localSheetId="0" hidden="1">monday_model.lp!$C$1015:$EDE$1015</definedName>
    <definedName name="Constraint_1009_LHS" localSheetId="0" hidden="1">monday_model.lp!$EDG$1015</definedName>
    <definedName name="Constraint_1009_RHS" localSheetId="0" hidden="1">monday_model.lp!$EDI$1015</definedName>
    <definedName name="Constraint_1009_Sense" localSheetId="0" hidden="1">monday_model.lp!$EDH$1015</definedName>
    <definedName name="Constraint_101" localSheetId="0" hidden="1">monday_model.lp!$C$107:$EDE$107</definedName>
    <definedName name="Constraint_101_LHS" localSheetId="0" hidden="1">monday_model.lp!$EDG$107</definedName>
    <definedName name="Constraint_101_RHS" localSheetId="0" hidden="1">monday_model.lp!$EDI$107</definedName>
    <definedName name="Constraint_101_Sense" localSheetId="0" hidden="1">monday_model.lp!$EDH$107</definedName>
    <definedName name="Constraint_1010" localSheetId="0" hidden="1">monday_model.lp!$C$1016:$EDE$1016</definedName>
    <definedName name="Constraint_1010_LHS" localSheetId="0" hidden="1">monday_model.lp!$EDG$1016</definedName>
    <definedName name="Constraint_1010_RHS" localSheetId="0" hidden="1">monday_model.lp!$EDI$1016</definedName>
    <definedName name="Constraint_1010_Sense" localSheetId="0" hidden="1">monday_model.lp!$EDH$1016</definedName>
    <definedName name="Constraint_1011" localSheetId="0" hidden="1">monday_model.lp!$C$1017:$EDE$1017</definedName>
    <definedName name="Constraint_1011_LHS" localSheetId="0" hidden="1">monday_model.lp!$EDG$1017</definedName>
    <definedName name="Constraint_1011_RHS" localSheetId="0" hidden="1">monday_model.lp!$EDI$1017</definedName>
    <definedName name="Constraint_1011_Sense" localSheetId="0" hidden="1">monday_model.lp!$EDH$1017</definedName>
    <definedName name="Constraint_1012" localSheetId="0" hidden="1">monday_model.lp!$C$1018:$EDE$1018</definedName>
    <definedName name="Constraint_1012_LHS" localSheetId="0" hidden="1">monday_model.lp!$EDG$1018</definedName>
    <definedName name="Constraint_1012_RHS" localSheetId="0" hidden="1">monday_model.lp!$EDI$1018</definedName>
    <definedName name="Constraint_1012_Sense" localSheetId="0" hidden="1">monday_model.lp!$EDH$1018</definedName>
    <definedName name="Constraint_1013" localSheetId="0" hidden="1">monday_model.lp!$C$1019:$EDE$1019</definedName>
    <definedName name="Constraint_1013_LHS" localSheetId="0" hidden="1">monday_model.lp!$EDG$1019</definedName>
    <definedName name="Constraint_1013_RHS" localSheetId="0" hidden="1">monday_model.lp!$EDI$1019</definedName>
    <definedName name="Constraint_1013_Sense" localSheetId="0" hidden="1">monday_model.lp!$EDH$1019</definedName>
    <definedName name="Constraint_1014" localSheetId="0" hidden="1">monday_model.lp!$C$1020:$EDE$1020</definedName>
    <definedName name="Constraint_1014_LHS" localSheetId="0" hidden="1">monday_model.lp!$EDG$1020</definedName>
    <definedName name="Constraint_1014_RHS" localSheetId="0" hidden="1">monday_model.lp!$EDI$1020</definedName>
    <definedName name="Constraint_1014_Sense" localSheetId="0" hidden="1">monday_model.lp!$EDH$1020</definedName>
    <definedName name="Constraint_1015" localSheetId="0" hidden="1">monday_model.lp!$C$1021:$EDE$1021</definedName>
    <definedName name="Constraint_1015_LHS" localSheetId="0" hidden="1">monday_model.lp!$EDG$1021</definedName>
    <definedName name="Constraint_1015_RHS" localSheetId="0" hidden="1">monday_model.lp!$EDI$1021</definedName>
    <definedName name="Constraint_1015_Sense" localSheetId="0" hidden="1">monday_model.lp!$EDH$1021</definedName>
    <definedName name="Constraint_1016" localSheetId="0" hidden="1">monday_model.lp!$C$1022:$EDE$1022</definedName>
    <definedName name="Constraint_1016_LHS" localSheetId="0" hidden="1">monday_model.lp!$EDG$1022</definedName>
    <definedName name="Constraint_1016_RHS" localSheetId="0" hidden="1">monday_model.lp!$EDI$1022</definedName>
    <definedName name="Constraint_1016_Sense" localSheetId="0" hidden="1">monday_model.lp!$EDH$1022</definedName>
    <definedName name="Constraint_1017" localSheetId="0" hidden="1">monday_model.lp!$C$1023:$EDE$1023</definedName>
    <definedName name="Constraint_1017_LHS" localSheetId="0" hidden="1">monday_model.lp!$EDG$1023</definedName>
    <definedName name="Constraint_1017_RHS" localSheetId="0" hidden="1">monday_model.lp!$EDI$1023</definedName>
    <definedName name="Constraint_1017_Sense" localSheetId="0" hidden="1">monday_model.lp!$EDH$1023</definedName>
    <definedName name="Constraint_1018" localSheetId="0" hidden="1">monday_model.lp!$C$1024:$EDE$1024</definedName>
    <definedName name="Constraint_1018_LHS" localSheetId="0" hidden="1">monday_model.lp!$EDG$1024</definedName>
    <definedName name="Constraint_1018_RHS" localSheetId="0" hidden="1">monday_model.lp!$EDI$1024</definedName>
    <definedName name="Constraint_1018_Sense" localSheetId="0" hidden="1">monday_model.lp!$EDH$1024</definedName>
    <definedName name="Constraint_1019" localSheetId="0" hidden="1">monday_model.lp!$C$1025:$EDE$1025</definedName>
    <definedName name="Constraint_1019_LHS" localSheetId="0" hidden="1">monday_model.lp!$EDG$1025</definedName>
    <definedName name="Constraint_1019_RHS" localSheetId="0" hidden="1">monday_model.lp!$EDI$1025</definedName>
    <definedName name="Constraint_1019_Sense" localSheetId="0" hidden="1">monday_model.lp!$EDH$1025</definedName>
    <definedName name="Constraint_102" localSheetId="0" hidden="1">monday_model.lp!$C$108:$EDE$108</definedName>
    <definedName name="Constraint_102_LHS" localSheetId="0" hidden="1">monday_model.lp!$EDG$108</definedName>
    <definedName name="Constraint_102_RHS" localSheetId="0" hidden="1">monday_model.lp!$EDI$108</definedName>
    <definedName name="Constraint_102_Sense" localSheetId="0" hidden="1">monday_model.lp!$EDH$108</definedName>
    <definedName name="Constraint_1020" localSheetId="0" hidden="1">monday_model.lp!$C$1026:$EDE$1026</definedName>
    <definedName name="Constraint_1020_LHS" localSheetId="0" hidden="1">monday_model.lp!$EDG$1026</definedName>
    <definedName name="Constraint_1020_RHS" localSheetId="0" hidden="1">monday_model.lp!$EDI$1026</definedName>
    <definedName name="Constraint_1020_Sense" localSheetId="0" hidden="1">monday_model.lp!$EDH$1026</definedName>
    <definedName name="Constraint_1021" localSheetId="0" hidden="1">monday_model.lp!$C$1027:$EDE$1027</definedName>
    <definedName name="Constraint_1021_LHS" localSheetId="0" hidden="1">monday_model.lp!$EDG$1027</definedName>
    <definedName name="Constraint_1021_RHS" localSheetId="0" hidden="1">monday_model.lp!$EDI$1027</definedName>
    <definedName name="Constraint_1021_Sense" localSheetId="0" hidden="1">monday_model.lp!$EDH$1027</definedName>
    <definedName name="Constraint_1022" localSheetId="0" hidden="1">monday_model.lp!$C$1028:$EDE$1028</definedName>
    <definedName name="Constraint_1022_LHS" localSheetId="0" hidden="1">monday_model.lp!$EDG$1028</definedName>
    <definedName name="Constraint_1022_RHS" localSheetId="0" hidden="1">monday_model.lp!$EDI$1028</definedName>
    <definedName name="Constraint_1022_Sense" localSheetId="0" hidden="1">monday_model.lp!$EDH$1028</definedName>
    <definedName name="Constraint_1023" localSheetId="0" hidden="1">monday_model.lp!$C$1029:$EDE$1029</definedName>
    <definedName name="Constraint_1023_LHS" localSheetId="0" hidden="1">monday_model.lp!$EDG$1029</definedName>
    <definedName name="Constraint_1023_RHS" localSheetId="0" hidden="1">monday_model.lp!$EDI$1029</definedName>
    <definedName name="Constraint_1023_Sense" localSheetId="0" hidden="1">monday_model.lp!$EDH$1029</definedName>
    <definedName name="Constraint_1024" localSheetId="0" hidden="1">monday_model.lp!$C$1030:$EDE$1030</definedName>
    <definedName name="Constraint_1024_LHS" localSheetId="0" hidden="1">monday_model.lp!$EDG$1030</definedName>
    <definedName name="Constraint_1024_RHS" localSheetId="0" hidden="1">monday_model.lp!$EDI$1030</definedName>
    <definedName name="Constraint_1024_Sense" localSheetId="0" hidden="1">monday_model.lp!$EDH$1030</definedName>
    <definedName name="Constraint_1025" localSheetId="0" hidden="1">monday_model.lp!$C$1031:$EDE$1031</definedName>
    <definedName name="Constraint_1025_LHS" localSheetId="0" hidden="1">monday_model.lp!$EDG$1031</definedName>
    <definedName name="Constraint_1025_RHS" localSheetId="0" hidden="1">monday_model.lp!$EDI$1031</definedName>
    <definedName name="Constraint_1025_Sense" localSheetId="0" hidden="1">monday_model.lp!$EDH$1031</definedName>
    <definedName name="Constraint_1026" localSheetId="0" hidden="1">monday_model.lp!$C$1032:$EDE$1032</definedName>
    <definedName name="Constraint_1026_LHS" localSheetId="0" hidden="1">monday_model.lp!$EDG$1032</definedName>
    <definedName name="Constraint_1026_RHS" localSheetId="0" hidden="1">monday_model.lp!$EDI$1032</definedName>
    <definedName name="Constraint_1026_Sense" localSheetId="0" hidden="1">monday_model.lp!$EDH$1032</definedName>
    <definedName name="Constraint_1027" localSheetId="0" hidden="1">monday_model.lp!$C$1033:$EDE$1033</definedName>
    <definedName name="Constraint_1027_LHS" localSheetId="0" hidden="1">monday_model.lp!$EDG$1033</definedName>
    <definedName name="Constraint_1027_RHS" localSheetId="0" hidden="1">monday_model.lp!$EDI$1033</definedName>
    <definedName name="Constraint_1027_Sense" localSheetId="0" hidden="1">monday_model.lp!$EDH$1033</definedName>
    <definedName name="Constraint_1028" localSheetId="0" hidden="1">monday_model.lp!$C$1034:$EDE$1034</definedName>
    <definedName name="Constraint_1028_LHS" localSheetId="0" hidden="1">monday_model.lp!$EDG$1034</definedName>
    <definedName name="Constraint_1028_RHS" localSheetId="0" hidden="1">monday_model.lp!$EDI$1034</definedName>
    <definedName name="Constraint_1028_Sense" localSheetId="0" hidden="1">monday_model.lp!$EDH$1034</definedName>
    <definedName name="Constraint_1029" localSheetId="0" hidden="1">monday_model.lp!$C$1035:$EDE$1035</definedName>
    <definedName name="Constraint_1029_LHS" localSheetId="0" hidden="1">monday_model.lp!$EDG$1035</definedName>
    <definedName name="Constraint_1029_RHS" localSheetId="0" hidden="1">monday_model.lp!$EDI$1035</definedName>
    <definedName name="Constraint_1029_Sense" localSheetId="0" hidden="1">monday_model.lp!$EDH$1035</definedName>
    <definedName name="Constraint_103" localSheetId="0" hidden="1">monday_model.lp!$C$109:$EDE$109</definedName>
    <definedName name="Constraint_103_LHS" localSheetId="0" hidden="1">monday_model.lp!$EDG$109</definedName>
    <definedName name="Constraint_103_RHS" localSheetId="0" hidden="1">monday_model.lp!$EDI$109</definedName>
    <definedName name="Constraint_103_Sense" localSheetId="0" hidden="1">monday_model.lp!$EDH$109</definedName>
    <definedName name="Constraint_1030" localSheetId="0" hidden="1">monday_model.lp!$C$1036:$EDE$1036</definedName>
    <definedName name="Constraint_1030_LHS" localSheetId="0" hidden="1">monday_model.lp!$EDG$1036</definedName>
    <definedName name="Constraint_1030_RHS" localSheetId="0" hidden="1">monday_model.lp!$EDI$1036</definedName>
    <definedName name="Constraint_1030_Sense" localSheetId="0" hidden="1">monday_model.lp!$EDH$1036</definedName>
    <definedName name="Constraint_1031" localSheetId="0" hidden="1">monday_model.lp!$C$1037:$EDE$1037</definedName>
    <definedName name="Constraint_1031_LHS" localSheetId="0" hidden="1">monday_model.lp!$EDG$1037</definedName>
    <definedName name="Constraint_1031_RHS" localSheetId="0" hidden="1">monday_model.lp!$EDI$1037</definedName>
    <definedName name="Constraint_1031_Sense" localSheetId="0" hidden="1">monday_model.lp!$EDH$1037</definedName>
    <definedName name="Constraint_1032" localSheetId="0" hidden="1">monday_model.lp!$C$1038:$EDE$1038</definedName>
    <definedName name="Constraint_1032_LHS" localSheetId="0" hidden="1">monday_model.lp!$EDG$1038</definedName>
    <definedName name="Constraint_1032_RHS" localSheetId="0" hidden="1">monday_model.lp!$EDI$1038</definedName>
    <definedName name="Constraint_1032_Sense" localSheetId="0" hidden="1">monday_model.lp!$EDH$1038</definedName>
    <definedName name="Constraint_1033" localSheetId="0" hidden="1">monday_model.lp!$C$1039:$EDE$1039</definedName>
    <definedName name="Constraint_1033_LHS" localSheetId="0" hidden="1">monday_model.lp!$EDG$1039</definedName>
    <definedName name="Constraint_1033_RHS" localSheetId="0" hidden="1">monday_model.lp!$EDI$1039</definedName>
    <definedName name="Constraint_1033_Sense" localSheetId="0" hidden="1">monday_model.lp!$EDH$1039</definedName>
    <definedName name="Constraint_1034" localSheetId="0" hidden="1">monday_model.lp!$C$1040:$EDE$1040</definedName>
    <definedName name="Constraint_1034_LHS" localSheetId="0" hidden="1">monday_model.lp!$EDG$1040</definedName>
    <definedName name="Constraint_1034_RHS" localSheetId="0" hidden="1">monday_model.lp!$EDI$1040</definedName>
    <definedName name="Constraint_1034_Sense" localSheetId="0" hidden="1">monday_model.lp!$EDH$1040</definedName>
    <definedName name="Constraint_1035" localSheetId="0" hidden="1">monday_model.lp!$C$1041:$EDE$1041</definedName>
    <definedName name="Constraint_1035_LHS" localSheetId="0" hidden="1">monday_model.lp!$EDG$1041</definedName>
    <definedName name="Constraint_1035_RHS" localSheetId="0" hidden="1">monday_model.lp!$EDI$1041</definedName>
    <definedName name="Constraint_1035_Sense" localSheetId="0" hidden="1">monday_model.lp!$EDH$1041</definedName>
    <definedName name="Constraint_1036" localSheetId="0" hidden="1">monday_model.lp!$C$1042:$EDE$1042</definedName>
    <definedName name="Constraint_1036_LHS" localSheetId="0" hidden="1">monday_model.lp!$EDG$1042</definedName>
    <definedName name="Constraint_1036_RHS" localSheetId="0" hidden="1">monday_model.lp!$EDI$1042</definedName>
    <definedName name="Constraint_1036_Sense" localSheetId="0" hidden="1">monday_model.lp!$EDH$1042</definedName>
    <definedName name="Constraint_1037" localSheetId="0" hidden="1">monday_model.lp!$C$1043:$EDE$1043</definedName>
    <definedName name="Constraint_1037_LHS" localSheetId="0" hidden="1">monday_model.lp!$EDG$1043</definedName>
    <definedName name="Constraint_1037_RHS" localSheetId="0" hidden="1">monday_model.lp!$EDI$1043</definedName>
    <definedName name="Constraint_1037_Sense" localSheetId="0" hidden="1">monday_model.lp!$EDH$1043</definedName>
    <definedName name="Constraint_1038" localSheetId="0" hidden="1">monday_model.lp!$C$1044:$EDE$1044</definedName>
    <definedName name="Constraint_1038_LHS" localSheetId="0" hidden="1">monday_model.lp!$EDG$1044</definedName>
    <definedName name="Constraint_1038_RHS" localSheetId="0" hidden="1">monday_model.lp!$EDI$1044</definedName>
    <definedName name="Constraint_1038_Sense" localSheetId="0" hidden="1">monday_model.lp!$EDH$1044</definedName>
    <definedName name="Constraint_1039" localSheetId="0" hidden="1">monday_model.lp!$C$1045:$EDE$1045</definedName>
    <definedName name="Constraint_1039_LHS" localSheetId="0" hidden="1">monday_model.lp!$EDG$1045</definedName>
    <definedName name="Constraint_1039_RHS" localSheetId="0" hidden="1">monday_model.lp!$EDI$1045</definedName>
    <definedName name="Constraint_1039_Sense" localSheetId="0" hidden="1">monday_model.lp!$EDH$1045</definedName>
    <definedName name="Constraint_104" localSheetId="0" hidden="1">monday_model.lp!$C$110:$EDE$110</definedName>
    <definedName name="Constraint_104_LHS" localSheetId="0" hidden="1">monday_model.lp!$EDG$110</definedName>
    <definedName name="Constraint_104_RHS" localSheetId="0" hidden="1">monday_model.lp!$EDI$110</definedName>
    <definedName name="Constraint_104_Sense" localSheetId="0" hidden="1">monday_model.lp!$EDH$110</definedName>
    <definedName name="Constraint_1040" localSheetId="0" hidden="1">monday_model.lp!$C$1046:$EDE$1046</definedName>
    <definedName name="Constraint_1040_LHS" localSheetId="0" hidden="1">monday_model.lp!$EDG$1046</definedName>
    <definedName name="Constraint_1040_RHS" localSheetId="0" hidden="1">monday_model.lp!$EDI$1046</definedName>
    <definedName name="Constraint_1040_Sense" localSheetId="0" hidden="1">monday_model.lp!$EDH$1046</definedName>
    <definedName name="Constraint_1041" localSheetId="0" hidden="1">monday_model.lp!$C$1047:$EDE$1047</definedName>
    <definedName name="Constraint_1041_LHS" localSheetId="0" hidden="1">monday_model.lp!$EDG$1047</definedName>
    <definedName name="Constraint_1041_RHS" localSheetId="0" hidden="1">monday_model.lp!$EDI$1047</definedName>
    <definedName name="Constraint_1041_Sense" localSheetId="0" hidden="1">monday_model.lp!$EDH$1047</definedName>
    <definedName name="Constraint_1042" localSheetId="0" hidden="1">monday_model.lp!$C$1048:$EDE$1048</definedName>
    <definedName name="Constraint_1042_LHS" localSheetId="0" hidden="1">monday_model.lp!$EDG$1048</definedName>
    <definedName name="Constraint_1042_RHS" localSheetId="0" hidden="1">monday_model.lp!$EDI$1048</definedName>
    <definedName name="Constraint_1042_Sense" localSheetId="0" hidden="1">monday_model.lp!$EDH$1048</definedName>
    <definedName name="Constraint_1043" localSheetId="0" hidden="1">monday_model.lp!$C$1049:$EDE$1049</definedName>
    <definedName name="Constraint_1043_LHS" localSheetId="0" hidden="1">monday_model.lp!$EDG$1049</definedName>
    <definedName name="Constraint_1043_RHS" localSheetId="0" hidden="1">monday_model.lp!$EDI$1049</definedName>
    <definedName name="Constraint_1043_Sense" localSheetId="0" hidden="1">monday_model.lp!$EDH$1049</definedName>
    <definedName name="Constraint_1044" localSheetId="0" hidden="1">monday_model.lp!$C$1050:$EDE$1050</definedName>
    <definedName name="Constraint_1044_LHS" localSheetId="0" hidden="1">monday_model.lp!$EDG$1050</definedName>
    <definedName name="Constraint_1044_RHS" localSheetId="0" hidden="1">monday_model.lp!$EDI$1050</definedName>
    <definedName name="Constraint_1044_Sense" localSheetId="0" hidden="1">monday_model.lp!$EDH$1050</definedName>
    <definedName name="Constraint_1045" localSheetId="0" hidden="1">monday_model.lp!$C$1051:$EDE$1051</definedName>
    <definedName name="Constraint_1045_LHS" localSheetId="0" hidden="1">monday_model.lp!$EDG$1051</definedName>
    <definedName name="Constraint_1045_RHS" localSheetId="0" hidden="1">monday_model.lp!$EDI$1051</definedName>
    <definedName name="Constraint_1045_Sense" localSheetId="0" hidden="1">monday_model.lp!$EDH$1051</definedName>
    <definedName name="Constraint_1046" localSheetId="0" hidden="1">monday_model.lp!$C$1052:$EDE$1052</definedName>
    <definedName name="Constraint_1046_LHS" localSheetId="0" hidden="1">monday_model.lp!$EDG$1052</definedName>
    <definedName name="Constraint_1046_RHS" localSheetId="0" hidden="1">monday_model.lp!$EDI$1052</definedName>
    <definedName name="Constraint_1046_Sense" localSheetId="0" hidden="1">monday_model.lp!$EDH$1052</definedName>
    <definedName name="Constraint_1047" localSheetId="0" hidden="1">monday_model.lp!$C$1053:$EDE$1053</definedName>
    <definedName name="Constraint_1047_LHS" localSheetId="0" hidden="1">monday_model.lp!$EDG$1053</definedName>
    <definedName name="Constraint_1047_RHS" localSheetId="0" hidden="1">monday_model.lp!$EDI$1053</definedName>
    <definedName name="Constraint_1047_Sense" localSheetId="0" hidden="1">monday_model.lp!$EDH$1053</definedName>
    <definedName name="Constraint_1048" localSheetId="0" hidden="1">monday_model.lp!$C$1054:$EDE$1054</definedName>
    <definedName name="Constraint_1048_LHS" localSheetId="0" hidden="1">monday_model.lp!$EDG$1054</definedName>
    <definedName name="Constraint_1048_RHS" localSheetId="0" hidden="1">monday_model.lp!$EDI$1054</definedName>
    <definedName name="Constraint_1048_Sense" localSheetId="0" hidden="1">monday_model.lp!$EDH$1054</definedName>
    <definedName name="Constraint_1049" localSheetId="0" hidden="1">monday_model.lp!$C$1055:$EDE$1055</definedName>
    <definedName name="Constraint_1049_LHS" localSheetId="0" hidden="1">monday_model.lp!$EDG$1055</definedName>
    <definedName name="Constraint_1049_RHS" localSheetId="0" hidden="1">monday_model.lp!$EDI$1055</definedName>
    <definedName name="Constraint_1049_Sense" localSheetId="0" hidden="1">monday_model.lp!$EDH$1055</definedName>
    <definedName name="Constraint_105" localSheetId="0" hidden="1">monday_model.lp!$C$111:$EDE$111</definedName>
    <definedName name="Constraint_105_LHS" localSheetId="0" hidden="1">monday_model.lp!$EDG$111</definedName>
    <definedName name="Constraint_105_RHS" localSheetId="0" hidden="1">monday_model.lp!$EDI$111</definedName>
    <definedName name="Constraint_105_Sense" localSheetId="0" hidden="1">monday_model.lp!$EDH$111</definedName>
    <definedName name="Constraint_1050" localSheetId="0" hidden="1">monday_model.lp!$C$1056:$EDE$1056</definedName>
    <definedName name="Constraint_1050_LHS" localSheetId="0" hidden="1">monday_model.lp!$EDG$1056</definedName>
    <definedName name="Constraint_1050_RHS" localSheetId="0" hidden="1">monday_model.lp!$EDI$1056</definedName>
    <definedName name="Constraint_1050_Sense" localSheetId="0" hidden="1">monday_model.lp!$EDH$1056</definedName>
    <definedName name="Constraint_1051" localSheetId="0" hidden="1">monday_model.lp!$C$1057:$EDE$1057</definedName>
    <definedName name="Constraint_1051_LHS" localSheetId="0" hidden="1">monday_model.lp!$EDG$1057</definedName>
    <definedName name="Constraint_1051_RHS" localSheetId="0" hidden="1">monday_model.lp!$EDI$1057</definedName>
    <definedName name="Constraint_1051_Sense" localSheetId="0" hidden="1">monday_model.lp!$EDH$1057</definedName>
    <definedName name="Constraint_1052" localSheetId="0" hidden="1">monday_model.lp!$C$1058:$EDE$1058</definedName>
    <definedName name="Constraint_1052_LHS" localSheetId="0" hidden="1">monday_model.lp!$EDG$1058</definedName>
    <definedName name="Constraint_1052_RHS" localSheetId="0" hidden="1">monday_model.lp!$EDI$1058</definedName>
    <definedName name="Constraint_1052_Sense" localSheetId="0" hidden="1">monday_model.lp!$EDH$1058</definedName>
    <definedName name="Constraint_1053" localSheetId="0" hidden="1">monday_model.lp!$C$1059:$EDE$1059</definedName>
    <definedName name="Constraint_1053_LHS" localSheetId="0" hidden="1">monday_model.lp!$EDG$1059</definedName>
    <definedName name="Constraint_1053_RHS" localSheetId="0" hidden="1">monday_model.lp!$EDI$1059</definedName>
    <definedName name="Constraint_1053_Sense" localSheetId="0" hidden="1">monday_model.lp!$EDH$1059</definedName>
    <definedName name="Constraint_1054" localSheetId="0" hidden="1">monday_model.lp!$C$1060:$EDE$1060</definedName>
    <definedName name="Constraint_1054_LHS" localSheetId="0" hidden="1">monday_model.lp!$EDG$1060</definedName>
    <definedName name="Constraint_1054_RHS" localSheetId="0" hidden="1">monday_model.lp!$EDI$1060</definedName>
    <definedName name="Constraint_1054_Sense" localSheetId="0" hidden="1">monday_model.lp!$EDH$1060</definedName>
    <definedName name="Constraint_1055" localSheetId="0" hidden="1">monday_model.lp!$C$1061:$EDE$1061</definedName>
    <definedName name="Constraint_1055_LHS" localSheetId="0" hidden="1">monday_model.lp!$EDG$1061</definedName>
    <definedName name="Constraint_1055_RHS" localSheetId="0" hidden="1">monday_model.lp!$EDI$1061</definedName>
    <definedName name="Constraint_1055_Sense" localSheetId="0" hidden="1">monday_model.lp!$EDH$1061</definedName>
    <definedName name="Constraint_1056" localSheetId="0" hidden="1">monday_model.lp!$C$1062:$EDE$1062</definedName>
    <definedName name="Constraint_1056_LHS" localSheetId="0" hidden="1">monday_model.lp!$EDG$1062</definedName>
    <definedName name="Constraint_1056_RHS" localSheetId="0" hidden="1">monday_model.lp!$EDI$1062</definedName>
    <definedName name="Constraint_1056_Sense" localSheetId="0" hidden="1">monday_model.lp!$EDH$1062</definedName>
    <definedName name="Constraint_1057" localSheetId="0" hidden="1">monday_model.lp!$C$1063:$EDE$1063</definedName>
    <definedName name="Constraint_1057_LHS" localSheetId="0" hidden="1">monday_model.lp!$EDG$1063</definedName>
    <definedName name="Constraint_1057_RHS" localSheetId="0" hidden="1">monday_model.lp!$EDI$1063</definedName>
    <definedName name="Constraint_1057_Sense" localSheetId="0" hidden="1">monday_model.lp!$EDH$1063</definedName>
    <definedName name="Constraint_1058" localSheetId="0" hidden="1">monday_model.lp!$C$1064:$EDE$1064</definedName>
    <definedName name="Constraint_1058_LHS" localSheetId="0" hidden="1">monday_model.lp!$EDG$1064</definedName>
    <definedName name="Constraint_1058_RHS" localSheetId="0" hidden="1">monday_model.lp!$EDI$1064</definedName>
    <definedName name="Constraint_1058_Sense" localSheetId="0" hidden="1">monday_model.lp!$EDH$1064</definedName>
    <definedName name="Constraint_1059" localSheetId="0" hidden="1">monday_model.lp!$C$1065:$EDE$1065</definedName>
    <definedName name="Constraint_1059_LHS" localSheetId="0" hidden="1">monday_model.lp!$EDG$1065</definedName>
    <definedName name="Constraint_1059_RHS" localSheetId="0" hidden="1">monday_model.lp!$EDI$1065</definedName>
    <definedName name="Constraint_1059_Sense" localSheetId="0" hidden="1">monday_model.lp!$EDH$1065</definedName>
    <definedName name="Constraint_106" localSheetId="0" hidden="1">monday_model.lp!$C$112:$EDE$112</definedName>
    <definedName name="Constraint_106_LHS" localSheetId="0" hidden="1">monday_model.lp!$EDG$112</definedName>
    <definedName name="Constraint_106_RHS" localSheetId="0" hidden="1">monday_model.lp!$EDI$112</definedName>
    <definedName name="Constraint_106_Sense" localSheetId="0" hidden="1">monday_model.lp!$EDH$112</definedName>
    <definedName name="Constraint_1060" localSheetId="0" hidden="1">monday_model.lp!$C$1066:$EDE$1066</definedName>
    <definedName name="Constraint_1060_LHS" localSheetId="0" hidden="1">monday_model.lp!$EDG$1066</definedName>
    <definedName name="Constraint_1060_RHS" localSheetId="0" hidden="1">monday_model.lp!$EDI$1066</definedName>
    <definedName name="Constraint_1060_Sense" localSheetId="0" hidden="1">monday_model.lp!$EDH$1066</definedName>
    <definedName name="Constraint_1061" localSheetId="0" hidden="1">monday_model.lp!$C$1067:$EDE$1067</definedName>
    <definedName name="Constraint_1061_LHS" localSheetId="0" hidden="1">monday_model.lp!$EDG$1067</definedName>
    <definedName name="Constraint_1061_RHS" localSheetId="0" hidden="1">monday_model.lp!$EDI$1067</definedName>
    <definedName name="Constraint_1061_Sense" localSheetId="0" hidden="1">monday_model.lp!$EDH$1067</definedName>
    <definedName name="Constraint_1062" localSheetId="0" hidden="1">monday_model.lp!$C$1068:$EDE$1068</definedName>
    <definedName name="Constraint_1062_LHS" localSheetId="0" hidden="1">monday_model.lp!$EDG$1068</definedName>
    <definedName name="Constraint_1062_RHS" localSheetId="0" hidden="1">monday_model.lp!$EDI$1068</definedName>
    <definedName name="Constraint_1062_Sense" localSheetId="0" hidden="1">monday_model.lp!$EDH$1068</definedName>
    <definedName name="Constraint_1063" localSheetId="0" hidden="1">monday_model.lp!$C$1069:$EDE$1069</definedName>
    <definedName name="Constraint_1063_LHS" localSheetId="0" hidden="1">monday_model.lp!$EDG$1069</definedName>
    <definedName name="Constraint_1063_RHS" localSheetId="0" hidden="1">monday_model.lp!$EDI$1069</definedName>
    <definedName name="Constraint_1063_Sense" localSheetId="0" hidden="1">monday_model.lp!$EDH$1069</definedName>
    <definedName name="Constraint_1064" localSheetId="0" hidden="1">monday_model.lp!$C$1070:$EDE$1070</definedName>
    <definedName name="Constraint_1064_LHS" localSheetId="0" hidden="1">monday_model.lp!$EDG$1070</definedName>
    <definedName name="Constraint_1064_RHS" localSheetId="0" hidden="1">monday_model.lp!$EDI$1070</definedName>
    <definedName name="Constraint_1064_Sense" localSheetId="0" hidden="1">monday_model.lp!$EDH$1070</definedName>
    <definedName name="Constraint_1065" localSheetId="0" hidden="1">monday_model.lp!$C$1071:$EDE$1071</definedName>
    <definedName name="Constraint_1065_LHS" localSheetId="0" hidden="1">monday_model.lp!$EDG$1071</definedName>
    <definedName name="Constraint_1065_RHS" localSheetId="0" hidden="1">monday_model.lp!$EDI$1071</definedName>
    <definedName name="Constraint_1065_Sense" localSheetId="0" hidden="1">monday_model.lp!$EDH$1071</definedName>
    <definedName name="Constraint_1066" localSheetId="0" hidden="1">monday_model.lp!$C$1072:$EDE$1072</definedName>
    <definedName name="Constraint_1066_LHS" localSheetId="0" hidden="1">monday_model.lp!$EDG$1072</definedName>
    <definedName name="Constraint_1066_RHS" localSheetId="0" hidden="1">monday_model.lp!$EDI$1072</definedName>
    <definedName name="Constraint_1066_Sense" localSheetId="0" hidden="1">monday_model.lp!$EDH$1072</definedName>
    <definedName name="Constraint_1067" localSheetId="0" hidden="1">monday_model.lp!$C$1073:$EDE$1073</definedName>
    <definedName name="Constraint_1067_LHS" localSheetId="0" hidden="1">monday_model.lp!$EDG$1073</definedName>
    <definedName name="Constraint_1067_RHS" localSheetId="0" hidden="1">monday_model.lp!$EDI$1073</definedName>
    <definedName name="Constraint_1067_Sense" localSheetId="0" hidden="1">monday_model.lp!$EDH$1073</definedName>
    <definedName name="Constraint_1068" localSheetId="0" hidden="1">monday_model.lp!$C$1074:$EDE$1074</definedName>
    <definedName name="Constraint_1068_LHS" localSheetId="0" hidden="1">monday_model.lp!$EDG$1074</definedName>
    <definedName name="Constraint_1068_RHS" localSheetId="0" hidden="1">monday_model.lp!$EDI$1074</definedName>
    <definedName name="Constraint_1068_Sense" localSheetId="0" hidden="1">monday_model.lp!$EDH$1074</definedName>
    <definedName name="Constraint_1069" localSheetId="0" hidden="1">monday_model.lp!$C$1075:$EDE$1075</definedName>
    <definedName name="Constraint_1069_LHS" localSheetId="0" hidden="1">monday_model.lp!$EDG$1075</definedName>
    <definedName name="Constraint_1069_RHS" localSheetId="0" hidden="1">monday_model.lp!$EDI$1075</definedName>
    <definedName name="Constraint_1069_Sense" localSheetId="0" hidden="1">monday_model.lp!$EDH$1075</definedName>
    <definedName name="Constraint_107" localSheetId="0" hidden="1">monday_model.lp!$C$113:$EDE$113</definedName>
    <definedName name="Constraint_107_LHS" localSheetId="0" hidden="1">monday_model.lp!$EDG$113</definedName>
    <definedName name="Constraint_107_RHS" localSheetId="0" hidden="1">monday_model.lp!$EDI$113</definedName>
    <definedName name="Constraint_107_Sense" localSheetId="0" hidden="1">monday_model.lp!$EDH$113</definedName>
    <definedName name="Constraint_1070" localSheetId="0" hidden="1">monday_model.lp!$C$1076:$EDE$1076</definedName>
    <definedName name="Constraint_1070_LHS" localSheetId="0" hidden="1">monday_model.lp!$EDG$1076</definedName>
    <definedName name="Constraint_1070_RHS" localSheetId="0" hidden="1">monday_model.lp!$EDI$1076</definedName>
    <definedName name="Constraint_1070_Sense" localSheetId="0" hidden="1">monday_model.lp!$EDH$1076</definedName>
    <definedName name="Constraint_1071" localSheetId="0" hidden="1">monday_model.lp!$C$1077:$EDE$1077</definedName>
    <definedName name="Constraint_1071_LHS" localSheetId="0" hidden="1">monday_model.lp!$EDG$1077</definedName>
    <definedName name="Constraint_1071_RHS" localSheetId="0" hidden="1">monday_model.lp!$EDI$1077</definedName>
    <definedName name="Constraint_1071_Sense" localSheetId="0" hidden="1">monday_model.lp!$EDH$1077</definedName>
    <definedName name="Constraint_1072" localSheetId="0" hidden="1">monday_model.lp!$C$1078:$EDE$1078</definedName>
    <definedName name="Constraint_1072_LHS" localSheetId="0" hidden="1">monday_model.lp!$EDG$1078</definedName>
    <definedName name="Constraint_1072_RHS" localSheetId="0" hidden="1">monday_model.lp!$EDI$1078</definedName>
    <definedName name="Constraint_1072_Sense" localSheetId="0" hidden="1">monday_model.lp!$EDH$1078</definedName>
    <definedName name="Constraint_1073" localSheetId="0" hidden="1">monday_model.lp!$C$1079:$EDE$1079</definedName>
    <definedName name="Constraint_1073_LHS" localSheetId="0" hidden="1">monday_model.lp!$EDG$1079</definedName>
    <definedName name="Constraint_1073_RHS" localSheetId="0" hidden="1">monday_model.lp!$EDI$1079</definedName>
    <definedName name="Constraint_1073_Sense" localSheetId="0" hidden="1">monday_model.lp!$EDH$1079</definedName>
    <definedName name="Constraint_1074" localSheetId="0" hidden="1">monday_model.lp!$C$1080:$EDE$1080</definedName>
    <definedName name="Constraint_1074_LHS" localSheetId="0" hidden="1">monday_model.lp!$EDG$1080</definedName>
    <definedName name="Constraint_1074_RHS" localSheetId="0" hidden="1">monday_model.lp!$EDI$1080</definedName>
    <definedName name="Constraint_1074_Sense" localSheetId="0" hidden="1">monday_model.lp!$EDH$1080</definedName>
    <definedName name="Constraint_1075" localSheetId="0" hidden="1">monday_model.lp!$C$1081:$EDE$1081</definedName>
    <definedName name="Constraint_1075_LHS" localSheetId="0" hidden="1">monday_model.lp!$EDG$1081</definedName>
    <definedName name="Constraint_1075_RHS" localSheetId="0" hidden="1">monday_model.lp!$EDI$1081</definedName>
    <definedName name="Constraint_1075_Sense" localSheetId="0" hidden="1">monday_model.lp!$EDH$1081</definedName>
    <definedName name="Constraint_1076" localSheetId="0" hidden="1">monday_model.lp!$C$1082:$EDE$1082</definedName>
    <definedName name="Constraint_1076_LHS" localSheetId="0" hidden="1">monday_model.lp!$EDG$1082</definedName>
    <definedName name="Constraint_1076_RHS" localSheetId="0" hidden="1">monday_model.lp!$EDI$1082</definedName>
    <definedName name="Constraint_1076_Sense" localSheetId="0" hidden="1">monday_model.lp!$EDH$1082</definedName>
    <definedName name="Constraint_1077" localSheetId="0" hidden="1">monday_model.lp!$C$1083:$EDE$1083</definedName>
    <definedName name="Constraint_1077_LHS" localSheetId="0" hidden="1">monday_model.lp!$EDG$1083</definedName>
    <definedName name="Constraint_1077_RHS" localSheetId="0" hidden="1">monday_model.lp!$EDI$1083</definedName>
    <definedName name="Constraint_1077_Sense" localSheetId="0" hidden="1">monday_model.lp!$EDH$1083</definedName>
    <definedName name="Constraint_1078" localSheetId="0" hidden="1">monday_model.lp!$C$1084:$EDE$1084</definedName>
    <definedName name="Constraint_1078_LHS" localSheetId="0" hidden="1">monday_model.lp!$EDG$1084</definedName>
    <definedName name="Constraint_1078_RHS" localSheetId="0" hidden="1">monday_model.lp!$EDI$1084</definedName>
    <definedName name="Constraint_1078_Sense" localSheetId="0" hidden="1">monday_model.lp!$EDH$1084</definedName>
    <definedName name="Constraint_1079" localSheetId="0" hidden="1">monday_model.lp!$C$1085:$EDE$1085</definedName>
    <definedName name="Constraint_1079_LHS" localSheetId="0" hidden="1">monday_model.lp!$EDG$1085</definedName>
    <definedName name="Constraint_1079_RHS" localSheetId="0" hidden="1">monday_model.lp!$EDI$1085</definedName>
    <definedName name="Constraint_1079_Sense" localSheetId="0" hidden="1">monday_model.lp!$EDH$1085</definedName>
    <definedName name="Constraint_108" localSheetId="0" hidden="1">monday_model.lp!$C$114:$EDE$114</definedName>
    <definedName name="Constraint_108_LHS" localSheetId="0" hidden="1">monday_model.lp!$EDG$114</definedName>
    <definedName name="Constraint_108_RHS" localSheetId="0" hidden="1">monday_model.lp!$EDI$114</definedName>
    <definedName name="Constraint_108_Sense" localSheetId="0" hidden="1">monday_model.lp!$EDH$114</definedName>
    <definedName name="Constraint_1080" localSheetId="0" hidden="1">monday_model.lp!$C$1086:$EDE$1086</definedName>
    <definedName name="Constraint_1080_LHS" localSheetId="0" hidden="1">monday_model.lp!$EDG$1086</definedName>
    <definedName name="Constraint_1080_RHS" localSheetId="0" hidden="1">monday_model.lp!$EDI$1086</definedName>
    <definedName name="Constraint_1080_Sense" localSheetId="0" hidden="1">monday_model.lp!$EDH$1086</definedName>
    <definedName name="Constraint_1081" localSheetId="0" hidden="1">monday_model.lp!$C$1087:$EDE$1087</definedName>
    <definedName name="Constraint_1081_LHS" localSheetId="0" hidden="1">monday_model.lp!$EDG$1087</definedName>
    <definedName name="Constraint_1081_RHS" localSheetId="0" hidden="1">monday_model.lp!$EDI$1087</definedName>
    <definedName name="Constraint_1081_Sense" localSheetId="0" hidden="1">monday_model.lp!$EDH$1087</definedName>
    <definedName name="Constraint_1082" localSheetId="0" hidden="1">monday_model.lp!$C$1088:$EDE$1088</definedName>
    <definedName name="Constraint_1082_LHS" localSheetId="0" hidden="1">monday_model.lp!$EDG$1088</definedName>
    <definedName name="Constraint_1082_RHS" localSheetId="0" hidden="1">monday_model.lp!$EDI$1088</definedName>
    <definedName name="Constraint_1082_Sense" localSheetId="0" hidden="1">monday_model.lp!$EDH$1088</definedName>
    <definedName name="Constraint_1083" localSheetId="0" hidden="1">monday_model.lp!$C$1089:$EDE$1089</definedName>
    <definedName name="Constraint_1083_LHS" localSheetId="0" hidden="1">monday_model.lp!$EDG$1089</definedName>
    <definedName name="Constraint_1083_RHS" localSheetId="0" hidden="1">monday_model.lp!$EDI$1089</definedName>
    <definedName name="Constraint_1083_Sense" localSheetId="0" hidden="1">monday_model.lp!$EDH$1089</definedName>
    <definedName name="Constraint_1084" localSheetId="0" hidden="1">monday_model.lp!$C$1090:$EDE$1090</definedName>
    <definedName name="Constraint_1084_LHS" localSheetId="0" hidden="1">monday_model.lp!$EDG$1090</definedName>
    <definedName name="Constraint_1084_RHS" localSheetId="0" hidden="1">monday_model.lp!$EDI$1090</definedName>
    <definedName name="Constraint_1084_Sense" localSheetId="0" hidden="1">monday_model.lp!$EDH$1090</definedName>
    <definedName name="Constraint_1085" localSheetId="0" hidden="1">monday_model.lp!$C$1091:$EDE$1091</definedName>
    <definedName name="Constraint_1085_LHS" localSheetId="0" hidden="1">monday_model.lp!$EDG$1091</definedName>
    <definedName name="Constraint_1085_RHS" localSheetId="0" hidden="1">monday_model.lp!$EDI$1091</definedName>
    <definedName name="Constraint_1085_Sense" localSheetId="0" hidden="1">monday_model.lp!$EDH$1091</definedName>
    <definedName name="Constraint_1086" localSheetId="0" hidden="1">monday_model.lp!$C$1092:$EDE$1092</definedName>
    <definedName name="Constraint_1086_LHS" localSheetId="0" hidden="1">monday_model.lp!$EDG$1092</definedName>
    <definedName name="Constraint_1086_RHS" localSheetId="0" hidden="1">monday_model.lp!$EDI$1092</definedName>
    <definedName name="Constraint_1086_Sense" localSheetId="0" hidden="1">monday_model.lp!$EDH$1092</definedName>
    <definedName name="Constraint_1087" localSheetId="0" hidden="1">monday_model.lp!$C$1093:$EDE$1093</definedName>
    <definedName name="Constraint_1087_LHS" localSheetId="0" hidden="1">monday_model.lp!$EDG$1093</definedName>
    <definedName name="Constraint_1087_RHS" localSheetId="0" hidden="1">monday_model.lp!$EDI$1093</definedName>
    <definedName name="Constraint_1087_Sense" localSheetId="0" hidden="1">monday_model.lp!$EDH$1093</definedName>
    <definedName name="Constraint_1088" localSheetId="0" hidden="1">monday_model.lp!$C$1094:$EDE$1094</definedName>
    <definedName name="Constraint_1088_LHS" localSheetId="0" hidden="1">monday_model.lp!$EDG$1094</definedName>
    <definedName name="Constraint_1088_RHS" localSheetId="0" hidden="1">monday_model.lp!$EDI$1094</definedName>
    <definedName name="Constraint_1088_Sense" localSheetId="0" hidden="1">monday_model.lp!$EDH$1094</definedName>
    <definedName name="Constraint_1089" localSheetId="0" hidden="1">monday_model.lp!$C$1095:$EDE$1095</definedName>
    <definedName name="Constraint_1089_LHS" localSheetId="0" hidden="1">monday_model.lp!$EDG$1095</definedName>
    <definedName name="Constraint_1089_RHS" localSheetId="0" hidden="1">monday_model.lp!$EDI$1095</definedName>
    <definedName name="Constraint_1089_Sense" localSheetId="0" hidden="1">monday_model.lp!$EDH$1095</definedName>
    <definedName name="Constraint_109" localSheetId="0" hidden="1">monday_model.lp!$C$115:$EDE$115</definedName>
    <definedName name="Constraint_109_LHS" localSheetId="0" hidden="1">monday_model.lp!$EDG$115</definedName>
    <definedName name="Constraint_109_RHS" localSheetId="0" hidden="1">monday_model.lp!$EDI$115</definedName>
    <definedName name="Constraint_109_Sense" localSheetId="0" hidden="1">monday_model.lp!$EDH$115</definedName>
    <definedName name="Constraint_1090" localSheetId="0" hidden="1">monday_model.lp!$C$1096:$EDE$1096</definedName>
    <definedName name="Constraint_1090_LHS" localSheetId="0" hidden="1">monday_model.lp!$EDG$1096</definedName>
    <definedName name="Constraint_1090_RHS" localSheetId="0" hidden="1">monday_model.lp!$EDI$1096</definedName>
    <definedName name="Constraint_1090_Sense" localSheetId="0" hidden="1">monday_model.lp!$EDH$1096</definedName>
    <definedName name="Constraint_1091" localSheetId="0" hidden="1">monday_model.lp!$C$1097:$EDE$1097</definedName>
    <definedName name="Constraint_1091_LHS" localSheetId="0" hidden="1">monday_model.lp!$EDG$1097</definedName>
    <definedName name="Constraint_1091_RHS" localSheetId="0" hidden="1">monday_model.lp!$EDI$1097</definedName>
    <definedName name="Constraint_1091_Sense" localSheetId="0" hidden="1">monday_model.lp!$EDH$1097</definedName>
    <definedName name="Constraint_1092" localSheetId="0" hidden="1">monday_model.lp!$C$1098:$EDE$1098</definedName>
    <definedName name="Constraint_1092_LHS" localSheetId="0" hidden="1">monday_model.lp!$EDG$1098</definedName>
    <definedName name="Constraint_1092_RHS" localSheetId="0" hidden="1">monday_model.lp!$EDI$1098</definedName>
    <definedName name="Constraint_1092_Sense" localSheetId="0" hidden="1">monday_model.lp!$EDH$1098</definedName>
    <definedName name="Constraint_1093" localSheetId="0" hidden="1">monday_model.lp!$C$1099:$EDE$1099</definedName>
    <definedName name="Constraint_1093_LHS" localSheetId="0" hidden="1">monday_model.lp!$EDG$1099</definedName>
    <definedName name="Constraint_1093_RHS" localSheetId="0" hidden="1">monday_model.lp!$EDI$1099</definedName>
    <definedName name="Constraint_1093_Sense" localSheetId="0" hidden="1">monday_model.lp!$EDH$1099</definedName>
    <definedName name="Constraint_1094" localSheetId="0" hidden="1">monday_model.lp!$C$1100:$EDE$1100</definedName>
    <definedName name="Constraint_1094_LHS" localSheetId="0" hidden="1">monday_model.lp!$EDG$1100</definedName>
    <definedName name="Constraint_1094_RHS" localSheetId="0" hidden="1">monday_model.lp!$EDI$1100</definedName>
    <definedName name="Constraint_1094_Sense" localSheetId="0" hidden="1">monday_model.lp!$EDH$1100</definedName>
    <definedName name="Constraint_1095" localSheetId="0" hidden="1">monday_model.lp!$C$1101:$EDE$1101</definedName>
    <definedName name="Constraint_1095_LHS" localSheetId="0" hidden="1">monday_model.lp!$EDG$1101</definedName>
    <definedName name="Constraint_1095_RHS" localSheetId="0" hidden="1">monday_model.lp!$EDI$1101</definedName>
    <definedName name="Constraint_1095_Sense" localSheetId="0" hidden="1">monday_model.lp!$EDH$1101</definedName>
    <definedName name="Constraint_1096" localSheetId="0" hidden="1">monday_model.lp!$C$1102:$EDE$1102</definedName>
    <definedName name="Constraint_1096_LHS" localSheetId="0" hidden="1">monday_model.lp!$EDG$1102</definedName>
    <definedName name="Constraint_1096_RHS" localSheetId="0" hidden="1">monday_model.lp!$EDI$1102</definedName>
    <definedName name="Constraint_1096_Sense" localSheetId="0" hidden="1">monday_model.lp!$EDH$1102</definedName>
    <definedName name="Constraint_1097" localSheetId="0" hidden="1">monday_model.lp!$C$1103:$EDE$1103</definedName>
    <definedName name="Constraint_1097_LHS" localSheetId="0" hidden="1">monday_model.lp!$EDG$1103</definedName>
    <definedName name="Constraint_1097_RHS" localSheetId="0" hidden="1">monday_model.lp!$EDI$1103</definedName>
    <definedName name="Constraint_1097_Sense" localSheetId="0" hidden="1">monday_model.lp!$EDH$1103</definedName>
    <definedName name="Constraint_1098" localSheetId="0" hidden="1">monday_model.lp!$C$1104:$EDE$1104</definedName>
    <definedName name="Constraint_1098_LHS" localSheetId="0" hidden="1">monday_model.lp!$EDG$1104</definedName>
    <definedName name="Constraint_1098_RHS" localSheetId="0" hidden="1">monday_model.lp!$EDI$1104</definedName>
    <definedName name="Constraint_1098_Sense" localSheetId="0" hidden="1">monday_model.lp!$EDH$1104</definedName>
    <definedName name="Constraint_1099" localSheetId="0" hidden="1">monday_model.lp!$C$1105:$EDE$1105</definedName>
    <definedName name="Constraint_1099_LHS" localSheetId="0" hidden="1">monday_model.lp!$EDG$1105</definedName>
    <definedName name="Constraint_1099_RHS" localSheetId="0" hidden="1">monday_model.lp!$EDI$1105</definedName>
    <definedName name="Constraint_1099_Sense" localSheetId="0" hidden="1">monday_model.lp!$EDH$1105</definedName>
    <definedName name="Constraint_11" localSheetId="0" hidden="1">monday_model.lp!$C$17:$EDE$17</definedName>
    <definedName name="Constraint_11_LHS" localSheetId="0" hidden="1">monday_model.lp!$EDG$17</definedName>
    <definedName name="Constraint_11_RHS" localSheetId="0" hidden="1">monday_model.lp!$EDI$17</definedName>
    <definedName name="Constraint_11_Sense" localSheetId="0" hidden="1">monday_model.lp!$EDH$17</definedName>
    <definedName name="Constraint_110" localSheetId="0" hidden="1">monday_model.lp!$C$116:$EDE$116</definedName>
    <definedName name="Constraint_110_LHS" localSheetId="0" hidden="1">monday_model.lp!$EDG$116</definedName>
    <definedName name="Constraint_110_RHS" localSheetId="0" hidden="1">monday_model.lp!$EDI$116</definedName>
    <definedName name="Constraint_110_Sense" localSheetId="0" hidden="1">monday_model.lp!$EDH$116</definedName>
    <definedName name="Constraint_1100" localSheetId="0" hidden="1">monday_model.lp!$C$1106:$EDE$1106</definedName>
    <definedName name="Constraint_1100_LHS" localSheetId="0" hidden="1">monday_model.lp!$EDG$1106</definedName>
    <definedName name="Constraint_1100_RHS" localSheetId="0" hidden="1">monday_model.lp!$EDI$1106</definedName>
    <definedName name="Constraint_1100_Sense" localSheetId="0" hidden="1">monday_model.lp!$EDH$1106</definedName>
    <definedName name="Constraint_1101" localSheetId="0" hidden="1">monday_model.lp!$C$1107:$EDE$1107</definedName>
    <definedName name="Constraint_1101_LHS" localSheetId="0" hidden="1">monday_model.lp!$EDG$1107</definedName>
    <definedName name="Constraint_1101_RHS" localSheetId="0" hidden="1">monday_model.lp!$EDI$1107</definedName>
    <definedName name="Constraint_1101_Sense" localSheetId="0" hidden="1">monday_model.lp!$EDH$1107</definedName>
    <definedName name="Constraint_1102" localSheetId="0" hidden="1">monday_model.lp!$C$1108:$EDE$1108</definedName>
    <definedName name="Constraint_1102_LHS" localSheetId="0" hidden="1">monday_model.lp!$EDG$1108</definedName>
    <definedName name="Constraint_1102_RHS" localSheetId="0" hidden="1">monday_model.lp!$EDI$1108</definedName>
    <definedName name="Constraint_1102_Sense" localSheetId="0" hidden="1">monday_model.lp!$EDH$1108</definedName>
    <definedName name="Constraint_1103" localSheetId="0" hidden="1">monday_model.lp!$C$1109:$EDE$1109</definedName>
    <definedName name="Constraint_1103_LHS" localSheetId="0" hidden="1">monday_model.lp!$EDG$1109</definedName>
    <definedName name="Constraint_1103_RHS" localSheetId="0" hidden="1">monday_model.lp!$EDI$1109</definedName>
    <definedName name="Constraint_1103_Sense" localSheetId="0" hidden="1">monday_model.lp!$EDH$1109</definedName>
    <definedName name="Constraint_1104" localSheetId="0" hidden="1">monday_model.lp!$C$1110:$EDE$1110</definedName>
    <definedName name="Constraint_1104_LHS" localSheetId="0" hidden="1">monday_model.lp!$EDG$1110</definedName>
    <definedName name="Constraint_1104_RHS" localSheetId="0" hidden="1">monday_model.lp!$EDI$1110</definedName>
    <definedName name="Constraint_1104_Sense" localSheetId="0" hidden="1">monday_model.lp!$EDH$1110</definedName>
    <definedName name="Constraint_1105" localSheetId="0" hidden="1">monday_model.lp!$C$1111:$EDE$1111</definedName>
    <definedName name="Constraint_1105_LHS" localSheetId="0" hidden="1">monday_model.lp!$EDG$1111</definedName>
    <definedName name="Constraint_1105_RHS" localSheetId="0" hidden="1">monday_model.lp!$EDI$1111</definedName>
    <definedName name="Constraint_1105_Sense" localSheetId="0" hidden="1">monday_model.lp!$EDH$1111</definedName>
    <definedName name="Constraint_1106" localSheetId="0" hidden="1">monday_model.lp!$C$1112:$EDE$1112</definedName>
    <definedName name="Constraint_1106_LHS" localSheetId="0" hidden="1">monday_model.lp!$EDG$1112</definedName>
    <definedName name="Constraint_1106_RHS" localSheetId="0" hidden="1">monday_model.lp!$EDI$1112</definedName>
    <definedName name="Constraint_1106_Sense" localSheetId="0" hidden="1">monday_model.lp!$EDH$1112</definedName>
    <definedName name="Constraint_1107" localSheetId="0" hidden="1">monday_model.lp!$C$1113:$EDE$1113</definedName>
    <definedName name="Constraint_1107_LHS" localSheetId="0" hidden="1">monday_model.lp!$EDG$1113</definedName>
    <definedName name="Constraint_1107_RHS" localSheetId="0" hidden="1">monday_model.lp!$EDI$1113</definedName>
    <definedName name="Constraint_1107_Sense" localSheetId="0" hidden="1">monday_model.lp!$EDH$1113</definedName>
    <definedName name="Constraint_1108" localSheetId="0" hidden="1">monday_model.lp!$C$1114:$EDE$1114</definedName>
    <definedName name="Constraint_1108_LHS" localSheetId="0" hidden="1">monday_model.lp!$EDG$1114</definedName>
    <definedName name="Constraint_1108_RHS" localSheetId="0" hidden="1">monday_model.lp!$EDI$1114</definedName>
    <definedName name="Constraint_1108_Sense" localSheetId="0" hidden="1">monday_model.lp!$EDH$1114</definedName>
    <definedName name="Constraint_1109" localSheetId="0" hidden="1">monday_model.lp!$C$1115:$EDE$1115</definedName>
    <definedName name="Constraint_1109_LHS" localSheetId="0" hidden="1">monday_model.lp!$EDG$1115</definedName>
    <definedName name="Constraint_1109_RHS" localSheetId="0" hidden="1">monday_model.lp!$EDI$1115</definedName>
    <definedName name="Constraint_1109_Sense" localSheetId="0" hidden="1">monday_model.lp!$EDH$1115</definedName>
    <definedName name="Constraint_111" localSheetId="0" hidden="1">monday_model.lp!$C$117:$EDE$117</definedName>
    <definedName name="Constraint_111_LHS" localSheetId="0" hidden="1">monday_model.lp!$EDG$117</definedName>
    <definedName name="Constraint_111_RHS" localSheetId="0" hidden="1">monday_model.lp!$EDI$117</definedName>
    <definedName name="Constraint_111_Sense" localSheetId="0" hidden="1">monday_model.lp!$EDH$117</definedName>
    <definedName name="Constraint_1110" localSheetId="0" hidden="1">monday_model.lp!$C$1116:$EDE$1116</definedName>
    <definedName name="Constraint_1110_LHS" localSheetId="0" hidden="1">monday_model.lp!$EDG$1116</definedName>
    <definedName name="Constraint_1110_RHS" localSheetId="0" hidden="1">monday_model.lp!$EDI$1116</definedName>
    <definedName name="Constraint_1110_Sense" localSheetId="0" hidden="1">monday_model.lp!$EDH$1116</definedName>
    <definedName name="Constraint_1111" localSheetId="0" hidden="1">monday_model.lp!$C$1117:$EDE$1117</definedName>
    <definedName name="Constraint_1111_LHS" localSheetId="0" hidden="1">monday_model.lp!$EDG$1117</definedName>
    <definedName name="Constraint_1111_RHS" localSheetId="0" hidden="1">monday_model.lp!$EDI$1117</definedName>
    <definedName name="Constraint_1111_Sense" localSheetId="0" hidden="1">monday_model.lp!$EDH$1117</definedName>
    <definedName name="Constraint_1112" localSheetId="0" hidden="1">monday_model.lp!$C$1118:$EDE$1118</definedName>
    <definedName name="Constraint_1112_LHS" localSheetId="0" hidden="1">monday_model.lp!$EDG$1118</definedName>
    <definedName name="Constraint_1112_RHS" localSheetId="0" hidden="1">monday_model.lp!$EDI$1118</definedName>
    <definedName name="Constraint_1112_Sense" localSheetId="0" hidden="1">monday_model.lp!$EDH$1118</definedName>
    <definedName name="Constraint_1113" localSheetId="0" hidden="1">monday_model.lp!$C$1119:$EDE$1119</definedName>
    <definedName name="Constraint_1113_LHS" localSheetId="0" hidden="1">monday_model.lp!$EDG$1119</definedName>
    <definedName name="Constraint_1113_RHS" localSheetId="0" hidden="1">monday_model.lp!$EDI$1119</definedName>
    <definedName name="Constraint_1113_Sense" localSheetId="0" hidden="1">monday_model.lp!$EDH$1119</definedName>
    <definedName name="Constraint_1114" localSheetId="0" hidden="1">monday_model.lp!$C$1120:$EDE$1120</definedName>
    <definedName name="Constraint_1114_LHS" localSheetId="0" hidden="1">monday_model.lp!$EDG$1120</definedName>
    <definedName name="Constraint_1114_RHS" localSheetId="0" hidden="1">monday_model.lp!$EDI$1120</definedName>
    <definedName name="Constraint_1114_Sense" localSheetId="0" hidden="1">monday_model.lp!$EDH$1120</definedName>
    <definedName name="Constraint_1115" localSheetId="0" hidden="1">monday_model.lp!$C$1121:$EDE$1121</definedName>
    <definedName name="Constraint_1115_LHS" localSheetId="0" hidden="1">monday_model.lp!$EDG$1121</definedName>
    <definedName name="Constraint_1115_RHS" localSheetId="0" hidden="1">monday_model.lp!$EDI$1121</definedName>
    <definedName name="Constraint_1115_Sense" localSheetId="0" hidden="1">monday_model.lp!$EDH$1121</definedName>
    <definedName name="Constraint_1116" localSheetId="0" hidden="1">monday_model.lp!$C$1122:$EDE$1122</definedName>
    <definedName name="Constraint_1116_LHS" localSheetId="0" hidden="1">monday_model.lp!$EDG$1122</definedName>
    <definedName name="Constraint_1116_RHS" localSheetId="0" hidden="1">monday_model.lp!$EDI$1122</definedName>
    <definedName name="Constraint_1116_Sense" localSheetId="0" hidden="1">monday_model.lp!$EDH$1122</definedName>
    <definedName name="Constraint_1117" localSheetId="0" hidden="1">monday_model.lp!$C$1123:$EDE$1123</definedName>
    <definedName name="Constraint_1117_LHS" localSheetId="0" hidden="1">monday_model.lp!$EDG$1123</definedName>
    <definedName name="Constraint_1117_RHS" localSheetId="0" hidden="1">monday_model.lp!$EDI$1123</definedName>
    <definedName name="Constraint_1117_Sense" localSheetId="0" hidden="1">monday_model.lp!$EDH$1123</definedName>
    <definedName name="Constraint_1118" localSheetId="0" hidden="1">monday_model.lp!$C$1124:$EDE$1124</definedName>
    <definedName name="Constraint_1118_LHS" localSheetId="0" hidden="1">monday_model.lp!$EDG$1124</definedName>
    <definedName name="Constraint_1118_RHS" localSheetId="0" hidden="1">monday_model.lp!$EDI$1124</definedName>
    <definedName name="Constraint_1118_Sense" localSheetId="0" hidden="1">monday_model.lp!$EDH$1124</definedName>
    <definedName name="Constraint_1119" localSheetId="0" hidden="1">monday_model.lp!$C$1125:$EDE$1125</definedName>
    <definedName name="Constraint_1119_LHS" localSheetId="0" hidden="1">monday_model.lp!$EDG$1125</definedName>
    <definedName name="Constraint_1119_RHS" localSheetId="0" hidden="1">monday_model.lp!$EDI$1125</definedName>
    <definedName name="Constraint_1119_Sense" localSheetId="0" hidden="1">monday_model.lp!$EDH$1125</definedName>
    <definedName name="Constraint_112" localSheetId="0" hidden="1">monday_model.lp!$C$118:$EDE$118</definedName>
    <definedName name="Constraint_112_LHS" localSheetId="0" hidden="1">monday_model.lp!$EDG$118</definedName>
    <definedName name="Constraint_112_RHS" localSheetId="0" hidden="1">monday_model.lp!$EDI$118</definedName>
    <definedName name="Constraint_112_Sense" localSheetId="0" hidden="1">monday_model.lp!$EDH$118</definedName>
    <definedName name="Constraint_1120" localSheetId="0" hidden="1">monday_model.lp!$C$1126:$EDE$1126</definedName>
    <definedName name="Constraint_1120_LHS" localSheetId="0" hidden="1">monday_model.lp!$EDG$1126</definedName>
    <definedName name="Constraint_1120_RHS" localSheetId="0" hidden="1">monday_model.lp!$EDI$1126</definedName>
    <definedName name="Constraint_1120_Sense" localSheetId="0" hidden="1">monday_model.lp!$EDH$1126</definedName>
    <definedName name="Constraint_1121" localSheetId="0" hidden="1">monday_model.lp!$C$1127:$EDE$1127</definedName>
    <definedName name="Constraint_1121_LHS" localSheetId="0" hidden="1">monday_model.lp!$EDG$1127</definedName>
    <definedName name="Constraint_1121_RHS" localSheetId="0" hidden="1">monday_model.lp!$EDI$1127</definedName>
    <definedName name="Constraint_1121_Sense" localSheetId="0" hidden="1">monday_model.lp!$EDH$1127</definedName>
    <definedName name="Constraint_1122" localSheetId="0" hidden="1">monday_model.lp!$C$1128:$EDE$1128</definedName>
    <definedName name="Constraint_1122_LHS" localSheetId="0" hidden="1">monday_model.lp!$EDG$1128</definedName>
    <definedName name="Constraint_1122_RHS" localSheetId="0" hidden="1">monday_model.lp!$EDI$1128</definedName>
    <definedName name="Constraint_1122_Sense" localSheetId="0" hidden="1">monday_model.lp!$EDH$1128</definedName>
    <definedName name="Constraint_1123" localSheetId="0" hidden="1">monday_model.lp!$C$1129:$EDE$1129</definedName>
    <definedName name="Constraint_1123_LHS" localSheetId="0" hidden="1">monday_model.lp!$EDG$1129</definedName>
    <definedName name="Constraint_1123_RHS" localSheetId="0" hidden="1">monday_model.lp!$EDI$1129</definedName>
    <definedName name="Constraint_1123_Sense" localSheetId="0" hidden="1">monday_model.lp!$EDH$1129</definedName>
    <definedName name="Constraint_1124" localSheetId="0" hidden="1">monday_model.lp!$C$1130:$EDE$1130</definedName>
    <definedName name="Constraint_1124_LHS" localSheetId="0" hidden="1">monday_model.lp!$EDG$1130</definedName>
    <definedName name="Constraint_1124_RHS" localSheetId="0" hidden="1">monday_model.lp!$EDI$1130</definedName>
    <definedName name="Constraint_1124_Sense" localSheetId="0" hidden="1">monday_model.lp!$EDH$1130</definedName>
    <definedName name="Constraint_1125" localSheetId="0" hidden="1">monday_model.lp!$C$1131:$EDE$1131</definedName>
    <definedName name="Constraint_1125_LHS" localSheetId="0" hidden="1">monday_model.lp!$EDG$1131</definedName>
    <definedName name="Constraint_1125_RHS" localSheetId="0" hidden="1">monday_model.lp!$EDI$1131</definedName>
    <definedName name="Constraint_1125_Sense" localSheetId="0" hidden="1">monday_model.lp!$EDH$1131</definedName>
    <definedName name="Constraint_1126" localSheetId="0" hidden="1">monday_model.lp!$C$1132:$EDE$1132</definedName>
    <definedName name="Constraint_1126_LHS" localSheetId="0" hidden="1">monday_model.lp!$EDG$1132</definedName>
    <definedName name="Constraint_1126_RHS" localSheetId="0" hidden="1">monday_model.lp!$EDI$1132</definedName>
    <definedName name="Constraint_1126_Sense" localSheetId="0" hidden="1">monday_model.lp!$EDH$1132</definedName>
    <definedName name="Constraint_1127" localSheetId="0" hidden="1">monday_model.lp!$C$1133:$EDE$1133</definedName>
    <definedName name="Constraint_1127_LHS" localSheetId="0" hidden="1">monday_model.lp!$EDG$1133</definedName>
    <definedName name="Constraint_1127_RHS" localSheetId="0" hidden="1">monday_model.lp!$EDI$1133</definedName>
    <definedName name="Constraint_1127_Sense" localSheetId="0" hidden="1">monday_model.lp!$EDH$1133</definedName>
    <definedName name="Constraint_1128" localSheetId="0" hidden="1">monday_model.lp!$C$1134:$EDE$1134</definedName>
    <definedName name="Constraint_1128_LHS" localSheetId="0" hidden="1">monday_model.lp!$EDG$1134</definedName>
    <definedName name="Constraint_1128_RHS" localSheetId="0" hidden="1">monday_model.lp!$EDI$1134</definedName>
    <definedName name="Constraint_1128_Sense" localSheetId="0" hidden="1">monday_model.lp!$EDH$1134</definedName>
    <definedName name="Constraint_1129" localSheetId="0" hidden="1">monday_model.lp!$C$1135:$EDE$1135</definedName>
    <definedName name="Constraint_1129_LHS" localSheetId="0" hidden="1">monday_model.lp!$EDG$1135</definedName>
    <definedName name="Constraint_1129_RHS" localSheetId="0" hidden="1">monday_model.lp!$EDI$1135</definedName>
    <definedName name="Constraint_1129_Sense" localSheetId="0" hidden="1">monday_model.lp!$EDH$1135</definedName>
    <definedName name="Constraint_113" localSheetId="0" hidden="1">monday_model.lp!$C$119:$EDE$119</definedName>
    <definedName name="Constraint_113_LHS" localSheetId="0" hidden="1">monday_model.lp!$EDG$119</definedName>
    <definedName name="Constraint_113_RHS" localSheetId="0" hidden="1">monday_model.lp!$EDI$119</definedName>
    <definedName name="Constraint_113_Sense" localSheetId="0" hidden="1">monday_model.lp!$EDH$119</definedName>
    <definedName name="Constraint_1130" localSheetId="0" hidden="1">monday_model.lp!$C$1136:$EDE$1136</definedName>
    <definedName name="Constraint_1130_LHS" localSheetId="0" hidden="1">monday_model.lp!$EDG$1136</definedName>
    <definedName name="Constraint_1130_RHS" localSheetId="0" hidden="1">monday_model.lp!$EDI$1136</definedName>
    <definedName name="Constraint_1130_Sense" localSheetId="0" hidden="1">monday_model.lp!$EDH$1136</definedName>
    <definedName name="Constraint_1131" localSheetId="0" hidden="1">monday_model.lp!$C$1137:$EDE$1137</definedName>
    <definedName name="Constraint_1131_LHS" localSheetId="0" hidden="1">monday_model.lp!$EDG$1137</definedName>
    <definedName name="Constraint_1131_RHS" localSheetId="0" hidden="1">monday_model.lp!$EDI$1137</definedName>
    <definedName name="Constraint_1131_Sense" localSheetId="0" hidden="1">monday_model.lp!$EDH$1137</definedName>
    <definedName name="Constraint_1132" localSheetId="0" hidden="1">monday_model.lp!$C$1138:$EDE$1138</definedName>
    <definedName name="Constraint_1132_LHS" localSheetId="0" hidden="1">monday_model.lp!$EDG$1138</definedName>
    <definedName name="Constraint_1132_RHS" localSheetId="0" hidden="1">monday_model.lp!$EDI$1138</definedName>
    <definedName name="Constraint_1132_Sense" localSheetId="0" hidden="1">monday_model.lp!$EDH$1138</definedName>
    <definedName name="Constraint_1133" localSheetId="0" hidden="1">monday_model.lp!$C$1139:$EDE$1139</definedName>
    <definedName name="Constraint_1133_LHS" localSheetId="0" hidden="1">monday_model.lp!$EDG$1139</definedName>
    <definedName name="Constraint_1133_RHS" localSheetId="0" hidden="1">monday_model.lp!$EDI$1139</definedName>
    <definedName name="Constraint_1133_Sense" localSheetId="0" hidden="1">monday_model.lp!$EDH$1139</definedName>
    <definedName name="Constraint_1134" localSheetId="0" hidden="1">monday_model.lp!$C$1140:$EDE$1140</definedName>
    <definedName name="Constraint_1134_LHS" localSheetId="0" hidden="1">monday_model.lp!$EDG$1140</definedName>
    <definedName name="Constraint_1134_RHS" localSheetId="0" hidden="1">monday_model.lp!$EDI$1140</definedName>
    <definedName name="Constraint_1134_Sense" localSheetId="0" hidden="1">monday_model.lp!$EDH$1140</definedName>
    <definedName name="Constraint_1135" localSheetId="0" hidden="1">monday_model.lp!$C$1141:$EDE$1141</definedName>
    <definedName name="Constraint_1135_LHS" localSheetId="0" hidden="1">monday_model.lp!$EDG$1141</definedName>
    <definedName name="Constraint_1135_RHS" localSheetId="0" hidden="1">monday_model.lp!$EDI$1141</definedName>
    <definedName name="Constraint_1135_Sense" localSheetId="0" hidden="1">monday_model.lp!$EDH$1141</definedName>
    <definedName name="Constraint_1136" localSheetId="0" hidden="1">monday_model.lp!$C$1142:$EDE$1142</definedName>
    <definedName name="Constraint_1136_LHS" localSheetId="0" hidden="1">monday_model.lp!$EDG$1142</definedName>
    <definedName name="Constraint_1136_RHS" localSheetId="0" hidden="1">monday_model.lp!$EDI$1142</definedName>
    <definedName name="Constraint_1136_Sense" localSheetId="0" hidden="1">monday_model.lp!$EDH$1142</definedName>
    <definedName name="Constraint_1137" localSheetId="0" hidden="1">monday_model.lp!$C$1143:$EDE$1143</definedName>
    <definedName name="Constraint_1137_LHS" localSheetId="0" hidden="1">monday_model.lp!$EDG$1143</definedName>
    <definedName name="Constraint_1137_RHS" localSheetId="0" hidden="1">monday_model.lp!$EDI$1143</definedName>
    <definedName name="Constraint_1137_Sense" localSheetId="0" hidden="1">monday_model.lp!$EDH$1143</definedName>
    <definedName name="Constraint_1138" localSheetId="0" hidden="1">monday_model.lp!$C$1144:$EDE$1144</definedName>
    <definedName name="Constraint_1138_LHS" localSheetId="0" hidden="1">monday_model.lp!$EDG$1144</definedName>
    <definedName name="Constraint_1138_RHS" localSheetId="0" hidden="1">monday_model.lp!$EDI$1144</definedName>
    <definedName name="Constraint_1138_Sense" localSheetId="0" hidden="1">monday_model.lp!$EDH$1144</definedName>
    <definedName name="Constraint_1139" localSheetId="0" hidden="1">monday_model.lp!$C$1145:$EDE$1145</definedName>
    <definedName name="Constraint_1139_LHS" localSheetId="0" hidden="1">monday_model.lp!$EDG$1145</definedName>
    <definedName name="Constraint_1139_RHS" localSheetId="0" hidden="1">monday_model.lp!$EDI$1145</definedName>
    <definedName name="Constraint_1139_Sense" localSheetId="0" hidden="1">monday_model.lp!$EDH$1145</definedName>
    <definedName name="Constraint_114" localSheetId="0" hidden="1">monday_model.lp!$C$120:$EDE$120</definedName>
    <definedName name="Constraint_114_LHS" localSheetId="0" hidden="1">monday_model.lp!$EDG$120</definedName>
    <definedName name="Constraint_114_RHS" localSheetId="0" hidden="1">monday_model.lp!$EDI$120</definedName>
    <definedName name="Constraint_114_Sense" localSheetId="0" hidden="1">monday_model.lp!$EDH$120</definedName>
    <definedName name="Constraint_1140" localSheetId="0" hidden="1">monday_model.lp!$C$1146:$EDE$1146</definedName>
    <definedName name="Constraint_1140_LHS" localSheetId="0" hidden="1">monday_model.lp!$EDG$1146</definedName>
    <definedName name="Constraint_1140_RHS" localSheetId="0" hidden="1">monday_model.lp!$EDI$1146</definedName>
    <definedName name="Constraint_1140_Sense" localSheetId="0" hidden="1">monday_model.lp!$EDH$1146</definedName>
    <definedName name="Constraint_1141" localSheetId="0" hidden="1">monday_model.lp!$C$1147:$EDE$1147</definedName>
    <definedName name="Constraint_1141_LHS" localSheetId="0" hidden="1">monday_model.lp!$EDG$1147</definedName>
    <definedName name="Constraint_1141_RHS" localSheetId="0" hidden="1">monday_model.lp!$EDI$1147</definedName>
    <definedName name="Constraint_1141_Sense" localSheetId="0" hidden="1">monday_model.lp!$EDH$1147</definedName>
    <definedName name="Constraint_1142" localSheetId="0" hidden="1">monday_model.lp!$C$1148:$EDE$1148</definedName>
    <definedName name="Constraint_1142_LHS" localSheetId="0" hidden="1">monday_model.lp!$EDG$1148</definedName>
    <definedName name="Constraint_1142_RHS" localSheetId="0" hidden="1">monday_model.lp!$EDI$1148</definedName>
    <definedName name="Constraint_1142_Sense" localSheetId="0" hidden="1">monday_model.lp!$EDH$1148</definedName>
    <definedName name="Constraint_1143" localSheetId="0" hidden="1">monday_model.lp!$C$1149:$EDE$1149</definedName>
    <definedName name="Constraint_1143_LHS" localSheetId="0" hidden="1">monday_model.lp!$EDG$1149</definedName>
    <definedName name="Constraint_1143_RHS" localSheetId="0" hidden="1">monday_model.lp!$EDI$1149</definedName>
    <definedName name="Constraint_1143_Sense" localSheetId="0" hidden="1">monday_model.lp!$EDH$1149</definedName>
    <definedName name="Constraint_1144" localSheetId="0" hidden="1">monday_model.lp!$C$1150:$EDE$1150</definedName>
    <definedName name="Constraint_1144_LHS" localSheetId="0" hidden="1">monday_model.lp!$EDG$1150</definedName>
    <definedName name="Constraint_1144_RHS" localSheetId="0" hidden="1">monday_model.lp!$EDI$1150</definedName>
    <definedName name="Constraint_1144_Sense" localSheetId="0" hidden="1">monday_model.lp!$EDH$1150</definedName>
    <definedName name="Constraint_1145" localSheetId="0" hidden="1">monday_model.lp!$C$1151:$EDE$1151</definedName>
    <definedName name="Constraint_1145_LHS" localSheetId="0" hidden="1">monday_model.lp!$EDG$1151</definedName>
    <definedName name="Constraint_1145_RHS" localSheetId="0" hidden="1">monday_model.lp!$EDI$1151</definedName>
    <definedName name="Constraint_1145_Sense" localSheetId="0" hidden="1">monday_model.lp!$EDH$1151</definedName>
    <definedName name="Constraint_1146" localSheetId="0" hidden="1">monday_model.lp!$C$1152:$EDE$1152</definedName>
    <definedName name="Constraint_1146_LHS" localSheetId="0" hidden="1">monday_model.lp!$EDG$1152</definedName>
    <definedName name="Constraint_1146_RHS" localSheetId="0" hidden="1">monday_model.lp!$EDI$1152</definedName>
    <definedName name="Constraint_1146_Sense" localSheetId="0" hidden="1">monday_model.lp!$EDH$1152</definedName>
    <definedName name="Constraint_1147" localSheetId="0" hidden="1">monday_model.lp!$C$1153:$EDE$1153</definedName>
    <definedName name="Constraint_1147_LHS" localSheetId="0" hidden="1">monday_model.lp!$EDG$1153</definedName>
    <definedName name="Constraint_1147_RHS" localSheetId="0" hidden="1">monday_model.lp!$EDI$1153</definedName>
    <definedName name="Constraint_1147_Sense" localSheetId="0" hidden="1">monday_model.lp!$EDH$1153</definedName>
    <definedName name="Constraint_1148" localSheetId="0" hidden="1">monday_model.lp!$C$1154:$EDE$1154</definedName>
    <definedName name="Constraint_1148_LHS" localSheetId="0" hidden="1">monday_model.lp!$EDG$1154</definedName>
    <definedName name="Constraint_1148_RHS" localSheetId="0" hidden="1">monday_model.lp!$EDI$1154</definedName>
    <definedName name="Constraint_1148_Sense" localSheetId="0" hidden="1">monday_model.lp!$EDH$1154</definedName>
    <definedName name="Constraint_1149" localSheetId="0" hidden="1">monday_model.lp!$C$1155:$EDE$1155</definedName>
    <definedName name="Constraint_1149_LHS" localSheetId="0" hidden="1">monday_model.lp!$EDG$1155</definedName>
    <definedName name="Constraint_1149_RHS" localSheetId="0" hidden="1">monday_model.lp!$EDI$1155</definedName>
    <definedName name="Constraint_1149_Sense" localSheetId="0" hidden="1">monday_model.lp!$EDH$1155</definedName>
    <definedName name="Constraint_115" localSheetId="0" hidden="1">monday_model.lp!$C$121:$EDE$121</definedName>
    <definedName name="Constraint_115_LHS" localSheetId="0" hidden="1">monday_model.lp!$EDG$121</definedName>
    <definedName name="Constraint_115_RHS" localSheetId="0" hidden="1">monday_model.lp!$EDI$121</definedName>
    <definedName name="Constraint_115_Sense" localSheetId="0" hidden="1">monday_model.lp!$EDH$121</definedName>
    <definedName name="Constraint_1150" localSheetId="0" hidden="1">monday_model.lp!$C$1156:$EDE$1156</definedName>
    <definedName name="Constraint_1150_LHS" localSheetId="0" hidden="1">monday_model.lp!$EDG$1156</definedName>
    <definedName name="Constraint_1150_RHS" localSheetId="0" hidden="1">monday_model.lp!$EDI$1156</definedName>
    <definedName name="Constraint_1150_Sense" localSheetId="0" hidden="1">monday_model.lp!$EDH$1156</definedName>
    <definedName name="Constraint_1151" localSheetId="0" hidden="1">monday_model.lp!$C$1157:$EDE$1157</definedName>
    <definedName name="Constraint_1151_LHS" localSheetId="0" hidden="1">monday_model.lp!$EDG$1157</definedName>
    <definedName name="Constraint_1151_RHS" localSheetId="0" hidden="1">monday_model.lp!$EDI$1157</definedName>
    <definedName name="Constraint_1151_Sense" localSheetId="0" hidden="1">monday_model.lp!$EDH$1157</definedName>
    <definedName name="Constraint_1152" localSheetId="0" hidden="1">monday_model.lp!$C$1158:$EDE$1158</definedName>
    <definedName name="Constraint_1152_LHS" localSheetId="0" hidden="1">monday_model.lp!$EDG$1158</definedName>
    <definedName name="Constraint_1152_RHS" localSheetId="0" hidden="1">monday_model.lp!$EDI$1158</definedName>
    <definedName name="Constraint_1152_Sense" localSheetId="0" hidden="1">monday_model.lp!$EDH$1158</definedName>
    <definedName name="Constraint_1153" localSheetId="0" hidden="1">monday_model.lp!$C$1159:$EDE$1159</definedName>
    <definedName name="Constraint_1153_LHS" localSheetId="0" hidden="1">monday_model.lp!$EDG$1159</definedName>
    <definedName name="Constraint_1153_RHS" localSheetId="0" hidden="1">monday_model.lp!$EDI$1159</definedName>
    <definedName name="Constraint_1153_Sense" localSheetId="0" hidden="1">monday_model.lp!$EDH$1159</definedName>
    <definedName name="Constraint_1154" localSheetId="0" hidden="1">monday_model.lp!$C$1160:$EDE$1160</definedName>
    <definedName name="Constraint_1154_LHS" localSheetId="0" hidden="1">monday_model.lp!$EDG$1160</definedName>
    <definedName name="Constraint_1154_RHS" localSheetId="0" hidden="1">monday_model.lp!$EDI$1160</definedName>
    <definedName name="Constraint_1154_Sense" localSheetId="0" hidden="1">monday_model.lp!$EDH$1160</definedName>
    <definedName name="Constraint_1155" localSheetId="0" hidden="1">monday_model.lp!$C$1161:$EDE$1161</definedName>
    <definedName name="Constraint_1155_LHS" localSheetId="0" hidden="1">monday_model.lp!$EDG$1161</definedName>
    <definedName name="Constraint_1155_RHS" localSheetId="0" hidden="1">monday_model.lp!$EDI$1161</definedName>
    <definedName name="Constraint_1155_Sense" localSheetId="0" hidden="1">monday_model.lp!$EDH$1161</definedName>
    <definedName name="Constraint_1156" localSheetId="0" hidden="1">monday_model.lp!$C$1162:$EDE$1162</definedName>
    <definedName name="Constraint_1156_LHS" localSheetId="0" hidden="1">monday_model.lp!$EDG$1162</definedName>
    <definedName name="Constraint_1156_RHS" localSheetId="0" hidden="1">monday_model.lp!$EDI$1162</definedName>
    <definedName name="Constraint_1156_Sense" localSheetId="0" hidden="1">monday_model.lp!$EDH$1162</definedName>
    <definedName name="Constraint_1157" localSheetId="0" hidden="1">monday_model.lp!$C$1163:$EDE$1163</definedName>
    <definedName name="Constraint_1157_LHS" localSheetId="0" hidden="1">monday_model.lp!$EDG$1163</definedName>
    <definedName name="Constraint_1157_RHS" localSheetId="0" hidden="1">monday_model.lp!$EDI$1163</definedName>
    <definedName name="Constraint_1157_Sense" localSheetId="0" hidden="1">monday_model.lp!$EDH$1163</definedName>
    <definedName name="Constraint_1158" localSheetId="0" hidden="1">monday_model.lp!$C$1164:$EDE$1164</definedName>
    <definedName name="Constraint_1158_LHS" localSheetId="0" hidden="1">monday_model.lp!$EDG$1164</definedName>
    <definedName name="Constraint_1158_RHS" localSheetId="0" hidden="1">monday_model.lp!$EDI$1164</definedName>
    <definedName name="Constraint_1158_Sense" localSheetId="0" hidden="1">monday_model.lp!$EDH$1164</definedName>
    <definedName name="Constraint_1159" localSheetId="0" hidden="1">monday_model.lp!$C$1165:$EDE$1165</definedName>
    <definedName name="Constraint_1159_LHS" localSheetId="0" hidden="1">monday_model.lp!$EDG$1165</definedName>
    <definedName name="Constraint_1159_RHS" localSheetId="0" hidden="1">monday_model.lp!$EDI$1165</definedName>
    <definedName name="Constraint_1159_Sense" localSheetId="0" hidden="1">monday_model.lp!$EDH$1165</definedName>
    <definedName name="Constraint_116" localSheetId="0" hidden="1">monday_model.lp!$C$122:$EDE$122</definedName>
    <definedName name="Constraint_116_LHS" localSheetId="0" hidden="1">monday_model.lp!$EDG$122</definedName>
    <definedName name="Constraint_116_RHS" localSheetId="0" hidden="1">monday_model.lp!$EDI$122</definedName>
    <definedName name="Constraint_116_Sense" localSheetId="0" hidden="1">monday_model.lp!$EDH$122</definedName>
    <definedName name="Constraint_1160" localSheetId="0" hidden="1">monday_model.lp!$C$1166:$EDE$1166</definedName>
    <definedName name="Constraint_1160_LHS" localSheetId="0" hidden="1">monday_model.lp!$EDG$1166</definedName>
    <definedName name="Constraint_1160_RHS" localSheetId="0" hidden="1">monday_model.lp!$EDI$1166</definedName>
    <definedName name="Constraint_1160_Sense" localSheetId="0" hidden="1">monday_model.lp!$EDH$1166</definedName>
    <definedName name="Constraint_1161" localSheetId="0" hidden="1">monday_model.lp!$C$1167:$EDE$1167</definedName>
    <definedName name="Constraint_1161_LHS" localSheetId="0" hidden="1">monday_model.lp!$EDG$1167</definedName>
    <definedName name="Constraint_1161_RHS" localSheetId="0" hidden="1">monday_model.lp!$EDI$1167</definedName>
    <definedName name="Constraint_1161_Sense" localSheetId="0" hidden="1">monday_model.lp!$EDH$1167</definedName>
    <definedName name="Constraint_1162" localSheetId="0" hidden="1">monday_model.lp!$C$1168:$EDE$1168</definedName>
    <definedName name="Constraint_1162_LHS" localSheetId="0" hidden="1">monday_model.lp!$EDG$1168</definedName>
    <definedName name="Constraint_1162_RHS" localSheetId="0" hidden="1">monday_model.lp!$EDI$1168</definedName>
    <definedName name="Constraint_1162_Sense" localSheetId="0" hidden="1">monday_model.lp!$EDH$1168</definedName>
    <definedName name="Constraint_1163" localSheetId="0" hidden="1">monday_model.lp!$C$1169:$EDE$1169</definedName>
    <definedName name="Constraint_1163_LHS" localSheetId="0" hidden="1">monday_model.lp!$EDG$1169</definedName>
    <definedName name="Constraint_1163_RHS" localSheetId="0" hidden="1">monday_model.lp!$EDI$1169</definedName>
    <definedName name="Constraint_1163_Sense" localSheetId="0" hidden="1">monday_model.lp!$EDH$1169</definedName>
    <definedName name="Constraint_1164" localSheetId="0" hidden="1">monday_model.lp!$C$1170:$EDE$1170</definedName>
    <definedName name="Constraint_1164_LHS" localSheetId="0" hidden="1">monday_model.lp!$EDG$1170</definedName>
    <definedName name="Constraint_1164_RHS" localSheetId="0" hidden="1">monday_model.lp!$EDI$1170</definedName>
    <definedName name="Constraint_1164_Sense" localSheetId="0" hidden="1">monday_model.lp!$EDH$1170</definedName>
    <definedName name="Constraint_1165" localSheetId="0" hidden="1">monday_model.lp!$C$1171:$EDE$1171</definedName>
    <definedName name="Constraint_1165_LHS" localSheetId="0" hidden="1">monday_model.lp!$EDG$1171</definedName>
    <definedName name="Constraint_1165_RHS" localSheetId="0" hidden="1">monday_model.lp!$EDI$1171</definedName>
    <definedName name="Constraint_1165_Sense" localSheetId="0" hidden="1">monday_model.lp!$EDH$1171</definedName>
    <definedName name="Constraint_1166" localSheetId="0" hidden="1">monday_model.lp!$C$1172:$EDE$1172</definedName>
    <definedName name="Constraint_1166_LHS" localSheetId="0" hidden="1">monday_model.lp!$EDG$1172</definedName>
    <definedName name="Constraint_1166_RHS" localSheetId="0" hidden="1">monday_model.lp!$EDI$1172</definedName>
    <definedName name="Constraint_1166_Sense" localSheetId="0" hidden="1">monday_model.lp!$EDH$1172</definedName>
    <definedName name="Constraint_1167" localSheetId="0" hidden="1">monday_model.lp!$C$1173:$EDE$1173</definedName>
    <definedName name="Constraint_1167_LHS" localSheetId="0" hidden="1">monday_model.lp!$EDG$1173</definedName>
    <definedName name="Constraint_1167_RHS" localSheetId="0" hidden="1">monday_model.lp!$EDI$1173</definedName>
    <definedName name="Constraint_1167_Sense" localSheetId="0" hidden="1">monday_model.lp!$EDH$1173</definedName>
    <definedName name="Constraint_1168" localSheetId="0" hidden="1">monday_model.lp!$C$1174:$EDE$1174</definedName>
    <definedName name="Constraint_1168_LHS" localSheetId="0" hidden="1">monday_model.lp!$EDG$1174</definedName>
    <definedName name="Constraint_1168_RHS" localSheetId="0" hidden="1">monday_model.lp!$EDI$1174</definedName>
    <definedName name="Constraint_1168_Sense" localSheetId="0" hidden="1">monday_model.lp!$EDH$1174</definedName>
    <definedName name="Constraint_1169" localSheetId="0" hidden="1">monday_model.lp!$C$1175:$EDE$1175</definedName>
    <definedName name="Constraint_1169_LHS" localSheetId="0" hidden="1">monday_model.lp!$EDG$1175</definedName>
    <definedName name="Constraint_1169_RHS" localSheetId="0" hidden="1">monday_model.lp!$EDI$1175</definedName>
    <definedName name="Constraint_1169_Sense" localSheetId="0" hidden="1">monday_model.lp!$EDH$1175</definedName>
    <definedName name="Constraint_117" localSheetId="0" hidden="1">monday_model.lp!$C$123:$EDE$123</definedName>
    <definedName name="Constraint_117_LHS" localSheetId="0" hidden="1">monday_model.lp!$EDG$123</definedName>
    <definedName name="Constraint_117_RHS" localSheetId="0" hidden="1">monday_model.lp!$EDI$123</definedName>
    <definedName name="Constraint_117_Sense" localSheetId="0" hidden="1">monday_model.lp!$EDH$123</definedName>
    <definedName name="Constraint_1170" localSheetId="0" hidden="1">monday_model.lp!$C$1176:$EDE$1176</definedName>
    <definedName name="Constraint_1170_LHS" localSheetId="0" hidden="1">monday_model.lp!$EDG$1176</definedName>
    <definedName name="Constraint_1170_RHS" localSheetId="0" hidden="1">monday_model.lp!$EDI$1176</definedName>
    <definedName name="Constraint_1170_Sense" localSheetId="0" hidden="1">monday_model.lp!$EDH$1176</definedName>
    <definedName name="Constraint_1171" localSheetId="0" hidden="1">monday_model.lp!$C$1177:$EDE$1177</definedName>
    <definedName name="Constraint_1171_LHS" localSheetId="0" hidden="1">monday_model.lp!$EDG$1177</definedName>
    <definedName name="Constraint_1171_RHS" localSheetId="0" hidden="1">monday_model.lp!$EDI$1177</definedName>
    <definedName name="Constraint_1171_Sense" localSheetId="0" hidden="1">monday_model.lp!$EDH$1177</definedName>
    <definedName name="Constraint_1172" localSheetId="0" hidden="1">monday_model.lp!$C$1178:$EDE$1178</definedName>
    <definedName name="Constraint_1172_LHS" localSheetId="0" hidden="1">monday_model.lp!$EDG$1178</definedName>
    <definedName name="Constraint_1172_RHS" localSheetId="0" hidden="1">monday_model.lp!$EDI$1178</definedName>
    <definedName name="Constraint_1172_Sense" localSheetId="0" hidden="1">monday_model.lp!$EDH$1178</definedName>
    <definedName name="Constraint_1173" localSheetId="0" hidden="1">monday_model.lp!$C$1179:$EDE$1179</definedName>
    <definedName name="Constraint_1173_LHS" localSheetId="0" hidden="1">monday_model.lp!$EDG$1179</definedName>
    <definedName name="Constraint_1173_RHS" localSheetId="0" hidden="1">monday_model.lp!$EDI$1179</definedName>
    <definedName name="Constraint_1173_Sense" localSheetId="0" hidden="1">monday_model.lp!$EDH$1179</definedName>
    <definedName name="Constraint_1174" localSheetId="0" hidden="1">monday_model.lp!$C$1180:$EDE$1180</definedName>
    <definedName name="Constraint_1174_LHS" localSheetId="0" hidden="1">monday_model.lp!$EDG$1180</definedName>
    <definedName name="Constraint_1174_RHS" localSheetId="0" hidden="1">monday_model.lp!$EDI$1180</definedName>
    <definedName name="Constraint_1174_Sense" localSheetId="0" hidden="1">monday_model.lp!$EDH$1180</definedName>
    <definedName name="Constraint_1175" localSheetId="0" hidden="1">monday_model.lp!$C$1181:$EDE$1181</definedName>
    <definedName name="Constraint_1175_LHS" localSheetId="0" hidden="1">monday_model.lp!$EDG$1181</definedName>
    <definedName name="Constraint_1175_RHS" localSheetId="0" hidden="1">monday_model.lp!$EDI$1181</definedName>
    <definedName name="Constraint_1175_Sense" localSheetId="0" hidden="1">monday_model.lp!$EDH$1181</definedName>
    <definedName name="Constraint_1176" localSheetId="0" hidden="1">monday_model.lp!$C$1182:$EDE$1182</definedName>
    <definedName name="Constraint_1176_LHS" localSheetId="0" hidden="1">monday_model.lp!$EDG$1182</definedName>
    <definedName name="Constraint_1176_RHS" localSheetId="0" hidden="1">monday_model.lp!$EDI$1182</definedName>
    <definedName name="Constraint_1176_Sense" localSheetId="0" hidden="1">monday_model.lp!$EDH$1182</definedName>
    <definedName name="Constraint_1177" localSheetId="0" hidden="1">monday_model.lp!$C$1183:$EDE$1183</definedName>
    <definedName name="Constraint_1177_LHS" localSheetId="0" hidden="1">monday_model.lp!$EDG$1183</definedName>
    <definedName name="Constraint_1177_RHS" localSheetId="0" hidden="1">monday_model.lp!$EDI$1183</definedName>
    <definedName name="Constraint_1177_Sense" localSheetId="0" hidden="1">monday_model.lp!$EDH$1183</definedName>
    <definedName name="Constraint_1178" localSheetId="0" hidden="1">monday_model.lp!$C$1184:$EDE$1184</definedName>
    <definedName name="Constraint_1178_LHS" localSheetId="0" hidden="1">monday_model.lp!$EDG$1184</definedName>
    <definedName name="Constraint_1178_RHS" localSheetId="0" hidden="1">monday_model.lp!$EDI$1184</definedName>
    <definedName name="Constraint_1178_Sense" localSheetId="0" hidden="1">monday_model.lp!$EDH$1184</definedName>
    <definedName name="Constraint_1179" localSheetId="0" hidden="1">monday_model.lp!$C$1185:$EDE$1185</definedName>
    <definedName name="Constraint_1179_LHS" localSheetId="0" hidden="1">monday_model.lp!$EDG$1185</definedName>
    <definedName name="Constraint_1179_RHS" localSheetId="0" hidden="1">monday_model.lp!$EDI$1185</definedName>
    <definedName name="Constraint_1179_Sense" localSheetId="0" hidden="1">monday_model.lp!$EDH$1185</definedName>
    <definedName name="Constraint_118" localSheetId="0" hidden="1">monday_model.lp!$C$124:$EDE$124</definedName>
    <definedName name="Constraint_118_LHS" localSheetId="0" hidden="1">monday_model.lp!$EDG$124</definedName>
    <definedName name="Constraint_118_RHS" localSheetId="0" hidden="1">monday_model.lp!$EDI$124</definedName>
    <definedName name="Constraint_118_Sense" localSheetId="0" hidden="1">monday_model.lp!$EDH$124</definedName>
    <definedName name="Constraint_1180" localSheetId="0" hidden="1">monday_model.lp!$C$1186:$EDE$1186</definedName>
    <definedName name="Constraint_1180_LHS" localSheetId="0" hidden="1">monday_model.lp!$EDG$1186</definedName>
    <definedName name="Constraint_1180_RHS" localSheetId="0" hidden="1">monday_model.lp!$EDI$1186</definedName>
    <definedName name="Constraint_1180_Sense" localSheetId="0" hidden="1">monday_model.lp!$EDH$1186</definedName>
    <definedName name="Constraint_1181" localSheetId="0" hidden="1">monday_model.lp!$C$1187:$EDE$1187</definedName>
    <definedName name="Constraint_1181_LHS" localSheetId="0" hidden="1">monday_model.lp!$EDG$1187</definedName>
    <definedName name="Constraint_1181_RHS" localSheetId="0" hidden="1">monday_model.lp!$EDI$1187</definedName>
    <definedName name="Constraint_1181_Sense" localSheetId="0" hidden="1">monday_model.lp!$EDH$1187</definedName>
    <definedName name="Constraint_1182" localSheetId="0" hidden="1">monday_model.lp!$C$1188:$EDE$1188</definedName>
    <definedName name="Constraint_1182_LHS" localSheetId="0" hidden="1">monday_model.lp!$EDG$1188</definedName>
    <definedName name="Constraint_1182_RHS" localSheetId="0" hidden="1">monday_model.lp!$EDI$1188</definedName>
    <definedName name="Constraint_1182_Sense" localSheetId="0" hidden="1">monday_model.lp!$EDH$1188</definedName>
    <definedName name="Constraint_1183" localSheetId="0" hidden="1">monday_model.lp!$C$1189:$EDE$1189</definedName>
    <definedName name="Constraint_1183_LHS" localSheetId="0" hidden="1">monday_model.lp!$EDG$1189</definedName>
    <definedName name="Constraint_1183_RHS" localSheetId="0" hidden="1">monday_model.lp!$EDI$1189</definedName>
    <definedName name="Constraint_1183_Sense" localSheetId="0" hidden="1">monday_model.lp!$EDH$1189</definedName>
    <definedName name="Constraint_1184" localSheetId="0" hidden="1">monday_model.lp!$C$1190:$EDE$1190</definedName>
    <definedName name="Constraint_1184_LHS" localSheetId="0" hidden="1">monday_model.lp!$EDG$1190</definedName>
    <definedName name="Constraint_1184_RHS" localSheetId="0" hidden="1">monday_model.lp!$EDI$1190</definedName>
    <definedName name="Constraint_1184_Sense" localSheetId="0" hidden="1">monday_model.lp!$EDH$1190</definedName>
    <definedName name="Constraint_1185" localSheetId="0" hidden="1">monday_model.lp!$C$1191:$EDE$1191</definedName>
    <definedName name="Constraint_1185_LHS" localSheetId="0" hidden="1">monday_model.lp!$EDG$1191</definedName>
    <definedName name="Constraint_1185_RHS" localSheetId="0" hidden="1">monday_model.lp!$EDI$1191</definedName>
    <definedName name="Constraint_1185_Sense" localSheetId="0" hidden="1">monday_model.lp!$EDH$1191</definedName>
    <definedName name="Constraint_1186" localSheetId="0" hidden="1">monday_model.lp!$C$1192:$EDE$1192</definedName>
    <definedName name="Constraint_1186_LHS" localSheetId="0" hidden="1">monday_model.lp!$EDG$1192</definedName>
    <definedName name="Constraint_1186_RHS" localSheetId="0" hidden="1">monday_model.lp!$EDI$1192</definedName>
    <definedName name="Constraint_1186_Sense" localSheetId="0" hidden="1">monday_model.lp!$EDH$1192</definedName>
    <definedName name="Constraint_1187" localSheetId="0" hidden="1">monday_model.lp!$C$1193:$EDE$1193</definedName>
    <definedName name="Constraint_1187_LHS" localSheetId="0" hidden="1">monday_model.lp!$EDG$1193</definedName>
    <definedName name="Constraint_1187_RHS" localSheetId="0" hidden="1">monday_model.lp!$EDI$1193</definedName>
    <definedName name="Constraint_1187_Sense" localSheetId="0" hidden="1">monday_model.lp!$EDH$1193</definedName>
    <definedName name="Constraint_1188" localSheetId="0" hidden="1">monday_model.lp!$C$1194:$EDE$1194</definedName>
    <definedName name="Constraint_1188_LHS" localSheetId="0" hidden="1">monday_model.lp!$EDG$1194</definedName>
    <definedName name="Constraint_1188_RHS" localSheetId="0" hidden="1">monday_model.lp!$EDI$1194</definedName>
    <definedName name="Constraint_1188_Sense" localSheetId="0" hidden="1">monday_model.lp!$EDH$1194</definedName>
    <definedName name="Constraint_1189" localSheetId="0" hidden="1">monday_model.lp!$C$1195:$EDE$1195</definedName>
    <definedName name="Constraint_1189_LHS" localSheetId="0" hidden="1">monday_model.lp!$EDG$1195</definedName>
    <definedName name="Constraint_1189_RHS" localSheetId="0" hidden="1">monday_model.lp!$EDI$1195</definedName>
    <definedName name="Constraint_1189_Sense" localSheetId="0" hidden="1">monday_model.lp!$EDH$1195</definedName>
    <definedName name="Constraint_119" localSheetId="0" hidden="1">monday_model.lp!$C$125:$EDE$125</definedName>
    <definedName name="Constraint_119_LHS" localSheetId="0" hidden="1">monday_model.lp!$EDG$125</definedName>
    <definedName name="Constraint_119_RHS" localSheetId="0" hidden="1">monday_model.lp!$EDI$125</definedName>
    <definedName name="Constraint_119_Sense" localSheetId="0" hidden="1">monday_model.lp!$EDH$125</definedName>
    <definedName name="Constraint_1190" localSheetId="0" hidden="1">monday_model.lp!$C$1196:$EDE$1196</definedName>
    <definedName name="Constraint_1190_LHS" localSheetId="0" hidden="1">monday_model.lp!$EDG$1196</definedName>
    <definedName name="Constraint_1190_RHS" localSheetId="0" hidden="1">monday_model.lp!$EDI$1196</definedName>
    <definedName name="Constraint_1190_Sense" localSheetId="0" hidden="1">monday_model.lp!$EDH$1196</definedName>
    <definedName name="Constraint_1191" localSheetId="0" hidden="1">monday_model.lp!$C$1197:$EDE$1197</definedName>
    <definedName name="Constraint_1191_LHS" localSheetId="0" hidden="1">monday_model.lp!$EDG$1197</definedName>
    <definedName name="Constraint_1191_RHS" localSheetId="0" hidden="1">monday_model.lp!$EDI$1197</definedName>
    <definedName name="Constraint_1191_Sense" localSheetId="0" hidden="1">monday_model.lp!$EDH$1197</definedName>
    <definedName name="Constraint_1192" localSheetId="0" hidden="1">monday_model.lp!$C$1198:$EDE$1198</definedName>
    <definedName name="Constraint_1192_LHS" localSheetId="0" hidden="1">monday_model.lp!$EDG$1198</definedName>
    <definedName name="Constraint_1192_RHS" localSheetId="0" hidden="1">monday_model.lp!$EDI$1198</definedName>
    <definedName name="Constraint_1192_Sense" localSheetId="0" hidden="1">monday_model.lp!$EDH$1198</definedName>
    <definedName name="Constraint_1193" localSheetId="0" hidden="1">monday_model.lp!$C$1199:$EDE$1199</definedName>
    <definedName name="Constraint_1193_LHS" localSheetId="0" hidden="1">monday_model.lp!$EDG$1199</definedName>
    <definedName name="Constraint_1193_RHS" localSheetId="0" hidden="1">monday_model.lp!$EDI$1199</definedName>
    <definedName name="Constraint_1193_Sense" localSheetId="0" hidden="1">monday_model.lp!$EDH$1199</definedName>
    <definedName name="Constraint_1194" localSheetId="0" hidden="1">monday_model.lp!$C$1200:$EDE$1200</definedName>
    <definedName name="Constraint_1194_LHS" localSheetId="0" hidden="1">monday_model.lp!$EDG$1200</definedName>
    <definedName name="Constraint_1194_RHS" localSheetId="0" hidden="1">monday_model.lp!$EDI$1200</definedName>
    <definedName name="Constraint_1194_Sense" localSheetId="0" hidden="1">monday_model.lp!$EDH$1200</definedName>
    <definedName name="Constraint_1195" localSheetId="0" hidden="1">monday_model.lp!$C$1201:$EDE$1201</definedName>
    <definedName name="Constraint_1195_LHS" localSheetId="0" hidden="1">monday_model.lp!$EDG$1201</definedName>
    <definedName name="Constraint_1195_RHS" localSheetId="0" hidden="1">monday_model.lp!$EDI$1201</definedName>
    <definedName name="Constraint_1195_Sense" localSheetId="0" hidden="1">monday_model.lp!$EDH$1201</definedName>
    <definedName name="Constraint_1196" localSheetId="0" hidden="1">monday_model.lp!$C$1202:$EDE$1202</definedName>
    <definedName name="Constraint_1196_LHS" localSheetId="0" hidden="1">monday_model.lp!$EDG$1202</definedName>
    <definedName name="Constraint_1196_RHS" localSheetId="0" hidden="1">monday_model.lp!$EDI$1202</definedName>
    <definedName name="Constraint_1196_Sense" localSheetId="0" hidden="1">monday_model.lp!$EDH$1202</definedName>
    <definedName name="Constraint_1197" localSheetId="0" hidden="1">monday_model.lp!$C$1203:$EDE$1203</definedName>
    <definedName name="Constraint_1197_LHS" localSheetId="0" hidden="1">monday_model.lp!$EDG$1203</definedName>
    <definedName name="Constraint_1197_RHS" localSheetId="0" hidden="1">monday_model.lp!$EDI$1203</definedName>
    <definedName name="Constraint_1197_Sense" localSheetId="0" hidden="1">monday_model.lp!$EDH$1203</definedName>
    <definedName name="Constraint_1198" localSheetId="0" hidden="1">monday_model.lp!$C$1204:$EDE$1204</definedName>
    <definedName name="Constraint_1198_LHS" localSheetId="0" hidden="1">monday_model.lp!$EDG$1204</definedName>
    <definedName name="Constraint_1198_RHS" localSheetId="0" hidden="1">monday_model.lp!$EDI$1204</definedName>
    <definedName name="Constraint_1198_Sense" localSheetId="0" hidden="1">monday_model.lp!$EDH$1204</definedName>
    <definedName name="Constraint_1199" localSheetId="0" hidden="1">monday_model.lp!$C$1205:$EDE$1205</definedName>
    <definedName name="Constraint_1199_LHS" localSheetId="0" hidden="1">monday_model.lp!$EDG$1205</definedName>
    <definedName name="Constraint_1199_RHS" localSheetId="0" hidden="1">monday_model.lp!$EDI$1205</definedName>
    <definedName name="Constraint_1199_Sense" localSheetId="0" hidden="1">monday_model.lp!$EDH$1205</definedName>
    <definedName name="Constraint_12" localSheetId="0" hidden="1">monday_model.lp!$C$18:$EDE$18</definedName>
    <definedName name="Constraint_12_LHS" localSheetId="0" hidden="1">monday_model.lp!$EDG$18</definedName>
    <definedName name="Constraint_12_RHS" localSheetId="0" hidden="1">monday_model.lp!$EDI$18</definedName>
    <definedName name="Constraint_12_Sense" localSheetId="0" hidden="1">monday_model.lp!$EDH$18</definedName>
    <definedName name="Constraint_120" localSheetId="0" hidden="1">monday_model.lp!$C$126:$EDE$126</definedName>
    <definedName name="Constraint_120_LHS" localSheetId="0" hidden="1">monday_model.lp!$EDG$126</definedName>
    <definedName name="Constraint_120_RHS" localSheetId="0" hidden="1">monday_model.lp!$EDI$126</definedName>
    <definedName name="Constraint_120_Sense" localSheetId="0" hidden="1">monday_model.lp!$EDH$126</definedName>
    <definedName name="Constraint_1200" localSheetId="0" hidden="1">monday_model.lp!$C$1206:$EDE$1206</definedName>
    <definedName name="Constraint_1200_LHS" localSheetId="0" hidden="1">monday_model.lp!$EDG$1206</definedName>
    <definedName name="Constraint_1200_RHS" localSheetId="0" hidden="1">monday_model.lp!$EDI$1206</definedName>
    <definedName name="Constraint_1200_Sense" localSheetId="0" hidden="1">monday_model.lp!$EDH$1206</definedName>
    <definedName name="Constraint_1201" localSheetId="0" hidden="1">monday_model.lp!$C$1207:$EDE$1207</definedName>
    <definedName name="Constraint_1201_LHS" localSheetId="0" hidden="1">monday_model.lp!$EDG$1207</definedName>
    <definedName name="Constraint_1201_RHS" localSheetId="0" hidden="1">monday_model.lp!$EDI$1207</definedName>
    <definedName name="Constraint_1201_Sense" localSheetId="0" hidden="1">monday_model.lp!$EDH$1207</definedName>
    <definedName name="Constraint_1202" localSheetId="0" hidden="1">monday_model.lp!$C$1208:$EDE$1208</definedName>
    <definedName name="Constraint_1202_LHS" localSheetId="0" hidden="1">monday_model.lp!$EDG$1208</definedName>
    <definedName name="Constraint_1202_RHS" localSheetId="0" hidden="1">monday_model.lp!$EDI$1208</definedName>
    <definedName name="Constraint_1202_Sense" localSheetId="0" hidden="1">monday_model.lp!$EDH$1208</definedName>
    <definedName name="Constraint_1203" localSheetId="0" hidden="1">monday_model.lp!$C$1209:$EDE$1209</definedName>
    <definedName name="Constraint_1203_LHS" localSheetId="0" hidden="1">monday_model.lp!$EDG$1209</definedName>
    <definedName name="Constraint_1203_RHS" localSheetId="0" hidden="1">monday_model.lp!$EDI$1209</definedName>
    <definedName name="Constraint_1203_Sense" localSheetId="0" hidden="1">monday_model.lp!$EDH$1209</definedName>
    <definedName name="Constraint_1204" localSheetId="0" hidden="1">monday_model.lp!$C$1210:$EDE$1210</definedName>
    <definedName name="Constraint_1204_LHS" localSheetId="0" hidden="1">monday_model.lp!$EDG$1210</definedName>
    <definedName name="Constraint_1204_RHS" localSheetId="0" hidden="1">monday_model.lp!$EDI$1210</definedName>
    <definedName name="Constraint_1204_Sense" localSheetId="0" hidden="1">monday_model.lp!$EDH$1210</definedName>
    <definedName name="Constraint_1205" localSheetId="0" hidden="1">monday_model.lp!$C$1211:$EDE$1211</definedName>
    <definedName name="Constraint_1205_LHS" localSheetId="0" hidden="1">monday_model.lp!$EDG$1211</definedName>
    <definedName name="Constraint_1205_RHS" localSheetId="0" hidden="1">monday_model.lp!$EDI$1211</definedName>
    <definedName name="Constraint_1205_Sense" localSheetId="0" hidden="1">monday_model.lp!$EDH$1211</definedName>
    <definedName name="Constraint_1206" localSheetId="0" hidden="1">monday_model.lp!$C$1212:$EDE$1212</definedName>
    <definedName name="Constraint_1206_LHS" localSheetId="0" hidden="1">monday_model.lp!$EDG$1212</definedName>
    <definedName name="Constraint_1206_RHS" localSheetId="0" hidden="1">monday_model.lp!$EDI$1212</definedName>
    <definedName name="Constraint_1206_Sense" localSheetId="0" hidden="1">monday_model.lp!$EDH$1212</definedName>
    <definedName name="Constraint_1207" localSheetId="0" hidden="1">monday_model.lp!$C$1213:$EDE$1213</definedName>
    <definedName name="Constraint_1207_LHS" localSheetId="0" hidden="1">monday_model.lp!$EDG$1213</definedName>
    <definedName name="Constraint_1207_RHS" localSheetId="0" hidden="1">monday_model.lp!$EDI$1213</definedName>
    <definedName name="Constraint_1207_Sense" localSheetId="0" hidden="1">monday_model.lp!$EDH$1213</definedName>
    <definedName name="Constraint_1208" localSheetId="0" hidden="1">monday_model.lp!$C$1214:$EDE$1214</definedName>
    <definedName name="Constraint_1208_LHS" localSheetId="0" hidden="1">monday_model.lp!$EDG$1214</definedName>
    <definedName name="Constraint_1208_RHS" localSheetId="0" hidden="1">monday_model.lp!$EDI$1214</definedName>
    <definedName name="Constraint_1208_Sense" localSheetId="0" hidden="1">monday_model.lp!$EDH$1214</definedName>
    <definedName name="Constraint_1209" localSheetId="0" hidden="1">monday_model.lp!$C$1215:$EDE$1215</definedName>
    <definedName name="Constraint_1209_LHS" localSheetId="0" hidden="1">monday_model.lp!$EDG$1215</definedName>
    <definedName name="Constraint_1209_RHS" localSheetId="0" hidden="1">monday_model.lp!$EDI$1215</definedName>
    <definedName name="Constraint_1209_Sense" localSheetId="0" hidden="1">monday_model.lp!$EDH$1215</definedName>
    <definedName name="Constraint_121" localSheetId="0" hidden="1">monday_model.lp!$C$127:$EDE$127</definedName>
    <definedName name="Constraint_121_LHS" localSheetId="0" hidden="1">monday_model.lp!$EDG$127</definedName>
    <definedName name="Constraint_121_RHS" localSheetId="0" hidden="1">monday_model.lp!$EDI$127</definedName>
    <definedName name="Constraint_121_Sense" localSheetId="0" hidden="1">monday_model.lp!$EDH$127</definedName>
    <definedName name="Constraint_1210" localSheetId="0" hidden="1">monday_model.lp!$C$1216:$EDE$1216</definedName>
    <definedName name="Constraint_1210_LHS" localSheetId="0" hidden="1">monday_model.lp!$EDG$1216</definedName>
    <definedName name="Constraint_1210_RHS" localSheetId="0" hidden="1">monday_model.lp!$EDI$1216</definedName>
    <definedName name="Constraint_1210_Sense" localSheetId="0" hidden="1">monday_model.lp!$EDH$1216</definedName>
    <definedName name="Constraint_1211" localSheetId="0" hidden="1">monday_model.lp!$C$1217:$EDE$1217</definedName>
    <definedName name="Constraint_1211_LHS" localSheetId="0" hidden="1">monday_model.lp!$EDG$1217</definedName>
    <definedName name="Constraint_1211_RHS" localSheetId="0" hidden="1">monday_model.lp!$EDI$1217</definedName>
    <definedName name="Constraint_1211_Sense" localSheetId="0" hidden="1">monday_model.lp!$EDH$1217</definedName>
    <definedName name="Constraint_1212" localSheetId="0" hidden="1">monday_model.lp!$C$1218:$EDE$1218</definedName>
    <definedName name="Constraint_1212_LHS" localSheetId="0" hidden="1">monday_model.lp!$EDG$1218</definedName>
    <definedName name="Constraint_1212_RHS" localSheetId="0" hidden="1">monday_model.lp!$EDI$1218</definedName>
    <definedName name="Constraint_1212_Sense" localSheetId="0" hidden="1">monday_model.lp!$EDH$1218</definedName>
    <definedName name="Constraint_1213" localSheetId="0" hidden="1">monday_model.lp!$C$1219:$EDE$1219</definedName>
    <definedName name="Constraint_1213_LHS" localSheetId="0" hidden="1">monday_model.lp!$EDG$1219</definedName>
    <definedName name="Constraint_1213_RHS" localSheetId="0" hidden="1">monday_model.lp!$EDI$1219</definedName>
    <definedName name="Constraint_1213_Sense" localSheetId="0" hidden="1">monday_model.lp!$EDH$1219</definedName>
    <definedName name="Constraint_1214" localSheetId="0" hidden="1">monday_model.lp!$C$1220:$EDE$1220</definedName>
    <definedName name="Constraint_1214_LHS" localSheetId="0" hidden="1">monday_model.lp!$EDG$1220</definedName>
    <definedName name="Constraint_1214_RHS" localSheetId="0" hidden="1">monday_model.lp!$EDI$1220</definedName>
    <definedName name="Constraint_1214_Sense" localSheetId="0" hidden="1">monday_model.lp!$EDH$1220</definedName>
    <definedName name="Constraint_1215" localSheetId="0" hidden="1">monday_model.lp!$C$1221:$EDE$1221</definedName>
    <definedName name="Constraint_1215_LHS" localSheetId="0" hidden="1">monday_model.lp!$EDG$1221</definedName>
    <definedName name="Constraint_1215_RHS" localSheetId="0" hidden="1">monday_model.lp!$EDI$1221</definedName>
    <definedName name="Constraint_1215_Sense" localSheetId="0" hidden="1">monday_model.lp!$EDH$1221</definedName>
    <definedName name="Constraint_1216" localSheetId="0" hidden="1">monday_model.lp!$C$1222:$EDE$1222</definedName>
    <definedName name="Constraint_1216_LHS" localSheetId="0" hidden="1">monday_model.lp!$EDG$1222</definedName>
    <definedName name="Constraint_1216_RHS" localSheetId="0" hidden="1">monday_model.lp!$EDI$1222</definedName>
    <definedName name="Constraint_1216_Sense" localSheetId="0" hidden="1">monday_model.lp!$EDH$1222</definedName>
    <definedName name="Constraint_1217" localSheetId="0" hidden="1">monday_model.lp!$C$1223:$EDE$1223</definedName>
    <definedName name="Constraint_1217_LHS" localSheetId="0" hidden="1">monday_model.lp!$EDG$1223</definedName>
    <definedName name="Constraint_1217_RHS" localSheetId="0" hidden="1">monday_model.lp!$EDI$1223</definedName>
    <definedName name="Constraint_1217_Sense" localSheetId="0" hidden="1">monday_model.lp!$EDH$1223</definedName>
    <definedName name="Constraint_1218" localSheetId="0" hidden="1">monday_model.lp!$C$1224:$EDE$1224</definedName>
    <definedName name="Constraint_1218_LHS" localSheetId="0" hidden="1">monday_model.lp!$EDG$1224</definedName>
    <definedName name="Constraint_1218_RHS" localSheetId="0" hidden="1">monday_model.lp!$EDI$1224</definedName>
    <definedName name="Constraint_1218_Sense" localSheetId="0" hidden="1">monday_model.lp!$EDH$1224</definedName>
    <definedName name="Constraint_1219" localSheetId="0" hidden="1">monday_model.lp!$C$1225:$EDE$1225</definedName>
    <definedName name="Constraint_1219_LHS" localSheetId="0" hidden="1">monday_model.lp!$EDG$1225</definedName>
    <definedName name="Constraint_1219_RHS" localSheetId="0" hidden="1">monday_model.lp!$EDI$1225</definedName>
    <definedName name="Constraint_1219_Sense" localSheetId="0" hidden="1">monday_model.lp!$EDH$1225</definedName>
    <definedName name="Constraint_122" localSheetId="0" hidden="1">monday_model.lp!$C$128:$EDE$128</definedName>
    <definedName name="Constraint_122_LHS" localSheetId="0" hidden="1">monday_model.lp!$EDG$128</definedName>
    <definedName name="Constraint_122_RHS" localSheetId="0" hidden="1">monday_model.lp!$EDI$128</definedName>
    <definedName name="Constraint_122_Sense" localSheetId="0" hidden="1">monday_model.lp!$EDH$128</definedName>
    <definedName name="Constraint_1220" localSheetId="0" hidden="1">monday_model.lp!$C$1226:$EDE$1226</definedName>
    <definedName name="Constraint_1220_LHS" localSheetId="0" hidden="1">monday_model.lp!$EDG$1226</definedName>
    <definedName name="Constraint_1220_RHS" localSheetId="0" hidden="1">monday_model.lp!$EDI$1226</definedName>
    <definedName name="Constraint_1220_Sense" localSheetId="0" hidden="1">monday_model.lp!$EDH$1226</definedName>
    <definedName name="Constraint_1221" localSheetId="0" hidden="1">monday_model.lp!$C$1227:$EDE$1227</definedName>
    <definedName name="Constraint_1221_LHS" localSheetId="0" hidden="1">monday_model.lp!$EDG$1227</definedName>
    <definedName name="Constraint_1221_RHS" localSheetId="0" hidden="1">monday_model.lp!$EDI$1227</definedName>
    <definedName name="Constraint_1221_Sense" localSheetId="0" hidden="1">monday_model.lp!$EDH$1227</definedName>
    <definedName name="Constraint_1222" localSheetId="0" hidden="1">monday_model.lp!$C$1228:$EDE$1228</definedName>
    <definedName name="Constraint_1222_LHS" localSheetId="0" hidden="1">monday_model.lp!$EDG$1228</definedName>
    <definedName name="Constraint_1222_RHS" localSheetId="0" hidden="1">monday_model.lp!$EDI$1228</definedName>
    <definedName name="Constraint_1222_Sense" localSheetId="0" hidden="1">monday_model.lp!$EDH$1228</definedName>
    <definedName name="Constraint_1223" localSheetId="0" hidden="1">monday_model.lp!$C$1229:$EDE$1229</definedName>
    <definedName name="Constraint_1223_LHS" localSheetId="0" hidden="1">monday_model.lp!$EDG$1229</definedName>
    <definedName name="Constraint_1223_RHS" localSheetId="0" hidden="1">monday_model.lp!$EDI$1229</definedName>
    <definedName name="Constraint_1223_Sense" localSheetId="0" hidden="1">monday_model.lp!$EDH$1229</definedName>
    <definedName name="Constraint_1224" localSheetId="0" hidden="1">monday_model.lp!$C$1230:$EDE$1230</definedName>
    <definedName name="Constraint_1224_LHS" localSheetId="0" hidden="1">monday_model.lp!$EDG$1230</definedName>
    <definedName name="Constraint_1224_RHS" localSheetId="0" hidden="1">monday_model.lp!$EDI$1230</definedName>
    <definedName name="Constraint_1224_Sense" localSheetId="0" hidden="1">monday_model.lp!$EDH$1230</definedName>
    <definedName name="Constraint_1225" localSheetId="0" hidden="1">monday_model.lp!$C$1231:$EDE$1231</definedName>
    <definedName name="Constraint_1225_LHS" localSheetId="0" hidden="1">monday_model.lp!$EDG$1231</definedName>
    <definedName name="Constraint_1225_RHS" localSheetId="0" hidden="1">monday_model.lp!$EDI$1231</definedName>
    <definedName name="Constraint_1225_Sense" localSheetId="0" hidden="1">monday_model.lp!$EDH$1231</definedName>
    <definedName name="Constraint_1226" localSheetId="0" hidden="1">monday_model.lp!$C$1232:$EDE$1232</definedName>
    <definedName name="Constraint_1226_LHS" localSheetId="0" hidden="1">monday_model.lp!$EDG$1232</definedName>
    <definedName name="Constraint_1226_RHS" localSheetId="0" hidden="1">monday_model.lp!$EDI$1232</definedName>
    <definedName name="Constraint_1226_Sense" localSheetId="0" hidden="1">monday_model.lp!$EDH$1232</definedName>
    <definedName name="Constraint_1227" localSheetId="0" hidden="1">monday_model.lp!$C$1233:$EDE$1233</definedName>
    <definedName name="Constraint_1227_LHS" localSheetId="0" hidden="1">monday_model.lp!$EDG$1233</definedName>
    <definedName name="Constraint_1227_RHS" localSheetId="0" hidden="1">monday_model.lp!$EDI$1233</definedName>
    <definedName name="Constraint_1227_Sense" localSheetId="0" hidden="1">monday_model.lp!$EDH$1233</definedName>
    <definedName name="Constraint_1228" localSheetId="0" hidden="1">monday_model.lp!$C$1234:$EDE$1234</definedName>
    <definedName name="Constraint_1228_LHS" localSheetId="0" hidden="1">monday_model.lp!$EDG$1234</definedName>
    <definedName name="Constraint_1228_RHS" localSheetId="0" hidden="1">monday_model.lp!$EDI$1234</definedName>
    <definedName name="Constraint_1228_Sense" localSheetId="0" hidden="1">monday_model.lp!$EDH$1234</definedName>
    <definedName name="Constraint_1229" localSheetId="0" hidden="1">monday_model.lp!$C$1235:$EDE$1235</definedName>
    <definedName name="Constraint_1229_LHS" localSheetId="0" hidden="1">monday_model.lp!$EDG$1235</definedName>
    <definedName name="Constraint_1229_RHS" localSheetId="0" hidden="1">monday_model.lp!$EDI$1235</definedName>
    <definedName name="Constraint_1229_Sense" localSheetId="0" hidden="1">monday_model.lp!$EDH$1235</definedName>
    <definedName name="Constraint_123" localSheetId="0" hidden="1">monday_model.lp!$C$129:$EDE$129</definedName>
    <definedName name="Constraint_123_LHS" localSheetId="0" hidden="1">monday_model.lp!$EDG$129</definedName>
    <definedName name="Constraint_123_RHS" localSheetId="0" hidden="1">monday_model.lp!$EDI$129</definedName>
    <definedName name="Constraint_123_Sense" localSheetId="0" hidden="1">monday_model.lp!$EDH$129</definedName>
    <definedName name="Constraint_1230" localSheetId="0" hidden="1">monday_model.lp!$C$1236:$EDE$1236</definedName>
    <definedName name="Constraint_1230_LHS" localSheetId="0" hidden="1">monday_model.lp!$EDG$1236</definedName>
    <definedName name="Constraint_1230_RHS" localSheetId="0" hidden="1">monday_model.lp!$EDI$1236</definedName>
    <definedName name="Constraint_1230_Sense" localSheetId="0" hidden="1">monday_model.lp!$EDH$1236</definedName>
    <definedName name="Constraint_1231" localSheetId="0" hidden="1">monday_model.lp!$C$1237:$EDE$1237</definedName>
    <definedName name="Constraint_1231_LHS" localSheetId="0" hidden="1">monday_model.lp!$EDG$1237</definedName>
    <definedName name="Constraint_1231_RHS" localSheetId="0" hidden="1">monday_model.lp!$EDI$1237</definedName>
    <definedName name="Constraint_1231_Sense" localSheetId="0" hidden="1">monday_model.lp!$EDH$1237</definedName>
    <definedName name="Constraint_1232" localSheetId="0" hidden="1">monday_model.lp!$C$1238:$EDE$1238</definedName>
    <definedName name="Constraint_1232_LHS" localSheetId="0" hidden="1">monday_model.lp!$EDG$1238</definedName>
    <definedName name="Constraint_1232_RHS" localSheetId="0" hidden="1">monday_model.lp!$EDI$1238</definedName>
    <definedName name="Constraint_1232_Sense" localSheetId="0" hidden="1">monday_model.lp!$EDH$1238</definedName>
    <definedName name="Constraint_1233" localSheetId="0" hidden="1">monday_model.lp!$C$1239:$EDE$1239</definedName>
    <definedName name="Constraint_1233_LHS" localSheetId="0" hidden="1">monday_model.lp!$EDG$1239</definedName>
    <definedName name="Constraint_1233_RHS" localSheetId="0" hidden="1">monday_model.lp!$EDI$1239</definedName>
    <definedName name="Constraint_1233_Sense" localSheetId="0" hidden="1">monday_model.lp!$EDH$1239</definedName>
    <definedName name="Constraint_1234" localSheetId="0" hidden="1">monday_model.lp!$C$1240:$EDE$1240</definedName>
    <definedName name="Constraint_1234_LHS" localSheetId="0" hidden="1">monday_model.lp!$EDG$1240</definedName>
    <definedName name="Constraint_1234_RHS" localSheetId="0" hidden="1">monday_model.lp!$EDI$1240</definedName>
    <definedName name="Constraint_1234_Sense" localSheetId="0" hidden="1">monday_model.lp!$EDH$1240</definedName>
    <definedName name="Constraint_1235" localSheetId="0" hidden="1">monday_model.lp!$C$1241:$EDE$1241</definedName>
    <definedName name="Constraint_1235_LHS" localSheetId="0" hidden="1">monday_model.lp!$EDG$1241</definedName>
    <definedName name="Constraint_1235_RHS" localSheetId="0" hidden="1">monday_model.lp!$EDI$1241</definedName>
    <definedName name="Constraint_1235_Sense" localSheetId="0" hidden="1">monday_model.lp!$EDH$1241</definedName>
    <definedName name="Constraint_1236" localSheetId="0" hidden="1">monday_model.lp!$C$1242:$EDE$1242</definedName>
    <definedName name="Constraint_1236_LHS" localSheetId="0" hidden="1">monday_model.lp!$EDG$1242</definedName>
    <definedName name="Constraint_1236_RHS" localSheetId="0" hidden="1">monday_model.lp!$EDI$1242</definedName>
    <definedName name="Constraint_1236_Sense" localSheetId="0" hidden="1">monday_model.lp!$EDH$1242</definedName>
    <definedName name="Constraint_1237" localSheetId="0" hidden="1">monday_model.lp!$C$1243:$EDE$1243</definedName>
    <definedName name="Constraint_1237_LHS" localSheetId="0" hidden="1">monday_model.lp!$EDG$1243</definedName>
    <definedName name="Constraint_1237_RHS" localSheetId="0" hidden="1">monday_model.lp!$EDI$1243</definedName>
    <definedName name="Constraint_1237_Sense" localSheetId="0" hidden="1">monday_model.lp!$EDH$1243</definedName>
    <definedName name="Constraint_1238" localSheetId="0" hidden="1">monday_model.lp!$C$1244:$EDE$1244</definedName>
    <definedName name="Constraint_1238_LHS" localSheetId="0" hidden="1">monday_model.lp!$EDG$1244</definedName>
    <definedName name="Constraint_1238_RHS" localSheetId="0" hidden="1">monday_model.lp!$EDI$1244</definedName>
    <definedName name="Constraint_1238_Sense" localSheetId="0" hidden="1">monday_model.lp!$EDH$1244</definedName>
    <definedName name="Constraint_1239" localSheetId="0" hidden="1">monday_model.lp!$C$1245:$EDE$1245</definedName>
    <definedName name="Constraint_1239_LHS" localSheetId="0" hidden="1">monday_model.lp!$EDG$1245</definedName>
    <definedName name="Constraint_1239_RHS" localSheetId="0" hidden="1">monday_model.lp!$EDI$1245</definedName>
    <definedName name="Constraint_1239_Sense" localSheetId="0" hidden="1">monday_model.lp!$EDH$1245</definedName>
    <definedName name="Constraint_124" localSheetId="0" hidden="1">monday_model.lp!$C$130:$EDE$130</definedName>
    <definedName name="Constraint_124_LHS" localSheetId="0" hidden="1">monday_model.lp!$EDG$130</definedName>
    <definedName name="Constraint_124_RHS" localSheetId="0" hidden="1">monday_model.lp!$EDI$130</definedName>
    <definedName name="Constraint_124_Sense" localSheetId="0" hidden="1">monday_model.lp!$EDH$130</definedName>
    <definedName name="Constraint_1240" localSheetId="0" hidden="1">monday_model.lp!$C$1246:$EDE$1246</definedName>
    <definedName name="Constraint_1240_LHS" localSheetId="0" hidden="1">monday_model.lp!$EDG$1246</definedName>
    <definedName name="Constraint_1240_RHS" localSheetId="0" hidden="1">monday_model.lp!$EDI$1246</definedName>
    <definedName name="Constraint_1240_Sense" localSheetId="0" hidden="1">monday_model.lp!$EDH$1246</definedName>
    <definedName name="Constraint_1241" localSheetId="0" hidden="1">monday_model.lp!$C$1247:$EDE$1247</definedName>
    <definedName name="Constraint_1241_LHS" localSheetId="0" hidden="1">monday_model.lp!$EDG$1247</definedName>
    <definedName name="Constraint_1241_RHS" localSheetId="0" hidden="1">monday_model.lp!$EDI$1247</definedName>
    <definedName name="Constraint_1241_Sense" localSheetId="0" hidden="1">monday_model.lp!$EDH$1247</definedName>
    <definedName name="Constraint_1242" localSheetId="0" hidden="1">monday_model.lp!$C$1248:$EDE$1248</definedName>
    <definedName name="Constraint_1242_LHS" localSheetId="0" hidden="1">monday_model.lp!$EDG$1248</definedName>
    <definedName name="Constraint_1242_RHS" localSheetId="0" hidden="1">monday_model.lp!$EDI$1248</definedName>
    <definedName name="Constraint_1242_Sense" localSheetId="0" hidden="1">monday_model.lp!$EDH$1248</definedName>
    <definedName name="Constraint_1243" localSheetId="0" hidden="1">monday_model.lp!$C$1249:$EDE$1249</definedName>
    <definedName name="Constraint_1243_LHS" localSheetId="0" hidden="1">monday_model.lp!$EDG$1249</definedName>
    <definedName name="Constraint_1243_RHS" localSheetId="0" hidden="1">monday_model.lp!$EDI$1249</definedName>
    <definedName name="Constraint_1243_Sense" localSheetId="0" hidden="1">monday_model.lp!$EDH$1249</definedName>
    <definedName name="Constraint_1244" localSheetId="0" hidden="1">monday_model.lp!$C$1250:$EDE$1250</definedName>
    <definedName name="Constraint_1244_LHS" localSheetId="0" hidden="1">monday_model.lp!$EDG$1250</definedName>
    <definedName name="Constraint_1244_RHS" localSheetId="0" hidden="1">monday_model.lp!$EDI$1250</definedName>
    <definedName name="Constraint_1244_Sense" localSheetId="0" hidden="1">monday_model.lp!$EDH$1250</definedName>
    <definedName name="Constraint_1245" localSheetId="0" hidden="1">monday_model.lp!$C$1251:$EDE$1251</definedName>
    <definedName name="Constraint_1245_LHS" localSheetId="0" hidden="1">monday_model.lp!$EDG$1251</definedName>
    <definedName name="Constraint_1245_RHS" localSheetId="0" hidden="1">monday_model.lp!$EDI$1251</definedName>
    <definedName name="Constraint_1245_Sense" localSheetId="0" hidden="1">monday_model.lp!$EDH$1251</definedName>
    <definedName name="Constraint_1246" localSheetId="0" hidden="1">monday_model.lp!$C$1252:$EDE$1252</definedName>
    <definedName name="Constraint_1246_LHS" localSheetId="0" hidden="1">monday_model.lp!$EDG$1252</definedName>
    <definedName name="Constraint_1246_RHS" localSheetId="0" hidden="1">monday_model.lp!$EDI$1252</definedName>
    <definedName name="Constraint_1246_Sense" localSheetId="0" hidden="1">monday_model.lp!$EDH$1252</definedName>
    <definedName name="Constraint_1247" localSheetId="0" hidden="1">monday_model.lp!$C$1253:$EDE$1253</definedName>
    <definedName name="Constraint_1247_LHS" localSheetId="0" hidden="1">monday_model.lp!$EDG$1253</definedName>
    <definedName name="Constraint_1247_RHS" localSheetId="0" hidden="1">monday_model.lp!$EDI$1253</definedName>
    <definedName name="Constraint_1247_Sense" localSheetId="0" hidden="1">monday_model.lp!$EDH$1253</definedName>
    <definedName name="Constraint_1248" localSheetId="0" hidden="1">monday_model.lp!$C$1254:$EDE$1254</definedName>
    <definedName name="Constraint_1248_LHS" localSheetId="0" hidden="1">monday_model.lp!$EDG$1254</definedName>
    <definedName name="Constraint_1248_RHS" localSheetId="0" hidden="1">monday_model.lp!$EDI$1254</definedName>
    <definedName name="Constraint_1248_Sense" localSheetId="0" hidden="1">monday_model.lp!$EDH$1254</definedName>
    <definedName name="Constraint_1249" localSheetId="0" hidden="1">monday_model.lp!$C$1255:$EDE$1255</definedName>
    <definedName name="Constraint_1249_LHS" localSheetId="0" hidden="1">monday_model.lp!$EDG$1255</definedName>
    <definedName name="Constraint_1249_RHS" localSheetId="0" hidden="1">monday_model.lp!$EDI$1255</definedName>
    <definedName name="Constraint_1249_Sense" localSheetId="0" hidden="1">monday_model.lp!$EDH$1255</definedName>
    <definedName name="Constraint_125" localSheetId="0" hidden="1">monday_model.lp!$C$131:$EDE$131</definedName>
    <definedName name="Constraint_125_LHS" localSheetId="0" hidden="1">monday_model.lp!$EDG$131</definedName>
    <definedName name="Constraint_125_RHS" localSheetId="0" hidden="1">monday_model.lp!$EDI$131</definedName>
    <definedName name="Constraint_125_Sense" localSheetId="0" hidden="1">monday_model.lp!$EDH$131</definedName>
    <definedName name="Constraint_1250" localSheetId="0" hidden="1">monday_model.lp!$C$1256:$EDE$1256</definedName>
    <definedName name="Constraint_1250_LHS" localSheetId="0" hidden="1">monday_model.lp!$EDG$1256</definedName>
    <definedName name="Constraint_1250_RHS" localSheetId="0" hidden="1">monday_model.lp!$EDI$1256</definedName>
    <definedName name="Constraint_1250_Sense" localSheetId="0" hidden="1">monday_model.lp!$EDH$1256</definedName>
    <definedName name="Constraint_1251" localSheetId="0" hidden="1">monday_model.lp!$C$1257:$EDE$1257</definedName>
    <definedName name="Constraint_1251_LHS" localSheetId="0" hidden="1">monday_model.lp!$EDG$1257</definedName>
    <definedName name="Constraint_1251_RHS" localSheetId="0" hidden="1">monday_model.lp!$EDI$1257</definedName>
    <definedName name="Constraint_1251_Sense" localSheetId="0" hidden="1">monday_model.lp!$EDH$1257</definedName>
    <definedName name="Constraint_1252" localSheetId="0" hidden="1">monday_model.lp!$C$1258:$EDE$1258</definedName>
    <definedName name="Constraint_1252_LHS" localSheetId="0" hidden="1">monday_model.lp!$EDG$1258</definedName>
    <definedName name="Constraint_1252_RHS" localSheetId="0" hidden="1">monday_model.lp!$EDI$1258</definedName>
    <definedName name="Constraint_1252_Sense" localSheetId="0" hidden="1">monday_model.lp!$EDH$1258</definedName>
    <definedName name="Constraint_1253" localSheetId="0" hidden="1">monday_model.lp!$C$1259:$EDE$1259</definedName>
    <definedName name="Constraint_1253_LHS" localSheetId="0" hidden="1">monday_model.lp!$EDG$1259</definedName>
    <definedName name="Constraint_1253_RHS" localSheetId="0" hidden="1">monday_model.lp!$EDI$1259</definedName>
    <definedName name="Constraint_1253_Sense" localSheetId="0" hidden="1">monday_model.lp!$EDH$1259</definedName>
    <definedName name="Constraint_1254" localSheetId="0" hidden="1">monday_model.lp!$C$1260:$EDE$1260</definedName>
    <definedName name="Constraint_1254_LHS" localSheetId="0" hidden="1">monday_model.lp!$EDG$1260</definedName>
    <definedName name="Constraint_1254_RHS" localSheetId="0" hidden="1">monday_model.lp!$EDI$1260</definedName>
    <definedName name="Constraint_1254_Sense" localSheetId="0" hidden="1">monday_model.lp!$EDH$1260</definedName>
    <definedName name="Constraint_1255" localSheetId="0" hidden="1">monday_model.lp!$C$1261:$EDE$1261</definedName>
    <definedName name="Constraint_1255_LHS" localSheetId="0" hidden="1">monday_model.lp!$EDG$1261</definedName>
    <definedName name="Constraint_1255_RHS" localSheetId="0" hidden="1">monday_model.lp!$EDI$1261</definedName>
    <definedName name="Constraint_1255_Sense" localSheetId="0" hidden="1">monday_model.lp!$EDH$1261</definedName>
    <definedName name="Constraint_1256" localSheetId="0" hidden="1">monday_model.lp!$C$1262:$EDE$1262</definedName>
    <definedName name="Constraint_1256_LHS" localSheetId="0" hidden="1">monday_model.lp!$EDG$1262</definedName>
    <definedName name="Constraint_1256_RHS" localSheetId="0" hidden="1">monday_model.lp!$EDI$1262</definedName>
    <definedName name="Constraint_1256_Sense" localSheetId="0" hidden="1">monday_model.lp!$EDH$1262</definedName>
    <definedName name="Constraint_1257" localSheetId="0" hidden="1">monday_model.lp!$C$1263:$EDE$1263</definedName>
    <definedName name="Constraint_1257_LHS" localSheetId="0" hidden="1">monday_model.lp!$EDG$1263</definedName>
    <definedName name="Constraint_1257_RHS" localSheetId="0" hidden="1">monday_model.lp!$EDI$1263</definedName>
    <definedName name="Constraint_1257_Sense" localSheetId="0" hidden="1">monday_model.lp!$EDH$1263</definedName>
    <definedName name="Constraint_1258" localSheetId="0" hidden="1">monday_model.lp!$C$1264:$EDE$1264</definedName>
    <definedName name="Constraint_1258_LHS" localSheetId="0" hidden="1">monday_model.lp!$EDG$1264</definedName>
    <definedName name="Constraint_1258_RHS" localSheetId="0" hidden="1">monday_model.lp!$EDI$1264</definedName>
    <definedName name="Constraint_1258_Sense" localSheetId="0" hidden="1">monday_model.lp!$EDH$1264</definedName>
    <definedName name="Constraint_1259" localSheetId="0" hidden="1">monday_model.lp!$C$1265:$EDE$1265</definedName>
    <definedName name="Constraint_1259_LHS" localSheetId="0" hidden="1">monday_model.lp!$EDG$1265</definedName>
    <definedName name="Constraint_1259_RHS" localSheetId="0" hidden="1">monday_model.lp!$EDI$1265</definedName>
    <definedName name="Constraint_1259_Sense" localSheetId="0" hidden="1">monday_model.lp!$EDH$1265</definedName>
    <definedName name="Constraint_126" localSheetId="0" hidden="1">monday_model.lp!$C$132:$EDE$132</definedName>
    <definedName name="Constraint_126_LHS" localSheetId="0" hidden="1">monday_model.lp!$EDG$132</definedName>
    <definedName name="Constraint_126_RHS" localSheetId="0" hidden="1">monday_model.lp!$EDI$132</definedName>
    <definedName name="Constraint_126_Sense" localSheetId="0" hidden="1">monday_model.lp!$EDH$132</definedName>
    <definedName name="Constraint_1260" localSheetId="0" hidden="1">monday_model.lp!$C$1266:$EDE$1266</definedName>
    <definedName name="Constraint_1260_LHS" localSheetId="0" hidden="1">monday_model.lp!$EDG$1266</definedName>
    <definedName name="Constraint_1260_RHS" localSheetId="0" hidden="1">monday_model.lp!$EDI$1266</definedName>
    <definedName name="Constraint_1260_Sense" localSheetId="0" hidden="1">monday_model.lp!$EDH$1266</definedName>
    <definedName name="Constraint_1261" localSheetId="0" hidden="1">monday_model.lp!$C$1267:$EDE$1267</definedName>
    <definedName name="Constraint_1261_LHS" localSheetId="0" hidden="1">monday_model.lp!$EDG$1267</definedName>
    <definedName name="Constraint_1261_RHS" localSheetId="0" hidden="1">monday_model.lp!$EDI$1267</definedName>
    <definedName name="Constraint_1261_Sense" localSheetId="0" hidden="1">monday_model.lp!$EDH$1267</definedName>
    <definedName name="Constraint_1262" localSheetId="0" hidden="1">monday_model.lp!$C$1268:$EDE$1268</definedName>
    <definedName name="Constraint_1262_LHS" localSheetId="0" hidden="1">monday_model.lp!$EDG$1268</definedName>
    <definedName name="Constraint_1262_RHS" localSheetId="0" hidden="1">monday_model.lp!$EDI$1268</definedName>
    <definedName name="Constraint_1262_Sense" localSheetId="0" hidden="1">monday_model.lp!$EDH$1268</definedName>
    <definedName name="Constraint_1263" localSheetId="0" hidden="1">monday_model.lp!$C$1269:$EDE$1269</definedName>
    <definedName name="Constraint_1263_LHS" localSheetId="0" hidden="1">monday_model.lp!$EDG$1269</definedName>
    <definedName name="Constraint_1263_RHS" localSheetId="0" hidden="1">monday_model.lp!$EDI$1269</definedName>
    <definedName name="Constraint_1263_Sense" localSheetId="0" hidden="1">monday_model.lp!$EDH$1269</definedName>
    <definedName name="Constraint_1264" localSheetId="0" hidden="1">monday_model.lp!$C$1270:$EDE$1270</definedName>
    <definedName name="Constraint_1264_LHS" localSheetId="0" hidden="1">monday_model.lp!$EDG$1270</definedName>
    <definedName name="Constraint_1264_RHS" localSheetId="0" hidden="1">monday_model.lp!$EDI$1270</definedName>
    <definedName name="Constraint_1264_Sense" localSheetId="0" hidden="1">monday_model.lp!$EDH$1270</definedName>
    <definedName name="Constraint_1265" localSheetId="0" hidden="1">monday_model.lp!$C$1271:$EDE$1271</definedName>
    <definedName name="Constraint_1265_LHS" localSheetId="0" hidden="1">monday_model.lp!$EDG$1271</definedName>
    <definedName name="Constraint_1265_RHS" localSheetId="0" hidden="1">monday_model.lp!$EDI$1271</definedName>
    <definedName name="Constraint_1265_Sense" localSheetId="0" hidden="1">monday_model.lp!$EDH$1271</definedName>
    <definedName name="Constraint_1266" localSheetId="0" hidden="1">monday_model.lp!$C$1272:$EDE$1272</definedName>
    <definedName name="Constraint_1266_LHS" localSheetId="0" hidden="1">monday_model.lp!$EDG$1272</definedName>
    <definedName name="Constraint_1266_RHS" localSheetId="0" hidden="1">monday_model.lp!$EDI$1272</definedName>
    <definedName name="Constraint_1266_Sense" localSheetId="0" hidden="1">monday_model.lp!$EDH$1272</definedName>
    <definedName name="Constraint_1267" localSheetId="0" hidden="1">monday_model.lp!$C$1273:$EDE$1273</definedName>
    <definedName name="Constraint_1267_LHS" localSheetId="0" hidden="1">monday_model.lp!$EDG$1273</definedName>
    <definedName name="Constraint_1267_RHS" localSheetId="0" hidden="1">monday_model.lp!$EDI$1273</definedName>
    <definedName name="Constraint_1267_Sense" localSheetId="0" hidden="1">monday_model.lp!$EDH$1273</definedName>
    <definedName name="Constraint_1268" localSheetId="0" hidden="1">monday_model.lp!$C$1274:$EDE$1274</definedName>
    <definedName name="Constraint_1268_LHS" localSheetId="0" hidden="1">monday_model.lp!$EDG$1274</definedName>
    <definedName name="Constraint_1268_RHS" localSheetId="0" hidden="1">monday_model.lp!$EDI$1274</definedName>
    <definedName name="Constraint_1268_Sense" localSheetId="0" hidden="1">monday_model.lp!$EDH$1274</definedName>
    <definedName name="Constraint_1269" localSheetId="0" hidden="1">monday_model.lp!$C$1275:$EDE$1275</definedName>
    <definedName name="Constraint_1269_LHS" localSheetId="0" hidden="1">monday_model.lp!$EDG$1275</definedName>
    <definedName name="Constraint_1269_RHS" localSheetId="0" hidden="1">monday_model.lp!$EDI$1275</definedName>
    <definedName name="Constraint_1269_Sense" localSheetId="0" hidden="1">monday_model.lp!$EDH$1275</definedName>
    <definedName name="Constraint_127" localSheetId="0" hidden="1">monday_model.lp!$C$133:$EDE$133</definedName>
    <definedName name="Constraint_127_LHS" localSheetId="0" hidden="1">monday_model.lp!$EDG$133</definedName>
    <definedName name="Constraint_127_RHS" localSheetId="0" hidden="1">monday_model.lp!$EDI$133</definedName>
    <definedName name="Constraint_127_Sense" localSheetId="0" hidden="1">monday_model.lp!$EDH$133</definedName>
    <definedName name="Constraint_1270" localSheetId="0" hidden="1">monday_model.lp!$C$1276:$EDE$1276</definedName>
    <definedName name="Constraint_1270_LHS" localSheetId="0" hidden="1">monday_model.lp!$EDG$1276</definedName>
    <definedName name="Constraint_1270_RHS" localSheetId="0" hidden="1">monday_model.lp!$EDI$1276</definedName>
    <definedName name="Constraint_1270_Sense" localSheetId="0" hidden="1">monday_model.lp!$EDH$1276</definedName>
    <definedName name="Constraint_1271" localSheetId="0" hidden="1">monday_model.lp!$C$1277:$EDE$1277</definedName>
    <definedName name="Constraint_1271_LHS" localSheetId="0" hidden="1">monday_model.lp!$EDG$1277</definedName>
    <definedName name="Constraint_1271_RHS" localSheetId="0" hidden="1">monday_model.lp!$EDI$1277</definedName>
    <definedName name="Constraint_1271_Sense" localSheetId="0" hidden="1">monday_model.lp!$EDH$1277</definedName>
    <definedName name="Constraint_1272" localSheetId="0" hidden="1">monday_model.lp!$C$1278:$EDE$1278</definedName>
    <definedName name="Constraint_1272_LHS" localSheetId="0" hidden="1">monday_model.lp!$EDG$1278</definedName>
    <definedName name="Constraint_1272_RHS" localSheetId="0" hidden="1">monday_model.lp!$EDI$1278</definedName>
    <definedName name="Constraint_1272_Sense" localSheetId="0" hidden="1">monday_model.lp!$EDH$1278</definedName>
    <definedName name="Constraint_1273" localSheetId="0" hidden="1">monday_model.lp!$C$1279:$EDE$1279</definedName>
    <definedName name="Constraint_1273_LHS" localSheetId="0" hidden="1">monday_model.lp!$EDG$1279</definedName>
    <definedName name="Constraint_1273_RHS" localSheetId="0" hidden="1">monday_model.lp!$EDI$1279</definedName>
    <definedName name="Constraint_1273_Sense" localSheetId="0" hidden="1">monday_model.lp!$EDH$1279</definedName>
    <definedName name="Constraint_1274" localSheetId="0" hidden="1">monday_model.lp!$C$1280:$EDE$1280</definedName>
    <definedName name="Constraint_1274_LHS" localSheetId="0" hidden="1">monday_model.lp!$EDG$1280</definedName>
    <definedName name="Constraint_1274_RHS" localSheetId="0" hidden="1">monday_model.lp!$EDI$1280</definedName>
    <definedName name="Constraint_1274_Sense" localSheetId="0" hidden="1">monday_model.lp!$EDH$1280</definedName>
    <definedName name="Constraint_1275" localSheetId="0" hidden="1">monday_model.lp!$C$1281:$EDE$1281</definedName>
    <definedName name="Constraint_1275_LHS" localSheetId="0" hidden="1">monday_model.lp!$EDG$1281</definedName>
    <definedName name="Constraint_1275_RHS" localSheetId="0" hidden="1">monday_model.lp!$EDI$1281</definedName>
    <definedName name="Constraint_1275_Sense" localSheetId="0" hidden="1">monday_model.lp!$EDH$1281</definedName>
    <definedName name="Constraint_1276" localSheetId="0" hidden="1">monday_model.lp!$C$1282:$EDE$1282</definedName>
    <definedName name="Constraint_1276_LHS" localSheetId="0" hidden="1">monday_model.lp!$EDG$1282</definedName>
    <definedName name="Constraint_1276_RHS" localSheetId="0" hidden="1">monday_model.lp!$EDI$1282</definedName>
    <definedName name="Constraint_1276_Sense" localSheetId="0" hidden="1">monday_model.lp!$EDH$1282</definedName>
    <definedName name="Constraint_1277" localSheetId="0" hidden="1">monday_model.lp!$C$1283:$EDE$1283</definedName>
    <definedName name="Constraint_1277_LHS" localSheetId="0" hidden="1">monday_model.lp!$EDG$1283</definedName>
    <definedName name="Constraint_1277_RHS" localSheetId="0" hidden="1">monday_model.lp!$EDI$1283</definedName>
    <definedName name="Constraint_1277_Sense" localSheetId="0" hidden="1">monday_model.lp!$EDH$1283</definedName>
    <definedName name="Constraint_1278" localSheetId="0" hidden="1">monday_model.lp!$C$1284:$EDE$1284</definedName>
    <definedName name="Constraint_1278_LHS" localSheetId="0" hidden="1">monday_model.lp!$EDG$1284</definedName>
    <definedName name="Constraint_1278_RHS" localSheetId="0" hidden="1">monday_model.lp!$EDI$1284</definedName>
    <definedName name="Constraint_1278_Sense" localSheetId="0" hidden="1">monday_model.lp!$EDH$1284</definedName>
    <definedName name="Constraint_1279" localSheetId="0" hidden="1">monday_model.lp!$C$1285:$EDE$1285</definedName>
    <definedName name="Constraint_1279_LHS" localSheetId="0" hidden="1">monday_model.lp!$EDG$1285</definedName>
    <definedName name="Constraint_1279_RHS" localSheetId="0" hidden="1">monday_model.lp!$EDI$1285</definedName>
    <definedName name="Constraint_1279_Sense" localSheetId="0" hidden="1">monday_model.lp!$EDH$1285</definedName>
    <definedName name="Constraint_128" localSheetId="0" hidden="1">monday_model.lp!$C$134:$EDE$134</definedName>
    <definedName name="Constraint_128_LHS" localSheetId="0" hidden="1">monday_model.lp!$EDG$134</definedName>
    <definedName name="Constraint_128_RHS" localSheetId="0" hidden="1">monday_model.lp!$EDI$134</definedName>
    <definedName name="Constraint_128_Sense" localSheetId="0" hidden="1">monday_model.lp!$EDH$134</definedName>
    <definedName name="Constraint_1280" localSheetId="0" hidden="1">monday_model.lp!$C$1286:$EDE$1286</definedName>
    <definedName name="Constraint_1280_LHS" localSheetId="0" hidden="1">monday_model.lp!$EDG$1286</definedName>
    <definedName name="Constraint_1280_RHS" localSheetId="0" hidden="1">monday_model.lp!$EDI$1286</definedName>
    <definedName name="Constraint_1280_Sense" localSheetId="0" hidden="1">monday_model.lp!$EDH$1286</definedName>
    <definedName name="Constraint_1281" localSheetId="0" hidden="1">monday_model.lp!$C$1287:$EDE$1287</definedName>
    <definedName name="Constraint_1281_LHS" localSheetId="0" hidden="1">monday_model.lp!$EDG$1287</definedName>
    <definedName name="Constraint_1281_RHS" localSheetId="0" hidden="1">monday_model.lp!$EDI$1287</definedName>
    <definedName name="Constraint_1281_Sense" localSheetId="0" hidden="1">monday_model.lp!$EDH$1287</definedName>
    <definedName name="Constraint_1282" localSheetId="0" hidden="1">monday_model.lp!$C$1288:$EDE$1288</definedName>
    <definedName name="Constraint_1282_LHS" localSheetId="0" hidden="1">monday_model.lp!$EDG$1288</definedName>
    <definedName name="Constraint_1282_RHS" localSheetId="0" hidden="1">monday_model.lp!$EDI$1288</definedName>
    <definedName name="Constraint_1282_Sense" localSheetId="0" hidden="1">monday_model.lp!$EDH$1288</definedName>
    <definedName name="Constraint_1283" localSheetId="0" hidden="1">monday_model.lp!$C$1289:$EDE$1289</definedName>
    <definedName name="Constraint_1283_LHS" localSheetId="0" hidden="1">monday_model.lp!$EDG$1289</definedName>
    <definedName name="Constraint_1283_RHS" localSheetId="0" hidden="1">monday_model.lp!$EDI$1289</definedName>
    <definedName name="Constraint_1283_Sense" localSheetId="0" hidden="1">monday_model.lp!$EDH$1289</definedName>
    <definedName name="Constraint_1284" localSheetId="0" hidden="1">monday_model.lp!$C$1290:$EDE$1290</definedName>
    <definedName name="Constraint_1284_LHS" localSheetId="0" hidden="1">monday_model.lp!$EDG$1290</definedName>
    <definedName name="Constraint_1284_RHS" localSheetId="0" hidden="1">monday_model.lp!$EDI$1290</definedName>
    <definedName name="Constraint_1284_Sense" localSheetId="0" hidden="1">monday_model.lp!$EDH$1290</definedName>
    <definedName name="Constraint_1285" localSheetId="0" hidden="1">monday_model.lp!$C$1291:$EDE$1291</definedName>
    <definedName name="Constraint_1285_LHS" localSheetId="0" hidden="1">monday_model.lp!$EDG$1291</definedName>
    <definedName name="Constraint_1285_RHS" localSheetId="0" hidden="1">monday_model.lp!$EDI$1291</definedName>
    <definedName name="Constraint_1285_Sense" localSheetId="0" hidden="1">monday_model.lp!$EDH$1291</definedName>
    <definedName name="Constraint_1286" localSheetId="0" hidden="1">monday_model.lp!$C$1292:$EDE$1292</definedName>
    <definedName name="Constraint_1286_LHS" localSheetId="0" hidden="1">monday_model.lp!$EDG$1292</definedName>
    <definedName name="Constraint_1286_RHS" localSheetId="0" hidden="1">monday_model.lp!$EDI$1292</definedName>
    <definedName name="Constraint_1286_Sense" localSheetId="0" hidden="1">monday_model.lp!$EDH$1292</definedName>
    <definedName name="Constraint_1287" localSheetId="0" hidden="1">monday_model.lp!$C$1293:$EDE$1293</definedName>
    <definedName name="Constraint_1287_LHS" localSheetId="0" hidden="1">monday_model.lp!$EDG$1293</definedName>
    <definedName name="Constraint_1287_RHS" localSheetId="0" hidden="1">monday_model.lp!$EDI$1293</definedName>
    <definedName name="Constraint_1287_Sense" localSheetId="0" hidden="1">monday_model.lp!$EDH$1293</definedName>
    <definedName name="Constraint_1288" localSheetId="0" hidden="1">monday_model.lp!$C$1294:$EDE$1294</definedName>
    <definedName name="Constraint_1288_LHS" localSheetId="0" hidden="1">monday_model.lp!$EDG$1294</definedName>
    <definedName name="Constraint_1288_RHS" localSheetId="0" hidden="1">monday_model.lp!$EDI$1294</definedName>
    <definedName name="Constraint_1288_Sense" localSheetId="0" hidden="1">monday_model.lp!$EDH$1294</definedName>
    <definedName name="Constraint_1289" localSheetId="0" hidden="1">monday_model.lp!$C$1295:$EDE$1295</definedName>
    <definedName name="Constraint_1289_LHS" localSheetId="0" hidden="1">monday_model.lp!$EDG$1295</definedName>
    <definedName name="Constraint_1289_RHS" localSheetId="0" hidden="1">monday_model.lp!$EDI$1295</definedName>
    <definedName name="Constraint_1289_Sense" localSheetId="0" hidden="1">monday_model.lp!$EDH$1295</definedName>
    <definedName name="Constraint_129" localSheetId="0" hidden="1">monday_model.lp!$C$135:$EDE$135</definedName>
    <definedName name="Constraint_129_LHS" localSheetId="0" hidden="1">monday_model.lp!$EDG$135</definedName>
    <definedName name="Constraint_129_RHS" localSheetId="0" hidden="1">monday_model.lp!$EDI$135</definedName>
    <definedName name="Constraint_129_Sense" localSheetId="0" hidden="1">monday_model.lp!$EDH$135</definedName>
    <definedName name="Constraint_1290" localSheetId="0" hidden="1">monday_model.lp!$C$1296:$EDE$1296</definedName>
    <definedName name="Constraint_1290_LHS" localSheetId="0" hidden="1">monday_model.lp!$EDG$1296</definedName>
    <definedName name="Constraint_1290_RHS" localSheetId="0" hidden="1">monday_model.lp!$EDI$1296</definedName>
    <definedName name="Constraint_1290_Sense" localSheetId="0" hidden="1">monday_model.lp!$EDH$1296</definedName>
    <definedName name="Constraint_1291" localSheetId="0" hidden="1">monday_model.lp!$C$1297:$EDE$1297</definedName>
    <definedName name="Constraint_1291_LHS" localSheetId="0" hidden="1">monday_model.lp!$EDG$1297</definedName>
    <definedName name="Constraint_1291_RHS" localSheetId="0" hidden="1">monday_model.lp!$EDI$1297</definedName>
    <definedName name="Constraint_1291_Sense" localSheetId="0" hidden="1">monday_model.lp!$EDH$1297</definedName>
    <definedName name="Constraint_1292" localSheetId="0" hidden="1">monday_model.lp!$C$1298:$EDE$1298</definedName>
    <definedName name="Constraint_1292_LHS" localSheetId="0" hidden="1">monday_model.lp!$EDG$1298</definedName>
    <definedName name="Constraint_1292_RHS" localSheetId="0" hidden="1">monday_model.lp!$EDI$1298</definedName>
    <definedName name="Constraint_1292_Sense" localSheetId="0" hidden="1">monday_model.lp!$EDH$1298</definedName>
    <definedName name="Constraint_1293" localSheetId="0" hidden="1">monday_model.lp!$C$1299:$EDE$1299</definedName>
    <definedName name="Constraint_1293_LHS" localSheetId="0" hidden="1">monday_model.lp!$EDG$1299</definedName>
    <definedName name="Constraint_1293_RHS" localSheetId="0" hidden="1">monday_model.lp!$EDI$1299</definedName>
    <definedName name="Constraint_1293_Sense" localSheetId="0" hidden="1">monday_model.lp!$EDH$1299</definedName>
    <definedName name="Constraint_1294" localSheetId="0" hidden="1">monday_model.lp!$C$1300:$EDE$1300</definedName>
    <definedName name="Constraint_1294_LHS" localSheetId="0" hidden="1">monday_model.lp!$EDG$1300</definedName>
    <definedName name="Constraint_1294_RHS" localSheetId="0" hidden="1">monday_model.lp!$EDI$1300</definedName>
    <definedName name="Constraint_1294_Sense" localSheetId="0" hidden="1">monday_model.lp!$EDH$1300</definedName>
    <definedName name="Constraint_1295" localSheetId="0" hidden="1">monday_model.lp!$C$1301:$EDE$1301</definedName>
    <definedName name="Constraint_1295_LHS" localSheetId="0" hidden="1">monday_model.lp!$EDG$1301</definedName>
    <definedName name="Constraint_1295_RHS" localSheetId="0" hidden="1">monday_model.lp!$EDI$1301</definedName>
    <definedName name="Constraint_1295_Sense" localSheetId="0" hidden="1">monday_model.lp!$EDH$1301</definedName>
    <definedName name="Constraint_1296" localSheetId="0" hidden="1">monday_model.lp!$C$1302:$EDE$1302</definedName>
    <definedName name="Constraint_1296_LHS" localSheetId="0" hidden="1">monday_model.lp!$EDG$1302</definedName>
    <definedName name="Constraint_1296_RHS" localSheetId="0" hidden="1">monday_model.lp!$EDI$1302</definedName>
    <definedName name="Constraint_1296_Sense" localSheetId="0" hidden="1">monday_model.lp!$EDH$1302</definedName>
    <definedName name="Constraint_1297" localSheetId="0" hidden="1">monday_model.lp!$C$1303:$EDE$1303</definedName>
    <definedName name="Constraint_1297_LHS" localSheetId="0" hidden="1">monday_model.lp!$EDG$1303</definedName>
    <definedName name="Constraint_1297_RHS" localSheetId="0" hidden="1">monday_model.lp!$EDI$1303</definedName>
    <definedName name="Constraint_1297_Sense" localSheetId="0" hidden="1">monday_model.lp!$EDH$1303</definedName>
    <definedName name="Constraint_1298" localSheetId="0" hidden="1">monday_model.lp!$C$1304:$EDE$1304</definedName>
    <definedName name="Constraint_1298_LHS" localSheetId="0" hidden="1">monday_model.lp!$EDG$1304</definedName>
    <definedName name="Constraint_1298_RHS" localSheetId="0" hidden="1">monday_model.lp!$EDI$1304</definedName>
    <definedName name="Constraint_1298_Sense" localSheetId="0" hidden="1">monday_model.lp!$EDH$1304</definedName>
    <definedName name="Constraint_1299" localSheetId="0" hidden="1">monday_model.lp!$C$1305:$EDE$1305</definedName>
    <definedName name="Constraint_1299_LHS" localSheetId="0" hidden="1">monday_model.lp!$EDG$1305</definedName>
    <definedName name="Constraint_1299_RHS" localSheetId="0" hidden="1">monday_model.lp!$EDI$1305</definedName>
    <definedName name="Constraint_1299_Sense" localSheetId="0" hidden="1">monday_model.lp!$EDH$1305</definedName>
    <definedName name="Constraint_13" localSheetId="0" hidden="1">monday_model.lp!$C$19:$EDE$19</definedName>
    <definedName name="Constraint_13_LHS" localSheetId="0" hidden="1">monday_model.lp!$EDG$19</definedName>
    <definedName name="Constraint_13_RHS" localSheetId="0" hidden="1">monday_model.lp!$EDI$19</definedName>
    <definedName name="Constraint_13_Sense" localSheetId="0" hidden="1">monday_model.lp!$EDH$19</definedName>
    <definedName name="Constraint_130" localSheetId="0" hidden="1">monday_model.lp!$C$136:$EDE$136</definedName>
    <definedName name="Constraint_130_LHS" localSheetId="0" hidden="1">monday_model.lp!$EDG$136</definedName>
    <definedName name="Constraint_130_RHS" localSheetId="0" hidden="1">monday_model.lp!$EDI$136</definedName>
    <definedName name="Constraint_130_Sense" localSheetId="0" hidden="1">monday_model.lp!$EDH$136</definedName>
    <definedName name="Constraint_1300" localSheetId="0" hidden="1">monday_model.lp!$C$1306:$EDE$1306</definedName>
    <definedName name="Constraint_1300_LHS" localSheetId="0" hidden="1">monday_model.lp!$EDG$1306</definedName>
    <definedName name="Constraint_1300_RHS" localSheetId="0" hidden="1">monday_model.lp!$EDI$1306</definedName>
    <definedName name="Constraint_1300_Sense" localSheetId="0" hidden="1">monday_model.lp!$EDH$1306</definedName>
    <definedName name="Constraint_1301" localSheetId="0" hidden="1">monday_model.lp!$C$1307:$EDE$1307</definedName>
    <definedName name="Constraint_1301_LHS" localSheetId="0" hidden="1">monday_model.lp!$EDG$1307</definedName>
    <definedName name="Constraint_1301_RHS" localSheetId="0" hidden="1">monday_model.lp!$EDI$1307</definedName>
    <definedName name="Constraint_1301_Sense" localSheetId="0" hidden="1">monday_model.lp!$EDH$1307</definedName>
    <definedName name="Constraint_1302" localSheetId="0" hidden="1">monday_model.lp!$C$1308:$EDE$1308</definedName>
    <definedName name="Constraint_1302_LHS" localSheetId="0" hidden="1">monday_model.lp!$EDG$1308</definedName>
    <definedName name="Constraint_1302_RHS" localSheetId="0" hidden="1">monday_model.lp!$EDI$1308</definedName>
    <definedName name="Constraint_1302_Sense" localSheetId="0" hidden="1">monday_model.lp!$EDH$1308</definedName>
    <definedName name="Constraint_1303" localSheetId="0" hidden="1">monday_model.lp!$C$1309:$EDE$1309</definedName>
    <definedName name="Constraint_1303_LHS" localSheetId="0" hidden="1">monday_model.lp!$EDG$1309</definedName>
    <definedName name="Constraint_1303_RHS" localSheetId="0" hidden="1">monday_model.lp!$EDI$1309</definedName>
    <definedName name="Constraint_1303_Sense" localSheetId="0" hidden="1">monday_model.lp!$EDH$1309</definedName>
    <definedName name="Constraint_1304" localSheetId="0" hidden="1">monday_model.lp!$C$1310:$EDE$1310</definedName>
    <definedName name="Constraint_1304_LHS" localSheetId="0" hidden="1">monday_model.lp!$EDG$1310</definedName>
    <definedName name="Constraint_1304_RHS" localSheetId="0" hidden="1">monday_model.lp!$EDI$1310</definedName>
    <definedName name="Constraint_1304_Sense" localSheetId="0" hidden="1">monday_model.lp!$EDH$1310</definedName>
    <definedName name="Constraint_1305" localSheetId="0" hidden="1">monday_model.lp!$C$1311:$EDE$1311</definedName>
    <definedName name="Constraint_1305_LHS" localSheetId="0" hidden="1">monday_model.lp!$EDG$1311</definedName>
    <definedName name="Constraint_1305_RHS" localSheetId="0" hidden="1">monday_model.lp!$EDI$1311</definedName>
    <definedName name="Constraint_1305_Sense" localSheetId="0" hidden="1">monday_model.lp!$EDH$1311</definedName>
    <definedName name="Constraint_1306" localSheetId="0" hidden="1">monday_model.lp!$C$1312:$EDE$1312</definedName>
    <definedName name="Constraint_1306_LHS" localSheetId="0" hidden="1">monday_model.lp!$EDG$1312</definedName>
    <definedName name="Constraint_1306_RHS" localSheetId="0" hidden="1">monday_model.lp!$EDI$1312</definedName>
    <definedName name="Constraint_1306_Sense" localSheetId="0" hidden="1">monday_model.lp!$EDH$1312</definedName>
    <definedName name="Constraint_1307" localSheetId="0" hidden="1">monday_model.lp!$C$1313:$EDE$1313</definedName>
    <definedName name="Constraint_1307_LHS" localSheetId="0" hidden="1">monday_model.lp!$EDG$1313</definedName>
    <definedName name="Constraint_1307_RHS" localSheetId="0" hidden="1">monday_model.lp!$EDI$1313</definedName>
    <definedName name="Constraint_1307_Sense" localSheetId="0" hidden="1">monday_model.lp!$EDH$1313</definedName>
    <definedName name="Constraint_1308" localSheetId="0" hidden="1">monday_model.lp!$C$1314:$EDE$1314</definedName>
    <definedName name="Constraint_1308_LHS" localSheetId="0" hidden="1">monday_model.lp!$EDG$1314</definedName>
    <definedName name="Constraint_1308_RHS" localSheetId="0" hidden="1">monday_model.lp!$EDI$1314</definedName>
    <definedName name="Constraint_1308_Sense" localSheetId="0" hidden="1">monday_model.lp!$EDH$1314</definedName>
    <definedName name="Constraint_1309" localSheetId="0" hidden="1">monday_model.lp!$C$1315:$EDE$1315</definedName>
    <definedName name="Constraint_1309_LHS" localSheetId="0" hidden="1">monday_model.lp!$EDG$1315</definedName>
    <definedName name="Constraint_1309_RHS" localSheetId="0" hidden="1">monday_model.lp!$EDI$1315</definedName>
    <definedName name="Constraint_1309_Sense" localSheetId="0" hidden="1">monday_model.lp!$EDH$1315</definedName>
    <definedName name="Constraint_131" localSheetId="0" hidden="1">monday_model.lp!$C$137:$EDE$137</definedName>
    <definedName name="Constraint_131_LHS" localSheetId="0" hidden="1">monday_model.lp!$EDG$137</definedName>
    <definedName name="Constraint_131_RHS" localSheetId="0" hidden="1">monday_model.lp!$EDI$137</definedName>
    <definedName name="Constraint_131_Sense" localSheetId="0" hidden="1">monday_model.lp!$EDH$137</definedName>
    <definedName name="Constraint_1310" localSheetId="0" hidden="1">monday_model.lp!$C$1316:$EDE$1316</definedName>
    <definedName name="Constraint_1310_LHS" localSheetId="0" hidden="1">monday_model.lp!$EDG$1316</definedName>
    <definedName name="Constraint_1310_RHS" localSheetId="0" hidden="1">monday_model.lp!$EDI$1316</definedName>
    <definedName name="Constraint_1310_Sense" localSheetId="0" hidden="1">monday_model.lp!$EDH$1316</definedName>
    <definedName name="Constraint_1311" localSheetId="0" hidden="1">monday_model.lp!$C$1317:$EDE$1317</definedName>
    <definedName name="Constraint_1311_LHS" localSheetId="0" hidden="1">monday_model.lp!$EDG$1317</definedName>
    <definedName name="Constraint_1311_RHS" localSheetId="0" hidden="1">monday_model.lp!$EDI$1317</definedName>
    <definedName name="Constraint_1311_Sense" localSheetId="0" hidden="1">monday_model.lp!$EDH$1317</definedName>
    <definedName name="Constraint_1312" localSheetId="0" hidden="1">monday_model.lp!$C$1318:$EDE$1318</definedName>
    <definedName name="Constraint_1312_LHS" localSheetId="0" hidden="1">monday_model.lp!$EDG$1318</definedName>
    <definedName name="Constraint_1312_RHS" localSheetId="0" hidden="1">monday_model.lp!$EDI$1318</definedName>
    <definedName name="Constraint_1312_Sense" localSheetId="0" hidden="1">monday_model.lp!$EDH$1318</definedName>
    <definedName name="Constraint_1313" localSheetId="0" hidden="1">monday_model.lp!$C$1319:$EDE$1319</definedName>
    <definedName name="Constraint_1313_LHS" localSheetId="0" hidden="1">monday_model.lp!$EDG$1319</definedName>
    <definedName name="Constraint_1313_RHS" localSheetId="0" hidden="1">monday_model.lp!$EDI$1319</definedName>
    <definedName name="Constraint_1313_Sense" localSheetId="0" hidden="1">monday_model.lp!$EDH$1319</definedName>
    <definedName name="Constraint_1314" localSheetId="0" hidden="1">monday_model.lp!$C$1320:$EDE$1320</definedName>
    <definedName name="Constraint_1314_LHS" localSheetId="0" hidden="1">monday_model.lp!$EDG$1320</definedName>
    <definedName name="Constraint_1314_RHS" localSheetId="0" hidden="1">monday_model.lp!$EDI$1320</definedName>
    <definedName name="Constraint_1314_Sense" localSheetId="0" hidden="1">monday_model.lp!$EDH$1320</definedName>
    <definedName name="Constraint_1315" localSheetId="0" hidden="1">monday_model.lp!$C$1321:$EDE$1321</definedName>
    <definedName name="Constraint_1315_LHS" localSheetId="0" hidden="1">monday_model.lp!$EDG$1321</definedName>
    <definedName name="Constraint_1315_RHS" localSheetId="0" hidden="1">monday_model.lp!$EDI$1321</definedName>
    <definedName name="Constraint_1315_Sense" localSheetId="0" hidden="1">monday_model.lp!$EDH$1321</definedName>
    <definedName name="Constraint_1316" localSheetId="0" hidden="1">monday_model.lp!$C$1322:$EDE$1322</definedName>
    <definedName name="Constraint_1316_LHS" localSheetId="0" hidden="1">monday_model.lp!$EDG$1322</definedName>
    <definedName name="Constraint_1316_RHS" localSheetId="0" hidden="1">monday_model.lp!$EDI$1322</definedName>
    <definedName name="Constraint_1316_Sense" localSheetId="0" hidden="1">monday_model.lp!$EDH$1322</definedName>
    <definedName name="Constraint_1317" localSheetId="0" hidden="1">monday_model.lp!$C$1323:$EDE$1323</definedName>
    <definedName name="Constraint_1317_LHS" localSheetId="0" hidden="1">monday_model.lp!$EDG$1323</definedName>
    <definedName name="Constraint_1317_RHS" localSheetId="0" hidden="1">monday_model.lp!$EDI$1323</definedName>
    <definedName name="Constraint_1317_Sense" localSheetId="0" hidden="1">monday_model.lp!$EDH$1323</definedName>
    <definedName name="Constraint_1318" localSheetId="0" hidden="1">monday_model.lp!$C$1324:$EDE$1324</definedName>
    <definedName name="Constraint_1318_LHS" localSheetId="0" hidden="1">monday_model.lp!$EDG$1324</definedName>
    <definedName name="Constraint_1318_RHS" localSheetId="0" hidden="1">monday_model.lp!$EDI$1324</definedName>
    <definedName name="Constraint_1318_Sense" localSheetId="0" hidden="1">monday_model.lp!$EDH$1324</definedName>
    <definedName name="Constraint_1319" localSheetId="0" hidden="1">monday_model.lp!$C$1325:$EDE$1325</definedName>
    <definedName name="Constraint_1319_LHS" localSheetId="0" hidden="1">monday_model.lp!$EDG$1325</definedName>
    <definedName name="Constraint_1319_RHS" localSheetId="0" hidden="1">monday_model.lp!$EDI$1325</definedName>
    <definedName name="Constraint_1319_Sense" localSheetId="0" hidden="1">monday_model.lp!$EDH$1325</definedName>
    <definedName name="Constraint_132" localSheetId="0" hidden="1">monday_model.lp!$C$138:$EDE$138</definedName>
    <definedName name="Constraint_132_LHS" localSheetId="0" hidden="1">monday_model.lp!$EDG$138</definedName>
    <definedName name="Constraint_132_RHS" localSheetId="0" hidden="1">monday_model.lp!$EDI$138</definedName>
    <definedName name="Constraint_132_Sense" localSheetId="0" hidden="1">monday_model.lp!$EDH$138</definedName>
    <definedName name="Constraint_1320" localSheetId="0" hidden="1">monday_model.lp!$C$1326:$EDE$1326</definedName>
    <definedName name="Constraint_1320_LHS" localSheetId="0" hidden="1">monday_model.lp!$EDG$1326</definedName>
    <definedName name="Constraint_1320_RHS" localSheetId="0" hidden="1">monday_model.lp!$EDI$1326</definedName>
    <definedName name="Constraint_1320_Sense" localSheetId="0" hidden="1">monday_model.lp!$EDH$1326</definedName>
    <definedName name="Constraint_1321" localSheetId="0" hidden="1">monday_model.lp!$C$1327:$EDE$1327</definedName>
    <definedName name="Constraint_1321_LHS" localSheetId="0" hidden="1">monday_model.lp!$EDG$1327</definedName>
    <definedName name="Constraint_1321_RHS" localSheetId="0" hidden="1">monday_model.lp!$EDI$1327</definedName>
    <definedName name="Constraint_1321_Sense" localSheetId="0" hidden="1">monday_model.lp!$EDH$1327</definedName>
    <definedName name="Constraint_1322" localSheetId="0" hidden="1">monday_model.lp!$C$1328:$EDE$1328</definedName>
    <definedName name="Constraint_1322_LHS" localSheetId="0" hidden="1">monday_model.lp!$EDG$1328</definedName>
    <definedName name="Constraint_1322_RHS" localSheetId="0" hidden="1">monday_model.lp!$EDI$1328</definedName>
    <definedName name="Constraint_1322_Sense" localSheetId="0" hidden="1">monday_model.lp!$EDH$1328</definedName>
    <definedName name="Constraint_1323" localSheetId="0" hidden="1">monday_model.lp!$C$1329:$EDE$1329</definedName>
    <definedName name="Constraint_1323_LHS" localSheetId="0" hidden="1">monday_model.lp!$EDG$1329</definedName>
    <definedName name="Constraint_1323_RHS" localSheetId="0" hidden="1">monday_model.lp!$EDI$1329</definedName>
    <definedName name="Constraint_1323_Sense" localSheetId="0" hidden="1">monday_model.lp!$EDH$1329</definedName>
    <definedName name="Constraint_1324" localSheetId="0" hidden="1">monday_model.lp!$C$1330:$EDE$1330</definedName>
    <definedName name="Constraint_1324_LHS" localSheetId="0" hidden="1">monday_model.lp!$EDG$1330</definedName>
    <definedName name="Constraint_1324_RHS" localSheetId="0" hidden="1">monday_model.lp!$EDI$1330</definedName>
    <definedName name="Constraint_1324_Sense" localSheetId="0" hidden="1">monday_model.lp!$EDH$1330</definedName>
    <definedName name="Constraint_1325" localSheetId="0" hidden="1">monday_model.lp!$C$1331:$EDE$1331</definedName>
    <definedName name="Constraint_1325_LHS" localSheetId="0" hidden="1">monday_model.lp!$EDG$1331</definedName>
    <definedName name="Constraint_1325_RHS" localSheetId="0" hidden="1">monday_model.lp!$EDI$1331</definedName>
    <definedName name="Constraint_1325_Sense" localSheetId="0" hidden="1">monday_model.lp!$EDH$1331</definedName>
    <definedName name="Constraint_1326" localSheetId="0" hidden="1">monday_model.lp!$C$1332:$EDE$1332</definedName>
    <definedName name="Constraint_1326_LHS" localSheetId="0" hidden="1">monday_model.lp!$EDG$1332</definedName>
    <definedName name="Constraint_1326_RHS" localSheetId="0" hidden="1">monday_model.lp!$EDI$1332</definedName>
    <definedName name="Constraint_1326_Sense" localSheetId="0" hidden="1">monday_model.lp!$EDH$1332</definedName>
    <definedName name="Constraint_1327" localSheetId="0" hidden="1">monday_model.lp!$C$1333:$EDE$1333</definedName>
    <definedName name="Constraint_1327_LHS" localSheetId="0" hidden="1">monday_model.lp!$EDG$1333</definedName>
    <definedName name="Constraint_1327_RHS" localSheetId="0" hidden="1">monday_model.lp!$EDI$1333</definedName>
    <definedName name="Constraint_1327_Sense" localSheetId="0" hidden="1">monday_model.lp!$EDH$1333</definedName>
    <definedName name="Constraint_1328" localSheetId="0" hidden="1">monday_model.lp!$C$1334:$EDE$1334</definedName>
    <definedName name="Constraint_1328_LHS" localSheetId="0" hidden="1">monday_model.lp!$EDG$1334</definedName>
    <definedName name="Constraint_1328_RHS" localSheetId="0" hidden="1">monday_model.lp!$EDI$1334</definedName>
    <definedName name="Constraint_1328_Sense" localSheetId="0" hidden="1">monday_model.lp!$EDH$1334</definedName>
    <definedName name="Constraint_1329" localSheetId="0" hidden="1">monday_model.lp!$C$1335:$EDE$1335</definedName>
    <definedName name="Constraint_1329_LHS" localSheetId="0" hidden="1">monday_model.lp!$EDG$1335</definedName>
    <definedName name="Constraint_1329_RHS" localSheetId="0" hidden="1">monday_model.lp!$EDI$1335</definedName>
    <definedName name="Constraint_1329_Sense" localSheetId="0" hidden="1">monday_model.lp!$EDH$1335</definedName>
    <definedName name="Constraint_133" localSheetId="0" hidden="1">monday_model.lp!$C$139:$EDE$139</definedName>
    <definedName name="Constraint_133_LHS" localSheetId="0" hidden="1">monday_model.lp!$EDG$139</definedName>
    <definedName name="Constraint_133_RHS" localSheetId="0" hidden="1">monday_model.lp!$EDI$139</definedName>
    <definedName name="Constraint_133_Sense" localSheetId="0" hidden="1">monday_model.lp!$EDH$139</definedName>
    <definedName name="Constraint_1330" localSheetId="0" hidden="1">monday_model.lp!$C$1336:$EDE$1336</definedName>
    <definedName name="Constraint_1330_LHS" localSheetId="0" hidden="1">monday_model.lp!$EDG$1336</definedName>
    <definedName name="Constraint_1330_RHS" localSheetId="0" hidden="1">monday_model.lp!$EDI$1336</definedName>
    <definedName name="Constraint_1330_Sense" localSheetId="0" hidden="1">monday_model.lp!$EDH$1336</definedName>
    <definedName name="Constraint_1331" localSheetId="0" hidden="1">monday_model.lp!$C$1337:$EDE$1337</definedName>
    <definedName name="Constraint_1331_LHS" localSheetId="0" hidden="1">monday_model.lp!$EDG$1337</definedName>
    <definedName name="Constraint_1331_RHS" localSheetId="0" hidden="1">monday_model.lp!$EDI$1337</definedName>
    <definedName name="Constraint_1331_Sense" localSheetId="0" hidden="1">monday_model.lp!$EDH$1337</definedName>
    <definedName name="Constraint_1332" localSheetId="0" hidden="1">monday_model.lp!$C$1338:$EDE$1338</definedName>
    <definedName name="Constraint_1332_LHS" localSheetId="0" hidden="1">monday_model.lp!$EDG$1338</definedName>
    <definedName name="Constraint_1332_RHS" localSheetId="0" hidden="1">monday_model.lp!$EDI$1338</definedName>
    <definedName name="Constraint_1332_Sense" localSheetId="0" hidden="1">monday_model.lp!$EDH$1338</definedName>
    <definedName name="Constraint_1333" localSheetId="0" hidden="1">monday_model.lp!$C$1339:$EDE$1339</definedName>
    <definedName name="Constraint_1333_LHS" localSheetId="0" hidden="1">monday_model.lp!$EDG$1339</definedName>
    <definedName name="Constraint_1333_RHS" localSheetId="0" hidden="1">monday_model.lp!$EDI$1339</definedName>
    <definedName name="Constraint_1333_Sense" localSheetId="0" hidden="1">monday_model.lp!$EDH$1339</definedName>
    <definedName name="Constraint_1334" localSheetId="0" hidden="1">monday_model.lp!$C$1340:$EDE$1340</definedName>
    <definedName name="Constraint_1334_LHS" localSheetId="0" hidden="1">monday_model.lp!$EDG$1340</definedName>
    <definedName name="Constraint_1334_RHS" localSheetId="0" hidden="1">monday_model.lp!$EDI$1340</definedName>
    <definedName name="Constraint_1334_Sense" localSheetId="0" hidden="1">monday_model.lp!$EDH$1340</definedName>
    <definedName name="Constraint_1335" localSheetId="0" hidden="1">monday_model.lp!$C$1341:$EDE$1341</definedName>
    <definedName name="Constraint_1335_LHS" localSheetId="0" hidden="1">monday_model.lp!$EDG$1341</definedName>
    <definedName name="Constraint_1335_RHS" localSheetId="0" hidden="1">monday_model.lp!$EDI$1341</definedName>
    <definedName name="Constraint_1335_Sense" localSheetId="0" hidden="1">monday_model.lp!$EDH$1341</definedName>
    <definedName name="Constraint_1336" localSheetId="0" hidden="1">monday_model.lp!$C$1342:$EDE$1342</definedName>
    <definedName name="Constraint_1336_LHS" localSheetId="0" hidden="1">monday_model.lp!$EDG$1342</definedName>
    <definedName name="Constraint_1336_RHS" localSheetId="0" hidden="1">monday_model.lp!$EDI$1342</definedName>
    <definedName name="Constraint_1336_Sense" localSheetId="0" hidden="1">monday_model.lp!$EDH$1342</definedName>
    <definedName name="Constraint_1337" localSheetId="0" hidden="1">monday_model.lp!$C$1343:$EDE$1343</definedName>
    <definedName name="Constraint_1337_LHS" localSheetId="0" hidden="1">monday_model.lp!$EDG$1343</definedName>
    <definedName name="Constraint_1337_RHS" localSheetId="0" hidden="1">monday_model.lp!$EDI$1343</definedName>
    <definedName name="Constraint_1337_Sense" localSheetId="0" hidden="1">monday_model.lp!$EDH$1343</definedName>
    <definedName name="Constraint_1338" localSheetId="0" hidden="1">monday_model.lp!$C$1344:$EDE$1344</definedName>
    <definedName name="Constraint_1338_LHS" localSheetId="0" hidden="1">monday_model.lp!$EDG$1344</definedName>
    <definedName name="Constraint_1338_RHS" localSheetId="0" hidden="1">monday_model.lp!$EDI$1344</definedName>
    <definedName name="Constraint_1338_Sense" localSheetId="0" hidden="1">monday_model.lp!$EDH$1344</definedName>
    <definedName name="Constraint_1339" localSheetId="0" hidden="1">monday_model.lp!$C$1345:$EDE$1345</definedName>
    <definedName name="Constraint_1339_LHS" localSheetId="0" hidden="1">monday_model.lp!$EDG$1345</definedName>
    <definedName name="Constraint_1339_RHS" localSheetId="0" hidden="1">monday_model.lp!$EDI$1345</definedName>
    <definedName name="Constraint_1339_Sense" localSheetId="0" hidden="1">monday_model.lp!$EDH$1345</definedName>
    <definedName name="Constraint_134" localSheetId="0" hidden="1">monday_model.lp!$C$140:$EDE$140</definedName>
    <definedName name="Constraint_134_LHS" localSheetId="0" hidden="1">monday_model.lp!$EDG$140</definedName>
    <definedName name="Constraint_134_RHS" localSheetId="0" hidden="1">monday_model.lp!$EDI$140</definedName>
    <definedName name="Constraint_134_Sense" localSheetId="0" hidden="1">monday_model.lp!$EDH$140</definedName>
    <definedName name="Constraint_1340" localSheetId="0" hidden="1">monday_model.lp!$C$1346:$EDE$1346</definedName>
    <definedName name="Constraint_1340_LHS" localSheetId="0" hidden="1">monday_model.lp!$EDG$1346</definedName>
    <definedName name="Constraint_1340_RHS" localSheetId="0" hidden="1">monday_model.lp!$EDI$1346</definedName>
    <definedName name="Constraint_1340_Sense" localSheetId="0" hidden="1">monday_model.lp!$EDH$1346</definedName>
    <definedName name="Constraint_1341" localSheetId="0" hidden="1">monday_model.lp!$C$1347:$EDE$1347</definedName>
    <definedName name="Constraint_1341_LHS" localSheetId="0" hidden="1">monday_model.lp!$EDG$1347</definedName>
    <definedName name="Constraint_1341_RHS" localSheetId="0" hidden="1">monday_model.lp!$EDI$1347</definedName>
    <definedName name="Constraint_1341_Sense" localSheetId="0" hidden="1">monday_model.lp!$EDH$1347</definedName>
    <definedName name="Constraint_1342" localSheetId="0" hidden="1">monday_model.lp!$C$1348:$EDE$1348</definedName>
    <definedName name="Constraint_1342_LHS" localSheetId="0" hidden="1">monday_model.lp!$EDG$1348</definedName>
    <definedName name="Constraint_1342_RHS" localSheetId="0" hidden="1">monday_model.lp!$EDI$1348</definedName>
    <definedName name="Constraint_1342_Sense" localSheetId="0" hidden="1">monday_model.lp!$EDH$1348</definedName>
    <definedName name="Constraint_1343" localSheetId="0" hidden="1">monday_model.lp!$C$1349:$EDE$1349</definedName>
    <definedName name="Constraint_1343_LHS" localSheetId="0" hidden="1">monday_model.lp!$EDG$1349</definedName>
    <definedName name="Constraint_1343_RHS" localSheetId="0" hidden="1">monday_model.lp!$EDI$1349</definedName>
    <definedName name="Constraint_1343_Sense" localSheetId="0" hidden="1">monday_model.lp!$EDH$1349</definedName>
    <definedName name="Constraint_1344" localSheetId="0" hidden="1">monday_model.lp!$C$1350:$EDE$1350</definedName>
    <definedName name="Constraint_1344_LHS" localSheetId="0" hidden="1">monday_model.lp!$EDG$1350</definedName>
    <definedName name="Constraint_1344_RHS" localSheetId="0" hidden="1">monday_model.lp!$EDI$1350</definedName>
    <definedName name="Constraint_1344_Sense" localSheetId="0" hidden="1">monday_model.lp!$EDH$1350</definedName>
    <definedName name="Constraint_1345" localSheetId="0" hidden="1">monday_model.lp!$C$1351:$EDE$1351</definedName>
    <definedName name="Constraint_1345_LHS" localSheetId="0" hidden="1">monday_model.lp!$EDG$1351</definedName>
    <definedName name="Constraint_1345_RHS" localSheetId="0" hidden="1">monday_model.lp!$EDI$1351</definedName>
    <definedName name="Constraint_1345_Sense" localSheetId="0" hidden="1">monday_model.lp!$EDH$1351</definedName>
    <definedName name="Constraint_1346" localSheetId="0" hidden="1">monday_model.lp!$C$1352:$EDE$1352</definedName>
    <definedName name="Constraint_1346_LHS" localSheetId="0" hidden="1">monday_model.lp!$EDG$1352</definedName>
    <definedName name="Constraint_1346_RHS" localSheetId="0" hidden="1">monday_model.lp!$EDI$1352</definedName>
    <definedName name="Constraint_1346_Sense" localSheetId="0" hidden="1">monday_model.lp!$EDH$1352</definedName>
    <definedName name="Constraint_1347" localSheetId="0" hidden="1">monday_model.lp!$C$1353:$EDE$1353</definedName>
    <definedName name="Constraint_1347_LHS" localSheetId="0" hidden="1">monday_model.lp!$EDG$1353</definedName>
    <definedName name="Constraint_1347_RHS" localSheetId="0" hidden="1">monday_model.lp!$EDI$1353</definedName>
    <definedName name="Constraint_1347_Sense" localSheetId="0" hidden="1">monday_model.lp!$EDH$1353</definedName>
    <definedName name="Constraint_1348" localSheetId="0" hidden="1">monday_model.lp!$C$1354:$EDE$1354</definedName>
    <definedName name="Constraint_1348_LHS" localSheetId="0" hidden="1">monday_model.lp!$EDG$1354</definedName>
    <definedName name="Constraint_1348_RHS" localSheetId="0" hidden="1">monday_model.lp!$EDI$1354</definedName>
    <definedName name="Constraint_1348_Sense" localSheetId="0" hidden="1">monday_model.lp!$EDH$1354</definedName>
    <definedName name="Constraint_1349" localSheetId="0" hidden="1">monday_model.lp!$C$1355:$EDE$1355</definedName>
    <definedName name="Constraint_1349_LHS" localSheetId="0" hidden="1">monday_model.lp!$EDG$1355</definedName>
    <definedName name="Constraint_1349_RHS" localSheetId="0" hidden="1">monday_model.lp!$EDI$1355</definedName>
    <definedName name="Constraint_1349_Sense" localSheetId="0" hidden="1">monday_model.lp!$EDH$1355</definedName>
    <definedName name="Constraint_135" localSheetId="0" hidden="1">monday_model.lp!$C$141:$EDE$141</definedName>
    <definedName name="Constraint_135_LHS" localSheetId="0" hidden="1">monday_model.lp!$EDG$141</definedName>
    <definedName name="Constraint_135_RHS" localSheetId="0" hidden="1">monday_model.lp!$EDI$141</definedName>
    <definedName name="Constraint_135_Sense" localSheetId="0" hidden="1">monday_model.lp!$EDH$141</definedName>
    <definedName name="Constraint_1350" localSheetId="0" hidden="1">monday_model.lp!$C$1356:$EDE$1356</definedName>
    <definedName name="Constraint_1350_LHS" localSheetId="0" hidden="1">monday_model.lp!$EDG$1356</definedName>
    <definedName name="Constraint_1350_RHS" localSheetId="0" hidden="1">monday_model.lp!$EDI$1356</definedName>
    <definedName name="Constraint_1350_Sense" localSheetId="0" hidden="1">monday_model.lp!$EDH$1356</definedName>
    <definedName name="Constraint_1351" localSheetId="0" hidden="1">monday_model.lp!$C$1357:$EDE$1357</definedName>
    <definedName name="Constraint_1351_LHS" localSheetId="0" hidden="1">monday_model.lp!$EDG$1357</definedName>
    <definedName name="Constraint_1351_RHS" localSheetId="0" hidden="1">monday_model.lp!$EDI$1357</definedName>
    <definedName name="Constraint_1351_Sense" localSheetId="0" hidden="1">monday_model.lp!$EDH$1357</definedName>
    <definedName name="Constraint_1352" localSheetId="0" hidden="1">monday_model.lp!$C$1358:$EDE$1358</definedName>
    <definedName name="Constraint_1352_LHS" localSheetId="0" hidden="1">monday_model.lp!$EDG$1358</definedName>
    <definedName name="Constraint_1352_RHS" localSheetId="0" hidden="1">monday_model.lp!$EDI$1358</definedName>
    <definedName name="Constraint_1352_Sense" localSheetId="0" hidden="1">monday_model.lp!$EDH$1358</definedName>
    <definedName name="Constraint_1353" localSheetId="0" hidden="1">monday_model.lp!$C$1359:$EDE$1359</definedName>
    <definedName name="Constraint_1353_LHS" localSheetId="0" hidden="1">monday_model.lp!$EDG$1359</definedName>
    <definedName name="Constraint_1353_RHS" localSheetId="0" hidden="1">monday_model.lp!$EDI$1359</definedName>
    <definedName name="Constraint_1353_Sense" localSheetId="0" hidden="1">monday_model.lp!$EDH$1359</definedName>
    <definedName name="Constraint_1354" localSheetId="0" hidden="1">monday_model.lp!$C$1360:$EDE$1360</definedName>
    <definedName name="Constraint_1354_LHS" localSheetId="0" hidden="1">monday_model.lp!$EDG$1360</definedName>
    <definedName name="Constraint_1354_RHS" localSheetId="0" hidden="1">monday_model.lp!$EDI$1360</definedName>
    <definedName name="Constraint_1354_Sense" localSheetId="0" hidden="1">monday_model.lp!$EDH$1360</definedName>
    <definedName name="Constraint_1355" localSheetId="0" hidden="1">monday_model.lp!$C$1361:$EDE$1361</definedName>
    <definedName name="Constraint_1355_LHS" localSheetId="0" hidden="1">monday_model.lp!$EDG$1361</definedName>
    <definedName name="Constraint_1355_RHS" localSheetId="0" hidden="1">monday_model.lp!$EDI$1361</definedName>
    <definedName name="Constraint_1355_Sense" localSheetId="0" hidden="1">monday_model.lp!$EDH$1361</definedName>
    <definedName name="Constraint_1356" localSheetId="0" hidden="1">monday_model.lp!$C$1362:$EDE$1362</definedName>
    <definedName name="Constraint_1356_LHS" localSheetId="0" hidden="1">monday_model.lp!$EDG$1362</definedName>
    <definedName name="Constraint_1356_RHS" localSheetId="0" hidden="1">monday_model.lp!$EDI$1362</definedName>
    <definedName name="Constraint_1356_Sense" localSheetId="0" hidden="1">monday_model.lp!$EDH$1362</definedName>
    <definedName name="Constraint_1357" localSheetId="0" hidden="1">monday_model.lp!$C$1363:$EDE$1363</definedName>
    <definedName name="Constraint_1357_LHS" localSheetId="0" hidden="1">monday_model.lp!$EDG$1363</definedName>
    <definedName name="Constraint_1357_RHS" localSheetId="0" hidden="1">monday_model.lp!$EDI$1363</definedName>
    <definedName name="Constraint_1357_Sense" localSheetId="0" hidden="1">monday_model.lp!$EDH$1363</definedName>
    <definedName name="Constraint_1358" localSheetId="0" hidden="1">monday_model.lp!$C$1364:$EDE$1364</definedName>
    <definedName name="Constraint_1358_LHS" localSheetId="0" hidden="1">monday_model.lp!$EDG$1364</definedName>
    <definedName name="Constraint_1358_RHS" localSheetId="0" hidden="1">monday_model.lp!$EDI$1364</definedName>
    <definedName name="Constraint_1358_Sense" localSheetId="0" hidden="1">monday_model.lp!$EDH$1364</definedName>
    <definedName name="Constraint_1359" localSheetId="0" hidden="1">monday_model.lp!$C$1365:$EDE$1365</definedName>
    <definedName name="Constraint_1359_LHS" localSheetId="0" hidden="1">monday_model.lp!$EDG$1365</definedName>
    <definedName name="Constraint_1359_RHS" localSheetId="0" hidden="1">monday_model.lp!$EDI$1365</definedName>
    <definedName name="Constraint_1359_Sense" localSheetId="0" hidden="1">monday_model.lp!$EDH$1365</definedName>
    <definedName name="Constraint_136" localSheetId="0" hidden="1">monday_model.lp!$C$142:$EDE$142</definedName>
    <definedName name="Constraint_136_LHS" localSheetId="0" hidden="1">monday_model.lp!$EDG$142</definedName>
    <definedName name="Constraint_136_RHS" localSheetId="0" hidden="1">monday_model.lp!$EDI$142</definedName>
    <definedName name="Constraint_136_Sense" localSheetId="0" hidden="1">monday_model.lp!$EDH$142</definedName>
    <definedName name="Constraint_1360" localSheetId="0" hidden="1">monday_model.lp!$C$1366:$EDE$1366</definedName>
    <definedName name="Constraint_1360_LHS" localSheetId="0" hidden="1">monday_model.lp!$EDG$1366</definedName>
    <definedName name="Constraint_1360_RHS" localSheetId="0" hidden="1">monday_model.lp!$EDI$1366</definedName>
    <definedName name="Constraint_1360_Sense" localSheetId="0" hidden="1">monday_model.lp!$EDH$1366</definedName>
    <definedName name="Constraint_1361" localSheetId="0" hidden="1">monday_model.lp!$C$1367:$EDE$1367</definedName>
    <definedName name="Constraint_1361_LHS" localSheetId="0" hidden="1">monday_model.lp!$EDG$1367</definedName>
    <definedName name="Constraint_1361_RHS" localSheetId="0" hidden="1">monday_model.lp!$EDI$1367</definedName>
    <definedName name="Constraint_1361_Sense" localSheetId="0" hidden="1">monday_model.lp!$EDH$1367</definedName>
    <definedName name="Constraint_1362" localSheetId="0" hidden="1">monday_model.lp!$C$1368:$EDE$1368</definedName>
    <definedName name="Constraint_1362_LHS" localSheetId="0" hidden="1">monday_model.lp!$EDG$1368</definedName>
    <definedName name="Constraint_1362_RHS" localSheetId="0" hidden="1">monday_model.lp!$EDI$1368</definedName>
    <definedName name="Constraint_1362_Sense" localSheetId="0" hidden="1">monday_model.lp!$EDH$1368</definedName>
    <definedName name="Constraint_1363" localSheetId="0" hidden="1">monday_model.lp!$C$1369:$EDE$1369</definedName>
    <definedName name="Constraint_1363_LHS" localSheetId="0" hidden="1">monday_model.lp!$EDG$1369</definedName>
    <definedName name="Constraint_1363_RHS" localSheetId="0" hidden="1">monday_model.lp!$EDI$1369</definedName>
    <definedName name="Constraint_1363_Sense" localSheetId="0" hidden="1">monday_model.lp!$EDH$1369</definedName>
    <definedName name="Constraint_1364" localSheetId="0" hidden="1">monday_model.lp!$C$1370:$EDE$1370</definedName>
    <definedName name="Constraint_1364_LHS" localSheetId="0" hidden="1">monday_model.lp!$EDG$1370</definedName>
    <definedName name="Constraint_1364_RHS" localSheetId="0" hidden="1">monday_model.lp!$EDI$1370</definedName>
    <definedName name="Constraint_1364_Sense" localSheetId="0" hidden="1">monday_model.lp!$EDH$1370</definedName>
    <definedName name="Constraint_1365" localSheetId="0" hidden="1">monday_model.lp!$C$1371:$EDE$1371</definedName>
    <definedName name="Constraint_1365_LHS" localSheetId="0" hidden="1">monday_model.lp!$EDG$1371</definedName>
    <definedName name="Constraint_1365_RHS" localSheetId="0" hidden="1">monday_model.lp!$EDI$1371</definedName>
    <definedName name="Constraint_1365_Sense" localSheetId="0" hidden="1">monday_model.lp!$EDH$1371</definedName>
    <definedName name="Constraint_1366" localSheetId="0" hidden="1">monday_model.lp!$C$1372:$EDE$1372</definedName>
    <definedName name="Constraint_1366_LHS" localSheetId="0" hidden="1">monday_model.lp!$EDG$1372</definedName>
    <definedName name="Constraint_1366_RHS" localSheetId="0" hidden="1">monday_model.lp!$EDI$1372</definedName>
    <definedName name="Constraint_1366_Sense" localSheetId="0" hidden="1">monday_model.lp!$EDH$1372</definedName>
    <definedName name="Constraint_1367" localSheetId="0" hidden="1">monday_model.lp!$C$1373:$EDE$1373</definedName>
    <definedName name="Constraint_1367_LHS" localSheetId="0" hidden="1">monday_model.lp!$EDG$1373</definedName>
    <definedName name="Constraint_1367_RHS" localSheetId="0" hidden="1">monday_model.lp!$EDI$1373</definedName>
    <definedName name="Constraint_1367_Sense" localSheetId="0" hidden="1">monday_model.lp!$EDH$1373</definedName>
    <definedName name="Constraint_1368" localSheetId="0" hidden="1">monday_model.lp!$C$1374:$EDE$1374</definedName>
    <definedName name="Constraint_1368_LHS" localSheetId="0" hidden="1">monday_model.lp!$EDG$1374</definedName>
    <definedName name="Constraint_1368_RHS" localSheetId="0" hidden="1">monday_model.lp!$EDI$1374</definedName>
    <definedName name="Constraint_1368_Sense" localSheetId="0" hidden="1">monday_model.lp!$EDH$1374</definedName>
    <definedName name="Constraint_1369" localSheetId="0" hidden="1">monday_model.lp!$C$1375:$EDE$1375</definedName>
    <definedName name="Constraint_1369_LHS" localSheetId="0" hidden="1">monday_model.lp!$EDG$1375</definedName>
    <definedName name="Constraint_1369_RHS" localSheetId="0" hidden="1">monday_model.lp!$EDI$1375</definedName>
    <definedName name="Constraint_1369_Sense" localSheetId="0" hidden="1">monday_model.lp!$EDH$1375</definedName>
    <definedName name="Constraint_137" localSheetId="0" hidden="1">monday_model.lp!$C$143:$EDE$143</definedName>
    <definedName name="Constraint_137_LHS" localSheetId="0" hidden="1">monday_model.lp!$EDG$143</definedName>
    <definedName name="Constraint_137_RHS" localSheetId="0" hidden="1">monday_model.lp!$EDI$143</definedName>
    <definedName name="Constraint_137_Sense" localSheetId="0" hidden="1">monday_model.lp!$EDH$143</definedName>
    <definedName name="Constraint_1370" localSheetId="0" hidden="1">monday_model.lp!$C$1376:$EDE$1376</definedName>
    <definedName name="Constraint_1370_LHS" localSheetId="0" hidden="1">monday_model.lp!$EDG$1376</definedName>
    <definedName name="Constraint_1370_RHS" localSheetId="0" hidden="1">monday_model.lp!$EDI$1376</definedName>
    <definedName name="Constraint_1370_Sense" localSheetId="0" hidden="1">monday_model.lp!$EDH$1376</definedName>
    <definedName name="Constraint_1371" localSheetId="0" hidden="1">monday_model.lp!$C$1377:$EDE$1377</definedName>
    <definedName name="Constraint_1371_LHS" localSheetId="0" hidden="1">monday_model.lp!$EDG$1377</definedName>
    <definedName name="Constraint_1371_RHS" localSheetId="0" hidden="1">monday_model.lp!$EDI$1377</definedName>
    <definedName name="Constraint_1371_Sense" localSheetId="0" hidden="1">monday_model.lp!$EDH$1377</definedName>
    <definedName name="Constraint_1372" localSheetId="0" hidden="1">monday_model.lp!$C$1378:$EDE$1378</definedName>
    <definedName name="Constraint_1372_LHS" localSheetId="0" hidden="1">monday_model.lp!$EDG$1378</definedName>
    <definedName name="Constraint_1372_RHS" localSheetId="0" hidden="1">monday_model.lp!$EDI$1378</definedName>
    <definedName name="Constraint_1372_Sense" localSheetId="0" hidden="1">monday_model.lp!$EDH$1378</definedName>
    <definedName name="Constraint_1373" localSheetId="0" hidden="1">monday_model.lp!$C$1379:$EDE$1379</definedName>
    <definedName name="Constraint_1373_LHS" localSheetId="0" hidden="1">monday_model.lp!$EDG$1379</definedName>
    <definedName name="Constraint_1373_RHS" localSheetId="0" hidden="1">monday_model.lp!$EDI$1379</definedName>
    <definedName name="Constraint_1373_Sense" localSheetId="0" hidden="1">monday_model.lp!$EDH$1379</definedName>
    <definedName name="Constraint_1374" localSheetId="0" hidden="1">monday_model.lp!$C$1380:$EDE$1380</definedName>
    <definedName name="Constraint_1374_LHS" localSheetId="0" hidden="1">monday_model.lp!$EDG$1380</definedName>
    <definedName name="Constraint_1374_RHS" localSheetId="0" hidden="1">monday_model.lp!$EDI$1380</definedName>
    <definedName name="Constraint_1374_Sense" localSheetId="0" hidden="1">monday_model.lp!$EDH$1380</definedName>
    <definedName name="Constraint_1375" localSheetId="0" hidden="1">monday_model.lp!$C$1381:$EDE$1381</definedName>
    <definedName name="Constraint_1375_LHS" localSheetId="0" hidden="1">monday_model.lp!$EDG$1381</definedName>
    <definedName name="Constraint_1375_RHS" localSheetId="0" hidden="1">monday_model.lp!$EDI$1381</definedName>
    <definedName name="Constraint_1375_Sense" localSheetId="0" hidden="1">monday_model.lp!$EDH$1381</definedName>
    <definedName name="Constraint_1376" localSheetId="0" hidden="1">monday_model.lp!$C$1382:$EDE$1382</definedName>
    <definedName name="Constraint_1376_LHS" localSheetId="0" hidden="1">monday_model.lp!$EDG$1382</definedName>
    <definedName name="Constraint_1376_RHS" localSheetId="0" hidden="1">monday_model.lp!$EDI$1382</definedName>
    <definedName name="Constraint_1376_Sense" localSheetId="0" hidden="1">monday_model.lp!$EDH$1382</definedName>
    <definedName name="Constraint_1377" localSheetId="0" hidden="1">monday_model.lp!$C$1383:$EDE$1383</definedName>
    <definedName name="Constraint_1377_LHS" localSheetId="0" hidden="1">monday_model.lp!$EDG$1383</definedName>
    <definedName name="Constraint_1377_RHS" localSheetId="0" hidden="1">monday_model.lp!$EDI$1383</definedName>
    <definedName name="Constraint_1377_Sense" localSheetId="0" hidden="1">monday_model.lp!$EDH$1383</definedName>
    <definedName name="Constraint_1378" localSheetId="0" hidden="1">monday_model.lp!$C$1384:$EDE$1384</definedName>
    <definedName name="Constraint_1378_LHS" localSheetId="0" hidden="1">monday_model.lp!$EDG$1384</definedName>
    <definedName name="Constraint_1378_RHS" localSheetId="0" hidden="1">monday_model.lp!$EDI$1384</definedName>
    <definedName name="Constraint_1378_Sense" localSheetId="0" hidden="1">monday_model.lp!$EDH$1384</definedName>
    <definedName name="Constraint_1379" localSheetId="0" hidden="1">monday_model.lp!$C$1385:$EDE$1385</definedName>
    <definedName name="Constraint_1379_LHS" localSheetId="0" hidden="1">monday_model.lp!$EDG$1385</definedName>
    <definedName name="Constraint_1379_RHS" localSheetId="0" hidden="1">monday_model.lp!$EDI$1385</definedName>
    <definedName name="Constraint_1379_Sense" localSheetId="0" hidden="1">monday_model.lp!$EDH$1385</definedName>
    <definedName name="Constraint_138" localSheetId="0" hidden="1">monday_model.lp!$C$144:$EDE$144</definedName>
    <definedName name="Constraint_138_LHS" localSheetId="0" hidden="1">monday_model.lp!$EDG$144</definedName>
    <definedName name="Constraint_138_RHS" localSheetId="0" hidden="1">monday_model.lp!$EDI$144</definedName>
    <definedName name="Constraint_138_Sense" localSheetId="0" hidden="1">monday_model.lp!$EDH$144</definedName>
    <definedName name="Constraint_1380" localSheetId="0" hidden="1">monday_model.lp!$C$1386:$EDE$1386</definedName>
    <definedName name="Constraint_1380_LHS" localSheetId="0" hidden="1">monday_model.lp!$EDG$1386</definedName>
    <definedName name="Constraint_1380_RHS" localSheetId="0" hidden="1">monday_model.lp!$EDI$1386</definedName>
    <definedName name="Constraint_1380_Sense" localSheetId="0" hidden="1">monday_model.lp!$EDH$1386</definedName>
    <definedName name="Constraint_1381" localSheetId="0" hidden="1">monday_model.lp!$C$1387:$EDE$1387</definedName>
    <definedName name="Constraint_1381_LHS" localSheetId="0" hidden="1">monday_model.lp!$EDG$1387</definedName>
    <definedName name="Constraint_1381_RHS" localSheetId="0" hidden="1">monday_model.lp!$EDI$1387</definedName>
    <definedName name="Constraint_1381_Sense" localSheetId="0" hidden="1">monday_model.lp!$EDH$1387</definedName>
    <definedName name="Constraint_1382" localSheetId="0" hidden="1">monday_model.lp!$C$1388:$EDE$1388</definedName>
    <definedName name="Constraint_1382_LHS" localSheetId="0" hidden="1">monday_model.lp!$EDG$1388</definedName>
    <definedName name="Constraint_1382_RHS" localSheetId="0" hidden="1">monday_model.lp!$EDI$1388</definedName>
    <definedName name="Constraint_1382_Sense" localSheetId="0" hidden="1">monday_model.lp!$EDH$1388</definedName>
    <definedName name="Constraint_1383" localSheetId="0" hidden="1">monday_model.lp!$C$1389:$EDE$1389</definedName>
    <definedName name="Constraint_1383_LHS" localSheetId="0" hidden="1">monday_model.lp!$EDG$1389</definedName>
    <definedName name="Constraint_1383_RHS" localSheetId="0" hidden="1">monday_model.lp!$EDI$1389</definedName>
    <definedName name="Constraint_1383_Sense" localSheetId="0" hidden="1">monday_model.lp!$EDH$1389</definedName>
    <definedName name="Constraint_1384" localSheetId="0" hidden="1">monday_model.lp!$C$1390:$EDE$1390</definedName>
    <definedName name="Constraint_1384_LHS" localSheetId="0" hidden="1">monday_model.lp!$EDG$1390</definedName>
    <definedName name="Constraint_1384_RHS" localSheetId="0" hidden="1">monday_model.lp!$EDI$1390</definedName>
    <definedName name="Constraint_1384_Sense" localSheetId="0" hidden="1">monday_model.lp!$EDH$1390</definedName>
    <definedName name="Constraint_1385" localSheetId="0" hidden="1">monday_model.lp!$C$1391:$EDE$1391</definedName>
    <definedName name="Constraint_1385_LHS" localSheetId="0" hidden="1">monday_model.lp!$EDG$1391</definedName>
    <definedName name="Constraint_1385_RHS" localSheetId="0" hidden="1">monday_model.lp!$EDI$1391</definedName>
    <definedName name="Constraint_1385_Sense" localSheetId="0" hidden="1">monday_model.lp!$EDH$1391</definedName>
    <definedName name="Constraint_1386" localSheetId="0" hidden="1">monday_model.lp!$C$1392:$EDE$1392</definedName>
    <definedName name="Constraint_1386_LHS" localSheetId="0" hidden="1">monday_model.lp!$EDG$1392</definedName>
    <definedName name="Constraint_1386_RHS" localSheetId="0" hidden="1">monday_model.lp!$EDI$1392</definedName>
    <definedName name="Constraint_1386_Sense" localSheetId="0" hidden="1">monday_model.lp!$EDH$1392</definedName>
    <definedName name="Constraint_1387" localSheetId="0" hidden="1">monday_model.lp!$C$1393:$EDE$1393</definedName>
    <definedName name="Constraint_1387_LHS" localSheetId="0" hidden="1">monday_model.lp!$EDG$1393</definedName>
    <definedName name="Constraint_1387_RHS" localSheetId="0" hidden="1">monday_model.lp!$EDI$1393</definedName>
    <definedName name="Constraint_1387_Sense" localSheetId="0" hidden="1">monday_model.lp!$EDH$1393</definedName>
    <definedName name="Constraint_1388" localSheetId="0" hidden="1">monday_model.lp!$C$1394:$EDE$1394</definedName>
    <definedName name="Constraint_1388_LHS" localSheetId="0" hidden="1">monday_model.lp!$EDG$1394</definedName>
    <definedName name="Constraint_1388_RHS" localSheetId="0" hidden="1">monday_model.lp!$EDI$1394</definedName>
    <definedName name="Constraint_1388_Sense" localSheetId="0" hidden="1">monday_model.lp!$EDH$1394</definedName>
    <definedName name="Constraint_1389" localSheetId="0" hidden="1">monday_model.lp!$C$1395:$EDE$1395</definedName>
    <definedName name="Constraint_1389_LHS" localSheetId="0" hidden="1">monday_model.lp!$EDG$1395</definedName>
    <definedName name="Constraint_1389_RHS" localSheetId="0" hidden="1">monday_model.lp!$EDI$1395</definedName>
    <definedName name="Constraint_1389_Sense" localSheetId="0" hidden="1">monday_model.lp!$EDH$1395</definedName>
    <definedName name="Constraint_139" localSheetId="0" hidden="1">monday_model.lp!$C$145:$EDE$145</definedName>
    <definedName name="Constraint_139_LHS" localSheetId="0" hidden="1">monday_model.lp!$EDG$145</definedName>
    <definedName name="Constraint_139_RHS" localSheetId="0" hidden="1">monday_model.lp!$EDI$145</definedName>
    <definedName name="Constraint_139_Sense" localSheetId="0" hidden="1">monday_model.lp!$EDH$145</definedName>
    <definedName name="Constraint_1390" localSheetId="0" hidden="1">monday_model.lp!$C$1396:$EDE$1396</definedName>
    <definedName name="Constraint_1390_LHS" localSheetId="0" hidden="1">monday_model.lp!$EDG$1396</definedName>
    <definedName name="Constraint_1390_RHS" localSheetId="0" hidden="1">monday_model.lp!$EDI$1396</definedName>
    <definedName name="Constraint_1390_Sense" localSheetId="0" hidden="1">monday_model.lp!$EDH$1396</definedName>
    <definedName name="Constraint_1391" localSheetId="0" hidden="1">monday_model.lp!$C$1397:$EDE$1397</definedName>
    <definedName name="Constraint_1391_LHS" localSheetId="0" hidden="1">monday_model.lp!$EDG$1397</definedName>
    <definedName name="Constraint_1391_RHS" localSheetId="0" hidden="1">monday_model.lp!$EDI$1397</definedName>
    <definedName name="Constraint_1391_Sense" localSheetId="0" hidden="1">monday_model.lp!$EDH$1397</definedName>
    <definedName name="Constraint_1392" localSheetId="0" hidden="1">monday_model.lp!$C$1398:$EDE$1398</definedName>
    <definedName name="Constraint_1392_LHS" localSheetId="0" hidden="1">monday_model.lp!$EDG$1398</definedName>
    <definedName name="Constraint_1392_RHS" localSheetId="0" hidden="1">monday_model.lp!$EDI$1398</definedName>
    <definedName name="Constraint_1392_Sense" localSheetId="0" hidden="1">monday_model.lp!$EDH$1398</definedName>
    <definedName name="Constraint_1393" localSheetId="0" hidden="1">monday_model.lp!$C$1399:$EDE$1399</definedName>
    <definedName name="Constraint_1393_LHS" localSheetId="0" hidden="1">monday_model.lp!$EDG$1399</definedName>
    <definedName name="Constraint_1393_RHS" localSheetId="0" hidden="1">monday_model.lp!$EDI$1399</definedName>
    <definedName name="Constraint_1393_Sense" localSheetId="0" hidden="1">monday_model.lp!$EDH$1399</definedName>
    <definedName name="Constraint_1394" localSheetId="0" hidden="1">monday_model.lp!$C$1400:$EDE$1400</definedName>
    <definedName name="Constraint_1394_LHS" localSheetId="0" hidden="1">monday_model.lp!$EDG$1400</definedName>
    <definedName name="Constraint_1394_RHS" localSheetId="0" hidden="1">monday_model.lp!$EDI$1400</definedName>
    <definedName name="Constraint_1394_Sense" localSheetId="0" hidden="1">monday_model.lp!$EDH$1400</definedName>
    <definedName name="Constraint_1395" localSheetId="0" hidden="1">monday_model.lp!$C$1401:$EDE$1401</definedName>
    <definedName name="Constraint_1395_LHS" localSheetId="0" hidden="1">monday_model.lp!$EDG$1401</definedName>
    <definedName name="Constraint_1395_RHS" localSheetId="0" hidden="1">monday_model.lp!$EDI$1401</definedName>
    <definedName name="Constraint_1395_Sense" localSheetId="0" hidden="1">monday_model.lp!$EDH$1401</definedName>
    <definedName name="Constraint_1396" localSheetId="0" hidden="1">monday_model.lp!$C$1402:$EDE$1402</definedName>
    <definedName name="Constraint_1396_LHS" localSheetId="0" hidden="1">monday_model.lp!$EDG$1402</definedName>
    <definedName name="Constraint_1396_RHS" localSheetId="0" hidden="1">monday_model.lp!$EDI$1402</definedName>
    <definedName name="Constraint_1396_Sense" localSheetId="0" hidden="1">monday_model.lp!$EDH$1402</definedName>
    <definedName name="Constraint_1397" localSheetId="0" hidden="1">monday_model.lp!$C$1403:$EDE$1403</definedName>
    <definedName name="Constraint_1397_LHS" localSheetId="0" hidden="1">monday_model.lp!$EDG$1403</definedName>
    <definedName name="Constraint_1397_RHS" localSheetId="0" hidden="1">monday_model.lp!$EDI$1403</definedName>
    <definedName name="Constraint_1397_Sense" localSheetId="0" hidden="1">monday_model.lp!$EDH$1403</definedName>
    <definedName name="Constraint_1398" localSheetId="0" hidden="1">monday_model.lp!$C$1404:$EDE$1404</definedName>
    <definedName name="Constraint_1398_LHS" localSheetId="0" hidden="1">monday_model.lp!$EDG$1404</definedName>
    <definedName name="Constraint_1398_RHS" localSheetId="0" hidden="1">monday_model.lp!$EDI$1404</definedName>
    <definedName name="Constraint_1398_Sense" localSheetId="0" hidden="1">monday_model.lp!$EDH$1404</definedName>
    <definedName name="Constraint_1399" localSheetId="0" hidden="1">monday_model.lp!$C$1405:$EDE$1405</definedName>
    <definedName name="Constraint_1399_LHS" localSheetId="0" hidden="1">monday_model.lp!$EDG$1405</definedName>
    <definedName name="Constraint_1399_RHS" localSheetId="0" hidden="1">monday_model.lp!$EDI$1405</definedName>
    <definedName name="Constraint_1399_Sense" localSheetId="0" hidden="1">monday_model.lp!$EDH$1405</definedName>
    <definedName name="Constraint_14" localSheetId="0" hidden="1">monday_model.lp!$C$20:$EDE$20</definedName>
    <definedName name="Constraint_14_LHS" localSheetId="0" hidden="1">monday_model.lp!$EDG$20</definedName>
    <definedName name="Constraint_14_RHS" localSheetId="0" hidden="1">monday_model.lp!$EDI$20</definedName>
    <definedName name="Constraint_14_Sense" localSheetId="0" hidden="1">monday_model.lp!$EDH$20</definedName>
    <definedName name="Constraint_140" localSheetId="0" hidden="1">monday_model.lp!$C$146:$EDE$146</definedName>
    <definedName name="Constraint_140_LHS" localSheetId="0" hidden="1">monday_model.lp!$EDG$146</definedName>
    <definedName name="Constraint_140_RHS" localSheetId="0" hidden="1">monday_model.lp!$EDI$146</definedName>
    <definedName name="Constraint_140_Sense" localSheetId="0" hidden="1">monday_model.lp!$EDH$146</definedName>
    <definedName name="Constraint_1400" localSheetId="0" hidden="1">monday_model.lp!$C$1406:$EDE$1406</definedName>
    <definedName name="Constraint_1400_LHS" localSheetId="0" hidden="1">monday_model.lp!$EDG$1406</definedName>
    <definedName name="Constraint_1400_RHS" localSheetId="0" hidden="1">monday_model.lp!$EDI$1406</definedName>
    <definedName name="Constraint_1400_Sense" localSheetId="0" hidden="1">monday_model.lp!$EDH$1406</definedName>
    <definedName name="Constraint_1401" localSheetId="0" hidden="1">monday_model.lp!$C$1407:$EDE$1407</definedName>
    <definedName name="Constraint_1401_LHS" localSheetId="0" hidden="1">monday_model.lp!$EDG$1407</definedName>
    <definedName name="Constraint_1401_RHS" localSheetId="0" hidden="1">monday_model.lp!$EDI$1407</definedName>
    <definedName name="Constraint_1401_Sense" localSheetId="0" hidden="1">monday_model.lp!$EDH$1407</definedName>
    <definedName name="Constraint_1402" localSheetId="0" hidden="1">monday_model.lp!$C$1408:$EDE$1408</definedName>
    <definedName name="Constraint_1402_LHS" localSheetId="0" hidden="1">monday_model.lp!$EDG$1408</definedName>
    <definedName name="Constraint_1402_RHS" localSheetId="0" hidden="1">monday_model.lp!$EDI$1408</definedName>
    <definedName name="Constraint_1402_Sense" localSheetId="0" hidden="1">monday_model.lp!$EDH$1408</definedName>
    <definedName name="Constraint_1403" localSheetId="0" hidden="1">monday_model.lp!$C$1409:$EDE$1409</definedName>
    <definedName name="Constraint_1403_LHS" localSheetId="0" hidden="1">monday_model.lp!$EDG$1409</definedName>
    <definedName name="Constraint_1403_RHS" localSheetId="0" hidden="1">monday_model.lp!$EDI$1409</definedName>
    <definedName name="Constraint_1403_Sense" localSheetId="0" hidden="1">monday_model.lp!$EDH$1409</definedName>
    <definedName name="Constraint_1404" localSheetId="0" hidden="1">monday_model.lp!$C$1410:$EDE$1410</definedName>
    <definedName name="Constraint_1404_LHS" localSheetId="0" hidden="1">monday_model.lp!$EDG$1410</definedName>
    <definedName name="Constraint_1404_RHS" localSheetId="0" hidden="1">monday_model.lp!$EDI$1410</definedName>
    <definedName name="Constraint_1404_Sense" localSheetId="0" hidden="1">monday_model.lp!$EDH$1410</definedName>
    <definedName name="Constraint_1405" localSheetId="0" hidden="1">monday_model.lp!$C$1411:$EDE$1411</definedName>
    <definedName name="Constraint_1405_LHS" localSheetId="0" hidden="1">monday_model.lp!$EDG$1411</definedName>
    <definedName name="Constraint_1405_RHS" localSheetId="0" hidden="1">monday_model.lp!$EDI$1411</definedName>
    <definedName name="Constraint_1405_Sense" localSheetId="0" hidden="1">monday_model.lp!$EDH$1411</definedName>
    <definedName name="Constraint_1406" localSheetId="0" hidden="1">monday_model.lp!$C$1412:$EDE$1412</definedName>
    <definedName name="Constraint_1406_LHS" localSheetId="0" hidden="1">monday_model.lp!$EDG$1412</definedName>
    <definedName name="Constraint_1406_RHS" localSheetId="0" hidden="1">monday_model.lp!$EDI$1412</definedName>
    <definedName name="Constraint_1406_Sense" localSheetId="0" hidden="1">monday_model.lp!$EDH$1412</definedName>
    <definedName name="Constraint_1407" localSheetId="0" hidden="1">monday_model.lp!$C$1413:$EDE$1413</definedName>
    <definedName name="Constraint_1407_LHS" localSheetId="0" hidden="1">monday_model.lp!$EDG$1413</definedName>
    <definedName name="Constraint_1407_RHS" localSheetId="0" hidden="1">monday_model.lp!$EDI$1413</definedName>
    <definedName name="Constraint_1407_Sense" localSheetId="0" hidden="1">monday_model.lp!$EDH$1413</definedName>
    <definedName name="Constraint_1408" localSheetId="0" hidden="1">monday_model.lp!$C$1414:$EDE$1414</definedName>
    <definedName name="Constraint_1408_LHS" localSheetId="0" hidden="1">monday_model.lp!$EDG$1414</definedName>
    <definedName name="Constraint_1408_RHS" localSheetId="0" hidden="1">monday_model.lp!$EDI$1414</definedName>
    <definedName name="Constraint_1408_Sense" localSheetId="0" hidden="1">monday_model.lp!$EDH$1414</definedName>
    <definedName name="Constraint_1409" localSheetId="0" hidden="1">monday_model.lp!$C$1415:$EDE$1415</definedName>
    <definedName name="Constraint_1409_LHS" localSheetId="0" hidden="1">monday_model.lp!$EDG$1415</definedName>
    <definedName name="Constraint_1409_RHS" localSheetId="0" hidden="1">monday_model.lp!$EDI$1415</definedName>
    <definedName name="Constraint_1409_Sense" localSheetId="0" hidden="1">monday_model.lp!$EDH$1415</definedName>
    <definedName name="Constraint_141" localSheetId="0" hidden="1">monday_model.lp!$C$147:$EDE$147</definedName>
    <definedName name="Constraint_141_LHS" localSheetId="0" hidden="1">monday_model.lp!$EDG$147</definedName>
    <definedName name="Constraint_141_RHS" localSheetId="0" hidden="1">monday_model.lp!$EDI$147</definedName>
    <definedName name="Constraint_141_Sense" localSheetId="0" hidden="1">monday_model.lp!$EDH$147</definedName>
    <definedName name="Constraint_1410" localSheetId="0" hidden="1">monday_model.lp!$C$1416:$EDE$1416</definedName>
    <definedName name="Constraint_1410_LHS" localSheetId="0" hidden="1">monday_model.lp!$EDG$1416</definedName>
    <definedName name="Constraint_1410_RHS" localSheetId="0" hidden="1">monday_model.lp!$EDI$1416</definedName>
    <definedName name="Constraint_1410_Sense" localSheetId="0" hidden="1">monday_model.lp!$EDH$1416</definedName>
    <definedName name="Constraint_1411" localSheetId="0" hidden="1">monday_model.lp!$C$1417:$EDE$1417</definedName>
    <definedName name="Constraint_1411_LHS" localSheetId="0" hidden="1">monday_model.lp!$EDG$1417</definedName>
    <definedName name="Constraint_1411_RHS" localSheetId="0" hidden="1">monday_model.lp!$EDI$1417</definedName>
    <definedName name="Constraint_1411_Sense" localSheetId="0" hidden="1">monday_model.lp!$EDH$1417</definedName>
    <definedName name="Constraint_1412" localSheetId="0" hidden="1">monday_model.lp!$C$1418:$EDE$1418</definedName>
    <definedName name="Constraint_1412_LHS" localSheetId="0" hidden="1">monday_model.lp!$EDG$1418</definedName>
    <definedName name="Constraint_1412_RHS" localSheetId="0" hidden="1">monday_model.lp!$EDI$1418</definedName>
    <definedName name="Constraint_1412_Sense" localSheetId="0" hidden="1">monday_model.lp!$EDH$1418</definedName>
    <definedName name="Constraint_1413" localSheetId="0" hidden="1">monday_model.lp!$C$1419:$EDE$1419</definedName>
    <definedName name="Constraint_1413_LHS" localSheetId="0" hidden="1">monday_model.lp!$EDG$1419</definedName>
    <definedName name="Constraint_1413_RHS" localSheetId="0" hidden="1">monday_model.lp!$EDI$1419</definedName>
    <definedName name="Constraint_1413_Sense" localSheetId="0" hidden="1">monday_model.lp!$EDH$1419</definedName>
    <definedName name="Constraint_1414" localSheetId="0" hidden="1">monday_model.lp!$C$1420:$EDE$1420</definedName>
    <definedName name="Constraint_1414_LHS" localSheetId="0" hidden="1">monday_model.lp!$EDG$1420</definedName>
    <definedName name="Constraint_1414_RHS" localSheetId="0" hidden="1">monday_model.lp!$EDI$1420</definedName>
    <definedName name="Constraint_1414_Sense" localSheetId="0" hidden="1">monday_model.lp!$EDH$1420</definedName>
    <definedName name="Constraint_1415" localSheetId="0" hidden="1">monday_model.lp!$C$1421:$EDE$1421</definedName>
    <definedName name="Constraint_1415_LHS" localSheetId="0" hidden="1">monday_model.lp!$EDG$1421</definedName>
    <definedName name="Constraint_1415_RHS" localSheetId="0" hidden="1">monday_model.lp!$EDI$1421</definedName>
    <definedName name="Constraint_1415_Sense" localSheetId="0" hidden="1">monday_model.lp!$EDH$1421</definedName>
    <definedName name="Constraint_1416" localSheetId="0" hidden="1">monday_model.lp!$C$1422:$EDE$1422</definedName>
    <definedName name="Constraint_1416_LHS" localSheetId="0" hidden="1">monday_model.lp!$EDG$1422</definedName>
    <definedName name="Constraint_1416_RHS" localSheetId="0" hidden="1">monday_model.lp!$EDI$1422</definedName>
    <definedName name="Constraint_1416_Sense" localSheetId="0" hidden="1">monday_model.lp!$EDH$1422</definedName>
    <definedName name="Constraint_1417" localSheetId="0" hidden="1">monday_model.lp!$C$1423:$EDE$1423</definedName>
    <definedName name="Constraint_1417_LHS" localSheetId="0" hidden="1">monday_model.lp!$EDG$1423</definedName>
    <definedName name="Constraint_1417_RHS" localSheetId="0" hidden="1">monday_model.lp!$EDI$1423</definedName>
    <definedName name="Constraint_1417_Sense" localSheetId="0" hidden="1">monday_model.lp!$EDH$1423</definedName>
    <definedName name="Constraint_1418" localSheetId="0" hidden="1">monday_model.lp!$C$1424:$EDE$1424</definedName>
    <definedName name="Constraint_1418_LHS" localSheetId="0" hidden="1">monday_model.lp!$EDG$1424</definedName>
    <definedName name="Constraint_1418_RHS" localSheetId="0" hidden="1">monday_model.lp!$EDI$1424</definedName>
    <definedName name="Constraint_1418_Sense" localSheetId="0" hidden="1">monday_model.lp!$EDH$1424</definedName>
    <definedName name="Constraint_1419" localSheetId="0" hidden="1">monday_model.lp!$C$1425:$EDE$1425</definedName>
    <definedName name="Constraint_1419_LHS" localSheetId="0" hidden="1">monday_model.lp!$EDG$1425</definedName>
    <definedName name="Constraint_1419_RHS" localSheetId="0" hidden="1">monday_model.lp!$EDI$1425</definedName>
    <definedName name="Constraint_1419_Sense" localSheetId="0" hidden="1">monday_model.lp!$EDH$1425</definedName>
    <definedName name="Constraint_142" localSheetId="0" hidden="1">monday_model.lp!$C$148:$EDE$148</definedName>
    <definedName name="Constraint_142_LHS" localSheetId="0" hidden="1">monday_model.lp!$EDG$148</definedName>
    <definedName name="Constraint_142_RHS" localSheetId="0" hidden="1">monday_model.lp!$EDI$148</definedName>
    <definedName name="Constraint_142_Sense" localSheetId="0" hidden="1">monday_model.lp!$EDH$148</definedName>
    <definedName name="Constraint_1420" localSheetId="0" hidden="1">monday_model.lp!$C$1426:$EDE$1426</definedName>
    <definedName name="Constraint_1420_LHS" localSheetId="0" hidden="1">monday_model.lp!$EDG$1426</definedName>
    <definedName name="Constraint_1420_RHS" localSheetId="0" hidden="1">monday_model.lp!$EDI$1426</definedName>
    <definedName name="Constraint_1420_Sense" localSheetId="0" hidden="1">monday_model.lp!$EDH$1426</definedName>
    <definedName name="Constraint_1421" localSheetId="0" hidden="1">monday_model.lp!$C$1427:$EDE$1427</definedName>
    <definedName name="Constraint_1421_LHS" localSheetId="0" hidden="1">monday_model.lp!$EDG$1427</definedName>
    <definedName name="Constraint_1421_RHS" localSheetId="0" hidden="1">monday_model.lp!$EDI$1427</definedName>
    <definedName name="Constraint_1421_Sense" localSheetId="0" hidden="1">monday_model.lp!$EDH$1427</definedName>
    <definedName name="Constraint_1422" localSheetId="0" hidden="1">monday_model.lp!$C$1428:$EDE$1428</definedName>
    <definedName name="Constraint_1422_LHS" localSheetId="0" hidden="1">monday_model.lp!$EDG$1428</definedName>
    <definedName name="Constraint_1422_RHS" localSheetId="0" hidden="1">monday_model.lp!$EDI$1428</definedName>
    <definedName name="Constraint_1422_Sense" localSheetId="0" hidden="1">monday_model.lp!$EDH$1428</definedName>
    <definedName name="Constraint_1423" localSheetId="0" hidden="1">monday_model.lp!$C$1429:$EDE$1429</definedName>
    <definedName name="Constraint_1423_LHS" localSheetId="0" hidden="1">monday_model.lp!$EDG$1429</definedName>
    <definedName name="Constraint_1423_RHS" localSheetId="0" hidden="1">monday_model.lp!$EDI$1429</definedName>
    <definedName name="Constraint_1423_Sense" localSheetId="0" hidden="1">monday_model.lp!$EDH$1429</definedName>
    <definedName name="Constraint_1424" localSheetId="0" hidden="1">monday_model.lp!$C$1430:$EDE$1430</definedName>
    <definedName name="Constraint_1424_LHS" localSheetId="0" hidden="1">monday_model.lp!$EDG$1430</definedName>
    <definedName name="Constraint_1424_RHS" localSheetId="0" hidden="1">monday_model.lp!$EDI$1430</definedName>
    <definedName name="Constraint_1424_Sense" localSheetId="0" hidden="1">monday_model.lp!$EDH$1430</definedName>
    <definedName name="Constraint_1425" localSheetId="0" hidden="1">monday_model.lp!$C$1431:$EDE$1431</definedName>
    <definedName name="Constraint_1425_LHS" localSheetId="0" hidden="1">monday_model.lp!$EDG$1431</definedName>
    <definedName name="Constraint_1425_RHS" localSheetId="0" hidden="1">monday_model.lp!$EDI$1431</definedName>
    <definedName name="Constraint_1425_Sense" localSheetId="0" hidden="1">monday_model.lp!$EDH$1431</definedName>
    <definedName name="Constraint_1426" localSheetId="0" hidden="1">monday_model.lp!$C$1432:$EDE$1432</definedName>
    <definedName name="Constraint_1426_LHS" localSheetId="0" hidden="1">monday_model.lp!$EDG$1432</definedName>
    <definedName name="Constraint_1426_RHS" localSheetId="0" hidden="1">monday_model.lp!$EDI$1432</definedName>
    <definedName name="Constraint_1426_Sense" localSheetId="0" hidden="1">monday_model.lp!$EDH$1432</definedName>
    <definedName name="Constraint_1427" localSheetId="0" hidden="1">monday_model.lp!$C$1433:$EDE$1433</definedName>
    <definedName name="Constraint_1427_LHS" localSheetId="0" hidden="1">monday_model.lp!$EDG$1433</definedName>
    <definedName name="Constraint_1427_RHS" localSheetId="0" hidden="1">monday_model.lp!$EDI$1433</definedName>
    <definedName name="Constraint_1427_Sense" localSheetId="0" hidden="1">monday_model.lp!$EDH$1433</definedName>
    <definedName name="Constraint_1428" localSheetId="0" hidden="1">monday_model.lp!$C$1434:$EDE$1434</definedName>
    <definedName name="Constraint_1428_LHS" localSheetId="0" hidden="1">monday_model.lp!$EDG$1434</definedName>
    <definedName name="Constraint_1428_RHS" localSheetId="0" hidden="1">monday_model.lp!$EDI$1434</definedName>
    <definedName name="Constraint_1428_Sense" localSheetId="0" hidden="1">monday_model.lp!$EDH$1434</definedName>
    <definedName name="Constraint_1429" localSheetId="0" hidden="1">monday_model.lp!$C$1435:$EDE$1435</definedName>
    <definedName name="Constraint_1429_LHS" localSheetId="0" hidden="1">monday_model.lp!$EDG$1435</definedName>
    <definedName name="Constraint_1429_RHS" localSheetId="0" hidden="1">monday_model.lp!$EDI$1435</definedName>
    <definedName name="Constraint_1429_Sense" localSheetId="0" hidden="1">monday_model.lp!$EDH$1435</definedName>
    <definedName name="Constraint_143" localSheetId="0" hidden="1">monday_model.lp!$C$149:$EDE$149</definedName>
    <definedName name="Constraint_143_LHS" localSheetId="0" hidden="1">monday_model.lp!$EDG$149</definedName>
    <definedName name="Constraint_143_RHS" localSheetId="0" hidden="1">monday_model.lp!$EDI$149</definedName>
    <definedName name="Constraint_143_Sense" localSheetId="0" hidden="1">monday_model.lp!$EDH$149</definedName>
    <definedName name="Constraint_1430" localSheetId="0" hidden="1">monday_model.lp!$C$1436:$EDE$1436</definedName>
    <definedName name="Constraint_1430_LHS" localSheetId="0" hidden="1">monday_model.lp!$EDG$1436</definedName>
    <definedName name="Constraint_1430_RHS" localSheetId="0" hidden="1">monday_model.lp!$EDI$1436</definedName>
    <definedName name="Constraint_1430_Sense" localSheetId="0" hidden="1">monday_model.lp!$EDH$1436</definedName>
    <definedName name="Constraint_1431" localSheetId="0" hidden="1">monday_model.lp!$C$1437:$EDE$1437</definedName>
    <definedName name="Constraint_1431_LHS" localSheetId="0" hidden="1">monday_model.lp!$EDG$1437</definedName>
    <definedName name="Constraint_1431_RHS" localSheetId="0" hidden="1">monday_model.lp!$EDI$1437</definedName>
    <definedName name="Constraint_1431_Sense" localSheetId="0" hidden="1">monday_model.lp!$EDH$1437</definedName>
    <definedName name="Constraint_1432" localSheetId="0" hidden="1">monday_model.lp!$C$1438:$EDE$1438</definedName>
    <definedName name="Constraint_1432_LHS" localSheetId="0" hidden="1">monday_model.lp!$EDG$1438</definedName>
    <definedName name="Constraint_1432_RHS" localSheetId="0" hidden="1">monday_model.lp!$EDI$1438</definedName>
    <definedName name="Constraint_1432_Sense" localSheetId="0" hidden="1">monday_model.lp!$EDH$1438</definedName>
    <definedName name="Constraint_1433" localSheetId="0" hidden="1">monday_model.lp!$C$1439:$EDE$1439</definedName>
    <definedName name="Constraint_1433_LHS" localSheetId="0" hidden="1">monday_model.lp!$EDG$1439</definedName>
    <definedName name="Constraint_1433_RHS" localSheetId="0" hidden="1">monday_model.lp!$EDI$1439</definedName>
    <definedName name="Constraint_1433_Sense" localSheetId="0" hidden="1">monday_model.lp!$EDH$1439</definedName>
    <definedName name="Constraint_1434" localSheetId="0" hidden="1">monday_model.lp!$C$1440:$EDE$1440</definedName>
    <definedName name="Constraint_1434_LHS" localSheetId="0" hidden="1">monday_model.lp!$EDG$1440</definedName>
    <definedName name="Constraint_1434_RHS" localSheetId="0" hidden="1">monday_model.lp!$EDI$1440</definedName>
    <definedName name="Constraint_1434_Sense" localSheetId="0" hidden="1">monday_model.lp!$EDH$1440</definedName>
    <definedName name="Constraint_1435" localSheetId="0" hidden="1">monday_model.lp!$C$1441:$EDE$1441</definedName>
    <definedName name="Constraint_1435_LHS" localSheetId="0" hidden="1">monday_model.lp!$EDG$1441</definedName>
    <definedName name="Constraint_1435_RHS" localSheetId="0" hidden="1">monday_model.lp!$EDI$1441</definedName>
    <definedName name="Constraint_1435_Sense" localSheetId="0" hidden="1">monday_model.lp!$EDH$1441</definedName>
    <definedName name="Constraint_1436" localSheetId="0" hidden="1">monday_model.lp!$C$1442:$EDE$1442</definedName>
    <definedName name="Constraint_1436_LHS" localSheetId="0" hidden="1">monday_model.lp!$EDG$1442</definedName>
    <definedName name="Constraint_1436_RHS" localSheetId="0" hidden="1">monday_model.lp!$EDI$1442</definedName>
    <definedName name="Constraint_1436_Sense" localSheetId="0" hidden="1">monday_model.lp!$EDH$1442</definedName>
    <definedName name="Constraint_1437" localSheetId="0" hidden="1">monday_model.lp!$C$1443:$EDE$1443</definedName>
    <definedName name="Constraint_1437_LHS" localSheetId="0" hidden="1">monday_model.lp!$EDG$1443</definedName>
    <definedName name="Constraint_1437_RHS" localSheetId="0" hidden="1">monday_model.lp!$EDI$1443</definedName>
    <definedName name="Constraint_1437_Sense" localSheetId="0" hidden="1">monday_model.lp!$EDH$1443</definedName>
    <definedName name="Constraint_1438" localSheetId="0" hidden="1">monday_model.lp!$C$1444:$EDE$1444</definedName>
    <definedName name="Constraint_1438_LHS" localSheetId="0" hidden="1">monday_model.lp!$EDG$1444</definedName>
    <definedName name="Constraint_1438_RHS" localSheetId="0" hidden="1">monday_model.lp!$EDI$1444</definedName>
    <definedName name="Constraint_1438_Sense" localSheetId="0" hidden="1">monday_model.lp!$EDH$1444</definedName>
    <definedName name="Constraint_1439" localSheetId="0" hidden="1">monday_model.lp!$C$1445:$EDE$1445</definedName>
    <definedName name="Constraint_1439_LHS" localSheetId="0" hidden="1">monday_model.lp!$EDG$1445</definedName>
    <definedName name="Constraint_1439_RHS" localSheetId="0" hidden="1">monday_model.lp!$EDI$1445</definedName>
    <definedName name="Constraint_1439_Sense" localSheetId="0" hidden="1">monday_model.lp!$EDH$1445</definedName>
    <definedName name="Constraint_144" localSheetId="0" hidden="1">monday_model.lp!$C$150:$EDE$150</definedName>
    <definedName name="Constraint_144_LHS" localSheetId="0" hidden="1">monday_model.lp!$EDG$150</definedName>
    <definedName name="Constraint_144_RHS" localSheetId="0" hidden="1">monday_model.lp!$EDI$150</definedName>
    <definedName name="Constraint_144_Sense" localSheetId="0" hidden="1">monday_model.lp!$EDH$150</definedName>
    <definedName name="Constraint_1440" localSheetId="0" hidden="1">monday_model.lp!$C$1446:$EDE$1446</definedName>
    <definedName name="Constraint_1440_LHS" localSheetId="0" hidden="1">monday_model.lp!$EDG$1446</definedName>
    <definedName name="Constraint_1440_RHS" localSheetId="0" hidden="1">monday_model.lp!$EDI$1446</definedName>
    <definedName name="Constraint_1440_Sense" localSheetId="0" hidden="1">monday_model.lp!$EDH$1446</definedName>
    <definedName name="Constraint_1441" localSheetId="0" hidden="1">monday_model.lp!$C$1447:$EDE$1447</definedName>
    <definedName name="Constraint_1441_LHS" localSheetId="0" hidden="1">monday_model.lp!$EDG$1447</definedName>
    <definedName name="Constraint_1441_RHS" localSheetId="0" hidden="1">monday_model.lp!$EDI$1447</definedName>
    <definedName name="Constraint_1441_Sense" localSheetId="0" hidden="1">monday_model.lp!$EDH$1447</definedName>
    <definedName name="Constraint_1442" localSheetId="0" hidden="1">monday_model.lp!$C$1448:$EDE$1448</definedName>
    <definedName name="Constraint_1442_LHS" localSheetId="0" hidden="1">monday_model.lp!$EDG$1448</definedName>
    <definedName name="Constraint_1442_RHS" localSheetId="0" hidden="1">monday_model.lp!$EDI$1448</definedName>
    <definedName name="Constraint_1442_Sense" localSheetId="0" hidden="1">monday_model.lp!$EDH$1448</definedName>
    <definedName name="Constraint_1443" localSheetId="0" hidden="1">monday_model.lp!$C$1449:$EDE$1449</definedName>
    <definedName name="Constraint_1443_LHS" localSheetId="0" hidden="1">monday_model.lp!$EDG$1449</definedName>
    <definedName name="Constraint_1443_RHS" localSheetId="0" hidden="1">monday_model.lp!$EDI$1449</definedName>
    <definedName name="Constraint_1443_Sense" localSheetId="0" hidden="1">monday_model.lp!$EDH$1449</definedName>
    <definedName name="Constraint_1444" localSheetId="0" hidden="1">monday_model.lp!$C$1450:$EDE$1450</definedName>
    <definedName name="Constraint_1444_LHS" localSheetId="0" hidden="1">monday_model.lp!$EDG$1450</definedName>
    <definedName name="Constraint_1444_RHS" localSheetId="0" hidden="1">monday_model.lp!$EDI$1450</definedName>
    <definedName name="Constraint_1444_Sense" localSheetId="0" hidden="1">monday_model.lp!$EDH$1450</definedName>
    <definedName name="Constraint_1445" localSheetId="0" hidden="1">monday_model.lp!$C$1451:$EDE$1451</definedName>
    <definedName name="Constraint_1445_LHS" localSheetId="0" hidden="1">monday_model.lp!$EDG$1451</definedName>
    <definedName name="Constraint_1445_RHS" localSheetId="0" hidden="1">monday_model.lp!$EDI$1451</definedName>
    <definedName name="Constraint_1445_Sense" localSheetId="0" hidden="1">monday_model.lp!$EDH$1451</definedName>
    <definedName name="Constraint_1446" localSheetId="0" hidden="1">monday_model.lp!$C$1452:$EDE$1452</definedName>
    <definedName name="Constraint_1446_LHS" localSheetId="0" hidden="1">monday_model.lp!$EDG$1452</definedName>
    <definedName name="Constraint_1446_RHS" localSheetId="0" hidden="1">monday_model.lp!$EDI$1452</definedName>
    <definedName name="Constraint_1446_Sense" localSheetId="0" hidden="1">monday_model.lp!$EDH$1452</definedName>
    <definedName name="Constraint_1447" localSheetId="0" hidden="1">monday_model.lp!$C$1453:$EDE$1453</definedName>
    <definedName name="Constraint_1447_LHS" localSheetId="0" hidden="1">monday_model.lp!$EDG$1453</definedName>
    <definedName name="Constraint_1447_RHS" localSheetId="0" hidden="1">monday_model.lp!$EDI$1453</definedName>
    <definedName name="Constraint_1447_Sense" localSheetId="0" hidden="1">monday_model.lp!$EDH$1453</definedName>
    <definedName name="Constraint_1448" localSheetId="0" hidden="1">monday_model.lp!$C$1454:$EDE$1454</definedName>
    <definedName name="Constraint_1448_LHS" localSheetId="0" hidden="1">monday_model.lp!$EDG$1454</definedName>
    <definedName name="Constraint_1448_RHS" localSheetId="0" hidden="1">monday_model.lp!$EDI$1454</definedName>
    <definedName name="Constraint_1448_Sense" localSheetId="0" hidden="1">monday_model.lp!$EDH$1454</definedName>
    <definedName name="Constraint_1449" localSheetId="0" hidden="1">monday_model.lp!$C$1455:$EDE$1455</definedName>
    <definedName name="Constraint_1449_LHS" localSheetId="0" hidden="1">monday_model.lp!$EDG$1455</definedName>
    <definedName name="Constraint_1449_RHS" localSheetId="0" hidden="1">monday_model.lp!$EDI$1455</definedName>
    <definedName name="Constraint_1449_Sense" localSheetId="0" hidden="1">monday_model.lp!$EDH$1455</definedName>
    <definedName name="Constraint_145" localSheetId="0" hidden="1">monday_model.lp!$C$151:$EDE$151</definedName>
    <definedName name="Constraint_145_LHS" localSheetId="0" hidden="1">monday_model.lp!$EDG$151</definedName>
    <definedName name="Constraint_145_RHS" localSheetId="0" hidden="1">monday_model.lp!$EDI$151</definedName>
    <definedName name="Constraint_145_Sense" localSheetId="0" hidden="1">monday_model.lp!$EDH$151</definedName>
    <definedName name="Constraint_1450" localSheetId="0" hidden="1">monday_model.lp!$C$1456:$EDE$1456</definedName>
    <definedName name="Constraint_1450_LHS" localSheetId="0" hidden="1">monday_model.lp!$EDG$1456</definedName>
    <definedName name="Constraint_1450_RHS" localSheetId="0" hidden="1">monday_model.lp!$EDI$1456</definedName>
    <definedName name="Constraint_1450_Sense" localSheetId="0" hidden="1">monday_model.lp!$EDH$1456</definedName>
    <definedName name="Constraint_1451" localSheetId="0" hidden="1">monday_model.lp!$C$1457:$EDE$1457</definedName>
    <definedName name="Constraint_1451_LHS" localSheetId="0" hidden="1">monday_model.lp!$EDG$1457</definedName>
    <definedName name="Constraint_1451_RHS" localSheetId="0" hidden="1">monday_model.lp!$EDI$1457</definedName>
    <definedName name="Constraint_1451_Sense" localSheetId="0" hidden="1">monday_model.lp!$EDH$1457</definedName>
    <definedName name="Constraint_1452" localSheetId="0" hidden="1">monday_model.lp!$C$1458:$EDE$1458</definedName>
    <definedName name="Constraint_1452_LHS" localSheetId="0" hidden="1">monday_model.lp!$EDG$1458</definedName>
    <definedName name="Constraint_1452_RHS" localSheetId="0" hidden="1">monday_model.lp!$EDI$1458</definedName>
    <definedName name="Constraint_1452_Sense" localSheetId="0" hidden="1">monday_model.lp!$EDH$1458</definedName>
    <definedName name="Constraint_1453" localSheetId="0" hidden="1">monday_model.lp!$C$1459:$EDE$1459</definedName>
    <definedName name="Constraint_1453_LHS" localSheetId="0" hidden="1">monday_model.lp!$EDG$1459</definedName>
    <definedName name="Constraint_1453_RHS" localSheetId="0" hidden="1">monday_model.lp!$EDI$1459</definedName>
    <definedName name="Constraint_1453_Sense" localSheetId="0" hidden="1">monday_model.lp!$EDH$1459</definedName>
    <definedName name="Constraint_1454" localSheetId="0" hidden="1">monday_model.lp!$C$1460:$EDE$1460</definedName>
    <definedName name="Constraint_1454_LHS" localSheetId="0" hidden="1">monday_model.lp!$EDG$1460</definedName>
    <definedName name="Constraint_1454_RHS" localSheetId="0" hidden="1">monday_model.lp!$EDI$1460</definedName>
    <definedName name="Constraint_1454_Sense" localSheetId="0" hidden="1">monday_model.lp!$EDH$1460</definedName>
    <definedName name="Constraint_1455" localSheetId="0" hidden="1">monday_model.lp!$C$1461:$EDE$1461</definedName>
    <definedName name="Constraint_1455_LHS" localSheetId="0" hidden="1">monday_model.lp!$EDG$1461</definedName>
    <definedName name="Constraint_1455_RHS" localSheetId="0" hidden="1">monday_model.lp!$EDI$1461</definedName>
    <definedName name="Constraint_1455_Sense" localSheetId="0" hidden="1">monday_model.lp!$EDH$1461</definedName>
    <definedName name="Constraint_1456" localSheetId="0" hidden="1">monday_model.lp!$C$1462:$EDE$1462</definedName>
    <definedName name="Constraint_1456_LHS" localSheetId="0" hidden="1">monday_model.lp!$EDG$1462</definedName>
    <definedName name="Constraint_1456_RHS" localSheetId="0" hidden="1">monday_model.lp!$EDI$1462</definedName>
    <definedName name="Constraint_1456_Sense" localSheetId="0" hidden="1">monday_model.lp!$EDH$1462</definedName>
    <definedName name="Constraint_1457" localSheetId="0" hidden="1">monday_model.lp!$C$1463:$EDE$1463</definedName>
    <definedName name="Constraint_1457_LHS" localSheetId="0" hidden="1">monday_model.lp!$EDG$1463</definedName>
    <definedName name="Constraint_1457_RHS" localSheetId="0" hidden="1">monday_model.lp!$EDI$1463</definedName>
    <definedName name="Constraint_1457_Sense" localSheetId="0" hidden="1">monday_model.lp!$EDH$1463</definedName>
    <definedName name="Constraint_1458" localSheetId="0" hidden="1">monday_model.lp!$C$1464:$EDE$1464</definedName>
    <definedName name="Constraint_1458_LHS" localSheetId="0" hidden="1">monday_model.lp!$EDG$1464</definedName>
    <definedName name="Constraint_1458_RHS" localSheetId="0" hidden="1">monday_model.lp!$EDI$1464</definedName>
    <definedName name="Constraint_1458_Sense" localSheetId="0" hidden="1">monday_model.lp!$EDH$1464</definedName>
    <definedName name="Constraint_1459" localSheetId="0" hidden="1">monday_model.lp!$C$1465:$EDE$1465</definedName>
    <definedName name="Constraint_1459_LHS" localSheetId="0" hidden="1">monday_model.lp!$EDG$1465</definedName>
    <definedName name="Constraint_1459_RHS" localSheetId="0" hidden="1">monday_model.lp!$EDI$1465</definedName>
    <definedName name="Constraint_1459_Sense" localSheetId="0" hidden="1">monday_model.lp!$EDH$1465</definedName>
    <definedName name="Constraint_146" localSheetId="0" hidden="1">monday_model.lp!$C$152:$EDE$152</definedName>
    <definedName name="Constraint_146_LHS" localSheetId="0" hidden="1">monday_model.lp!$EDG$152</definedName>
    <definedName name="Constraint_146_RHS" localSheetId="0" hidden="1">monday_model.lp!$EDI$152</definedName>
    <definedName name="Constraint_146_Sense" localSheetId="0" hidden="1">monday_model.lp!$EDH$152</definedName>
    <definedName name="Constraint_1460" localSheetId="0" hidden="1">monday_model.lp!$C$1466:$EDE$1466</definedName>
    <definedName name="Constraint_1460_LHS" localSheetId="0" hidden="1">monday_model.lp!$EDG$1466</definedName>
    <definedName name="Constraint_1460_RHS" localSheetId="0" hidden="1">monday_model.lp!$EDI$1466</definedName>
    <definedName name="Constraint_1460_Sense" localSheetId="0" hidden="1">monday_model.lp!$EDH$1466</definedName>
    <definedName name="Constraint_1461" localSheetId="0" hidden="1">monday_model.lp!$C$1467:$EDE$1467</definedName>
    <definedName name="Constraint_1461_LHS" localSheetId="0" hidden="1">monday_model.lp!$EDG$1467</definedName>
    <definedName name="Constraint_1461_RHS" localSheetId="0" hidden="1">monday_model.lp!$EDI$1467</definedName>
    <definedName name="Constraint_1461_Sense" localSheetId="0" hidden="1">monday_model.lp!$EDH$1467</definedName>
    <definedName name="Constraint_1462" localSheetId="0" hidden="1">monday_model.lp!$C$1468:$EDE$1468</definedName>
    <definedName name="Constraint_1462_LHS" localSheetId="0" hidden="1">monday_model.lp!$EDG$1468</definedName>
    <definedName name="Constraint_1462_RHS" localSheetId="0" hidden="1">monday_model.lp!$EDI$1468</definedName>
    <definedName name="Constraint_1462_Sense" localSheetId="0" hidden="1">monday_model.lp!$EDH$1468</definedName>
    <definedName name="Constraint_1463" localSheetId="0" hidden="1">monday_model.lp!$C$1469:$EDE$1469</definedName>
    <definedName name="Constraint_1463_LHS" localSheetId="0" hidden="1">monday_model.lp!$EDG$1469</definedName>
    <definedName name="Constraint_1463_RHS" localSheetId="0" hidden="1">monday_model.lp!$EDI$1469</definedName>
    <definedName name="Constraint_1463_Sense" localSheetId="0" hidden="1">monday_model.lp!$EDH$1469</definedName>
    <definedName name="Constraint_1464" localSheetId="0" hidden="1">monday_model.lp!$C$1470:$EDE$1470</definedName>
    <definedName name="Constraint_1464_LHS" localSheetId="0" hidden="1">monday_model.lp!$EDG$1470</definedName>
    <definedName name="Constraint_1464_RHS" localSheetId="0" hidden="1">monday_model.lp!$EDI$1470</definedName>
    <definedName name="Constraint_1464_Sense" localSheetId="0" hidden="1">monday_model.lp!$EDH$1470</definedName>
    <definedName name="Constraint_1465" localSheetId="0" hidden="1">monday_model.lp!$C$1471:$EDE$1471</definedName>
    <definedName name="Constraint_1465_LHS" localSheetId="0" hidden="1">monday_model.lp!$EDG$1471</definedName>
    <definedName name="Constraint_1465_RHS" localSheetId="0" hidden="1">monday_model.lp!$EDI$1471</definedName>
    <definedName name="Constraint_1465_Sense" localSheetId="0" hidden="1">monday_model.lp!$EDH$1471</definedName>
    <definedName name="Constraint_1466" localSheetId="0" hidden="1">monday_model.lp!$C$1472:$EDE$1472</definedName>
    <definedName name="Constraint_1466_LHS" localSheetId="0" hidden="1">monday_model.lp!$EDG$1472</definedName>
    <definedName name="Constraint_1466_RHS" localSheetId="0" hidden="1">monday_model.lp!$EDI$1472</definedName>
    <definedName name="Constraint_1466_Sense" localSheetId="0" hidden="1">monday_model.lp!$EDH$1472</definedName>
    <definedName name="Constraint_1467" localSheetId="0" hidden="1">monday_model.lp!$C$1473:$EDE$1473</definedName>
    <definedName name="Constraint_1467_LHS" localSheetId="0" hidden="1">monday_model.lp!$EDG$1473</definedName>
    <definedName name="Constraint_1467_RHS" localSheetId="0" hidden="1">monday_model.lp!$EDI$1473</definedName>
    <definedName name="Constraint_1467_Sense" localSheetId="0" hidden="1">monday_model.lp!$EDH$1473</definedName>
    <definedName name="Constraint_1468" localSheetId="0" hidden="1">monday_model.lp!$C$1474:$EDE$1474</definedName>
    <definedName name="Constraint_1468_LHS" localSheetId="0" hidden="1">monday_model.lp!$EDG$1474</definedName>
    <definedName name="Constraint_1468_RHS" localSheetId="0" hidden="1">monday_model.lp!$EDI$1474</definedName>
    <definedName name="Constraint_1468_Sense" localSheetId="0" hidden="1">monday_model.lp!$EDH$1474</definedName>
    <definedName name="Constraint_1469" localSheetId="0" hidden="1">monday_model.lp!$C$1475:$EDE$1475</definedName>
    <definedName name="Constraint_1469_LHS" localSheetId="0" hidden="1">monday_model.lp!$EDG$1475</definedName>
    <definedName name="Constraint_1469_RHS" localSheetId="0" hidden="1">monday_model.lp!$EDI$1475</definedName>
    <definedName name="Constraint_1469_Sense" localSheetId="0" hidden="1">monday_model.lp!$EDH$1475</definedName>
    <definedName name="Constraint_147" localSheetId="0" hidden="1">monday_model.lp!$C$153:$EDE$153</definedName>
    <definedName name="Constraint_147_LHS" localSheetId="0" hidden="1">monday_model.lp!$EDG$153</definedName>
    <definedName name="Constraint_147_RHS" localSheetId="0" hidden="1">monday_model.lp!$EDI$153</definedName>
    <definedName name="Constraint_147_Sense" localSheetId="0" hidden="1">monday_model.lp!$EDH$153</definedName>
    <definedName name="Constraint_1470" localSheetId="0" hidden="1">monday_model.lp!$C$1476:$EDE$1476</definedName>
    <definedName name="Constraint_1470_LHS" localSheetId="0" hidden="1">monday_model.lp!$EDG$1476</definedName>
    <definedName name="Constraint_1470_RHS" localSheetId="0" hidden="1">monday_model.lp!$EDI$1476</definedName>
    <definedName name="Constraint_1470_Sense" localSheetId="0" hidden="1">monday_model.lp!$EDH$1476</definedName>
    <definedName name="Constraint_1471" localSheetId="0" hidden="1">monday_model.lp!$C$1477:$EDE$1477</definedName>
    <definedName name="Constraint_1471_LHS" localSheetId="0" hidden="1">monday_model.lp!$EDG$1477</definedName>
    <definedName name="Constraint_1471_RHS" localSheetId="0" hidden="1">monday_model.lp!$EDI$1477</definedName>
    <definedName name="Constraint_1471_Sense" localSheetId="0" hidden="1">monday_model.lp!$EDH$1477</definedName>
    <definedName name="Constraint_1472" localSheetId="0" hidden="1">monday_model.lp!$C$1478:$EDE$1478</definedName>
    <definedName name="Constraint_1472_LHS" localSheetId="0" hidden="1">monday_model.lp!$EDG$1478</definedName>
    <definedName name="Constraint_1472_RHS" localSheetId="0" hidden="1">monday_model.lp!$EDI$1478</definedName>
    <definedName name="Constraint_1472_Sense" localSheetId="0" hidden="1">monday_model.lp!$EDH$1478</definedName>
    <definedName name="Constraint_1473" localSheetId="0" hidden="1">monday_model.lp!$C$1479:$EDE$1479</definedName>
    <definedName name="Constraint_1473_LHS" localSheetId="0" hidden="1">monday_model.lp!$EDG$1479</definedName>
    <definedName name="Constraint_1473_RHS" localSheetId="0" hidden="1">monday_model.lp!$EDI$1479</definedName>
    <definedName name="Constraint_1473_Sense" localSheetId="0" hidden="1">monday_model.lp!$EDH$1479</definedName>
    <definedName name="Constraint_1474" localSheetId="0" hidden="1">monday_model.lp!$C$1480:$EDE$1480</definedName>
    <definedName name="Constraint_1474_LHS" localSheetId="0" hidden="1">monday_model.lp!$EDG$1480</definedName>
    <definedName name="Constraint_1474_RHS" localSheetId="0" hidden="1">monday_model.lp!$EDI$1480</definedName>
    <definedName name="Constraint_1474_Sense" localSheetId="0" hidden="1">monday_model.lp!$EDH$1480</definedName>
    <definedName name="Constraint_1475" localSheetId="0" hidden="1">monday_model.lp!$C$1481:$EDE$1481</definedName>
    <definedName name="Constraint_1475_LHS" localSheetId="0" hidden="1">monday_model.lp!$EDG$1481</definedName>
    <definedName name="Constraint_1475_RHS" localSheetId="0" hidden="1">monday_model.lp!$EDI$1481</definedName>
    <definedName name="Constraint_1475_Sense" localSheetId="0" hidden="1">monday_model.lp!$EDH$1481</definedName>
    <definedName name="Constraint_1476" localSheetId="0" hidden="1">monday_model.lp!$C$1482:$EDE$1482</definedName>
    <definedName name="Constraint_1476_LHS" localSheetId="0" hidden="1">monday_model.lp!$EDG$1482</definedName>
    <definedName name="Constraint_1476_RHS" localSheetId="0" hidden="1">monday_model.lp!$EDI$1482</definedName>
    <definedName name="Constraint_1476_Sense" localSheetId="0" hidden="1">monday_model.lp!$EDH$1482</definedName>
    <definedName name="Constraint_1477" localSheetId="0" hidden="1">monday_model.lp!$C$1483:$EDE$1483</definedName>
    <definedName name="Constraint_1477_LHS" localSheetId="0" hidden="1">monday_model.lp!$EDG$1483</definedName>
    <definedName name="Constraint_1477_RHS" localSheetId="0" hidden="1">monday_model.lp!$EDI$1483</definedName>
    <definedName name="Constraint_1477_Sense" localSheetId="0" hidden="1">monday_model.lp!$EDH$1483</definedName>
    <definedName name="Constraint_1478" localSheetId="0" hidden="1">monday_model.lp!$C$1484:$EDE$1484</definedName>
    <definedName name="Constraint_1478_LHS" localSheetId="0" hidden="1">monday_model.lp!$EDG$1484</definedName>
    <definedName name="Constraint_1478_RHS" localSheetId="0" hidden="1">monday_model.lp!$EDI$1484</definedName>
    <definedName name="Constraint_1478_Sense" localSheetId="0" hidden="1">monday_model.lp!$EDH$1484</definedName>
    <definedName name="Constraint_1479" localSheetId="0" hidden="1">monday_model.lp!$C$1485:$EDE$1485</definedName>
    <definedName name="Constraint_1479_LHS" localSheetId="0" hidden="1">monday_model.lp!$EDG$1485</definedName>
    <definedName name="Constraint_1479_RHS" localSheetId="0" hidden="1">monday_model.lp!$EDI$1485</definedName>
    <definedName name="Constraint_1479_Sense" localSheetId="0" hidden="1">monday_model.lp!$EDH$1485</definedName>
    <definedName name="Constraint_148" localSheetId="0" hidden="1">monday_model.lp!$C$154:$EDE$154</definedName>
    <definedName name="Constraint_148_LHS" localSheetId="0" hidden="1">monday_model.lp!$EDG$154</definedName>
    <definedName name="Constraint_148_RHS" localSheetId="0" hidden="1">monday_model.lp!$EDI$154</definedName>
    <definedName name="Constraint_148_Sense" localSheetId="0" hidden="1">monday_model.lp!$EDH$154</definedName>
    <definedName name="Constraint_1480" localSheetId="0" hidden="1">monday_model.lp!$C$1486:$EDE$1486</definedName>
    <definedName name="Constraint_1480_LHS" localSheetId="0" hidden="1">monday_model.lp!$EDG$1486</definedName>
    <definedName name="Constraint_1480_RHS" localSheetId="0" hidden="1">monday_model.lp!$EDI$1486</definedName>
    <definedName name="Constraint_1480_Sense" localSheetId="0" hidden="1">monday_model.lp!$EDH$1486</definedName>
    <definedName name="Constraint_1481" localSheetId="0" hidden="1">monday_model.lp!$C$1487:$EDE$1487</definedName>
    <definedName name="Constraint_1481_LHS" localSheetId="0" hidden="1">monday_model.lp!$EDG$1487</definedName>
    <definedName name="Constraint_1481_RHS" localSheetId="0" hidden="1">monday_model.lp!$EDI$1487</definedName>
    <definedName name="Constraint_1481_Sense" localSheetId="0" hidden="1">monday_model.lp!$EDH$1487</definedName>
    <definedName name="Constraint_1482" localSheetId="0" hidden="1">monday_model.lp!$C$1488:$EDE$1488</definedName>
    <definedName name="Constraint_1482_LHS" localSheetId="0" hidden="1">monday_model.lp!$EDG$1488</definedName>
    <definedName name="Constraint_1482_RHS" localSheetId="0" hidden="1">monday_model.lp!$EDI$1488</definedName>
    <definedName name="Constraint_1482_Sense" localSheetId="0" hidden="1">monday_model.lp!$EDH$1488</definedName>
    <definedName name="Constraint_1483" localSheetId="0" hidden="1">monday_model.lp!$C$1489:$EDE$1489</definedName>
    <definedName name="Constraint_1483_LHS" localSheetId="0" hidden="1">monday_model.lp!$EDG$1489</definedName>
    <definedName name="Constraint_1483_RHS" localSheetId="0" hidden="1">monday_model.lp!$EDI$1489</definedName>
    <definedName name="Constraint_1483_Sense" localSheetId="0" hidden="1">monday_model.lp!$EDH$1489</definedName>
    <definedName name="Constraint_1484" localSheetId="0" hidden="1">monday_model.lp!$C$1490:$EDE$1490</definedName>
    <definedName name="Constraint_1484_LHS" localSheetId="0" hidden="1">monday_model.lp!$EDG$1490</definedName>
    <definedName name="Constraint_1484_RHS" localSheetId="0" hidden="1">monday_model.lp!$EDI$1490</definedName>
    <definedName name="Constraint_1484_Sense" localSheetId="0" hidden="1">monday_model.lp!$EDH$1490</definedName>
    <definedName name="Constraint_1485" localSheetId="0" hidden="1">monday_model.lp!$C$1491:$EDE$1491</definedName>
    <definedName name="Constraint_1485_LHS" localSheetId="0" hidden="1">monday_model.lp!$EDG$1491</definedName>
    <definedName name="Constraint_1485_RHS" localSheetId="0" hidden="1">monday_model.lp!$EDI$1491</definedName>
    <definedName name="Constraint_1485_Sense" localSheetId="0" hidden="1">monday_model.lp!$EDH$1491</definedName>
    <definedName name="Constraint_1486" localSheetId="0" hidden="1">monday_model.lp!$C$1492:$EDE$1492</definedName>
    <definedName name="Constraint_1486_LHS" localSheetId="0" hidden="1">monday_model.lp!$EDG$1492</definedName>
    <definedName name="Constraint_1486_RHS" localSheetId="0" hidden="1">monday_model.lp!$EDI$1492</definedName>
    <definedName name="Constraint_1486_Sense" localSheetId="0" hidden="1">monday_model.lp!$EDH$1492</definedName>
    <definedName name="Constraint_1487" localSheetId="0" hidden="1">monday_model.lp!$C$1493:$EDE$1493</definedName>
    <definedName name="Constraint_1487_LHS" localSheetId="0" hidden="1">monday_model.lp!$EDG$1493</definedName>
    <definedName name="Constraint_1487_RHS" localSheetId="0" hidden="1">monday_model.lp!$EDI$1493</definedName>
    <definedName name="Constraint_1487_Sense" localSheetId="0" hidden="1">monday_model.lp!$EDH$1493</definedName>
    <definedName name="Constraint_1488" localSheetId="0" hidden="1">monday_model.lp!$C$1494:$EDE$1494</definedName>
    <definedName name="Constraint_1488_LHS" localSheetId="0" hidden="1">monday_model.lp!$EDG$1494</definedName>
    <definedName name="Constraint_1488_RHS" localSheetId="0" hidden="1">monday_model.lp!$EDI$1494</definedName>
    <definedName name="Constraint_1488_Sense" localSheetId="0" hidden="1">monday_model.lp!$EDH$1494</definedName>
    <definedName name="Constraint_1489" localSheetId="0" hidden="1">monday_model.lp!$C$1495:$EDE$1495</definedName>
    <definedName name="Constraint_1489_LHS" localSheetId="0" hidden="1">monday_model.lp!$EDG$1495</definedName>
    <definedName name="Constraint_1489_RHS" localSheetId="0" hidden="1">monday_model.lp!$EDI$1495</definedName>
    <definedName name="Constraint_1489_Sense" localSheetId="0" hidden="1">monday_model.lp!$EDH$1495</definedName>
    <definedName name="Constraint_149" localSheetId="0" hidden="1">monday_model.lp!$C$155:$EDE$155</definedName>
    <definedName name="Constraint_149_LHS" localSheetId="0" hidden="1">monday_model.lp!$EDG$155</definedName>
    <definedName name="Constraint_149_RHS" localSheetId="0" hidden="1">monday_model.lp!$EDI$155</definedName>
    <definedName name="Constraint_149_Sense" localSheetId="0" hidden="1">monday_model.lp!$EDH$155</definedName>
    <definedName name="Constraint_1490" localSheetId="0" hidden="1">monday_model.lp!$C$1496:$EDE$1496</definedName>
    <definedName name="Constraint_1490_LHS" localSheetId="0" hidden="1">monday_model.lp!$EDG$1496</definedName>
    <definedName name="Constraint_1490_RHS" localSheetId="0" hidden="1">monday_model.lp!$EDI$1496</definedName>
    <definedName name="Constraint_1490_Sense" localSheetId="0" hidden="1">monday_model.lp!$EDH$1496</definedName>
    <definedName name="Constraint_1491" localSheetId="0" hidden="1">monday_model.lp!$C$1497:$EDE$1497</definedName>
    <definedName name="Constraint_1491_LHS" localSheetId="0" hidden="1">monday_model.lp!$EDG$1497</definedName>
    <definedName name="Constraint_1491_RHS" localSheetId="0" hidden="1">monday_model.lp!$EDI$1497</definedName>
    <definedName name="Constraint_1491_Sense" localSheetId="0" hidden="1">monday_model.lp!$EDH$1497</definedName>
    <definedName name="Constraint_1492" localSheetId="0" hidden="1">monday_model.lp!$C$1498:$EDE$1498</definedName>
    <definedName name="Constraint_1492_LHS" localSheetId="0" hidden="1">monday_model.lp!$EDG$1498</definedName>
    <definedName name="Constraint_1492_RHS" localSheetId="0" hidden="1">monday_model.lp!$EDI$1498</definedName>
    <definedName name="Constraint_1492_Sense" localSheetId="0" hidden="1">monday_model.lp!$EDH$1498</definedName>
    <definedName name="Constraint_1493" localSheetId="0" hidden="1">monday_model.lp!$C$1499:$EDE$1499</definedName>
    <definedName name="Constraint_1493_LHS" localSheetId="0" hidden="1">monday_model.lp!$EDG$1499</definedName>
    <definedName name="Constraint_1493_RHS" localSheetId="0" hidden="1">monday_model.lp!$EDI$1499</definedName>
    <definedName name="Constraint_1493_Sense" localSheetId="0" hidden="1">monday_model.lp!$EDH$1499</definedName>
    <definedName name="Constraint_1494" localSheetId="0" hidden="1">monday_model.lp!$C$1500:$EDE$1500</definedName>
    <definedName name="Constraint_1494_LHS" localSheetId="0" hidden="1">monday_model.lp!$EDG$1500</definedName>
    <definedName name="Constraint_1494_RHS" localSheetId="0" hidden="1">monday_model.lp!$EDI$1500</definedName>
    <definedName name="Constraint_1494_Sense" localSheetId="0" hidden="1">monday_model.lp!$EDH$1500</definedName>
    <definedName name="Constraint_1495" localSheetId="0" hidden="1">monday_model.lp!$C$1501:$EDE$1501</definedName>
    <definedName name="Constraint_1495_LHS" localSheetId="0" hidden="1">monday_model.lp!$EDG$1501</definedName>
    <definedName name="Constraint_1495_RHS" localSheetId="0" hidden="1">monday_model.lp!$EDI$1501</definedName>
    <definedName name="Constraint_1495_Sense" localSheetId="0" hidden="1">monday_model.lp!$EDH$1501</definedName>
    <definedName name="Constraint_1496" localSheetId="0" hidden="1">monday_model.lp!$C$1502:$EDE$1502</definedName>
    <definedName name="Constraint_1496_LHS" localSheetId="0" hidden="1">monday_model.lp!$EDG$1502</definedName>
    <definedName name="Constraint_1496_RHS" localSheetId="0" hidden="1">monday_model.lp!$EDI$1502</definedName>
    <definedName name="Constraint_1496_Sense" localSheetId="0" hidden="1">monday_model.lp!$EDH$1502</definedName>
    <definedName name="Constraint_1497" localSheetId="0" hidden="1">monday_model.lp!$C$1503:$EDE$1503</definedName>
    <definedName name="Constraint_1497_LHS" localSheetId="0" hidden="1">monday_model.lp!$EDG$1503</definedName>
    <definedName name="Constraint_1497_RHS" localSheetId="0" hidden="1">monday_model.lp!$EDI$1503</definedName>
    <definedName name="Constraint_1497_Sense" localSheetId="0" hidden="1">monday_model.lp!$EDH$1503</definedName>
    <definedName name="Constraint_1498" localSheetId="0" hidden="1">monday_model.lp!$C$1504:$EDE$1504</definedName>
    <definedName name="Constraint_1498_LHS" localSheetId="0" hidden="1">monday_model.lp!$EDG$1504</definedName>
    <definedName name="Constraint_1498_RHS" localSheetId="0" hidden="1">monday_model.lp!$EDI$1504</definedName>
    <definedName name="Constraint_1498_Sense" localSheetId="0" hidden="1">monday_model.lp!$EDH$1504</definedName>
    <definedName name="Constraint_1499" localSheetId="0" hidden="1">monday_model.lp!$C$1505:$EDE$1505</definedName>
    <definedName name="Constraint_1499_LHS" localSheetId="0" hidden="1">monday_model.lp!$EDG$1505</definedName>
    <definedName name="Constraint_1499_RHS" localSheetId="0" hidden="1">monday_model.lp!$EDI$1505</definedName>
    <definedName name="Constraint_1499_Sense" localSheetId="0" hidden="1">monday_model.lp!$EDH$1505</definedName>
    <definedName name="Constraint_15" localSheetId="0" hidden="1">monday_model.lp!$C$21:$EDE$21</definedName>
    <definedName name="Constraint_15_LHS" localSheetId="0" hidden="1">monday_model.lp!$EDG$21</definedName>
    <definedName name="Constraint_15_RHS" localSheetId="0" hidden="1">monday_model.lp!$EDI$21</definedName>
    <definedName name="Constraint_15_Sense" localSheetId="0" hidden="1">monday_model.lp!$EDH$21</definedName>
    <definedName name="Constraint_150" localSheetId="0" hidden="1">monday_model.lp!$C$156:$EDE$156</definedName>
    <definedName name="Constraint_150_LHS" localSheetId="0" hidden="1">monday_model.lp!$EDG$156</definedName>
    <definedName name="Constraint_150_RHS" localSheetId="0" hidden="1">monday_model.lp!$EDI$156</definedName>
    <definedName name="Constraint_150_Sense" localSheetId="0" hidden="1">monday_model.lp!$EDH$156</definedName>
    <definedName name="Constraint_1500" localSheetId="0" hidden="1">monday_model.lp!$C$1506:$EDE$1506</definedName>
    <definedName name="Constraint_1500_LHS" localSheetId="0" hidden="1">monday_model.lp!$EDG$1506</definedName>
    <definedName name="Constraint_1500_RHS" localSheetId="0" hidden="1">monday_model.lp!$EDI$1506</definedName>
    <definedName name="Constraint_1500_Sense" localSheetId="0" hidden="1">monday_model.lp!$EDH$1506</definedName>
    <definedName name="Constraint_1501" localSheetId="0" hidden="1">monday_model.lp!$C$1507:$EDE$1507</definedName>
    <definedName name="Constraint_1501_LHS" localSheetId="0" hidden="1">monday_model.lp!$EDG$1507</definedName>
    <definedName name="Constraint_1501_RHS" localSheetId="0" hidden="1">monday_model.lp!$EDI$1507</definedName>
    <definedName name="Constraint_1501_Sense" localSheetId="0" hidden="1">monday_model.lp!$EDH$1507</definedName>
    <definedName name="Constraint_1502" localSheetId="0" hidden="1">monday_model.lp!$C$1508:$EDE$1508</definedName>
    <definedName name="Constraint_1502_LHS" localSheetId="0" hidden="1">monday_model.lp!$EDG$1508</definedName>
    <definedName name="Constraint_1502_RHS" localSheetId="0" hidden="1">monday_model.lp!$EDI$1508</definedName>
    <definedName name="Constraint_1502_Sense" localSheetId="0" hidden="1">monday_model.lp!$EDH$1508</definedName>
    <definedName name="Constraint_1503" localSheetId="0" hidden="1">monday_model.lp!$C$1509:$EDE$1509</definedName>
    <definedName name="Constraint_1503_LHS" localSheetId="0" hidden="1">monday_model.lp!$EDG$1509</definedName>
    <definedName name="Constraint_1503_RHS" localSheetId="0" hidden="1">monday_model.lp!$EDI$1509</definedName>
    <definedName name="Constraint_1503_Sense" localSheetId="0" hidden="1">monday_model.lp!$EDH$1509</definedName>
    <definedName name="Constraint_1504" localSheetId="0" hidden="1">monday_model.lp!$C$1510:$EDE$1510</definedName>
    <definedName name="Constraint_1504_LHS" localSheetId="0" hidden="1">monday_model.lp!$EDG$1510</definedName>
    <definedName name="Constraint_1504_RHS" localSheetId="0" hidden="1">monday_model.lp!$EDI$1510</definedName>
    <definedName name="Constraint_1504_Sense" localSheetId="0" hidden="1">monday_model.lp!$EDH$1510</definedName>
    <definedName name="Constraint_1505" localSheetId="0" hidden="1">monday_model.lp!$C$1511:$EDE$1511</definedName>
    <definedName name="Constraint_1505_LHS" localSheetId="0" hidden="1">monday_model.lp!$EDG$1511</definedName>
    <definedName name="Constraint_1505_RHS" localSheetId="0" hidden="1">monday_model.lp!$EDI$1511</definedName>
    <definedName name="Constraint_1505_Sense" localSheetId="0" hidden="1">monday_model.lp!$EDH$1511</definedName>
    <definedName name="Constraint_1506" localSheetId="0" hidden="1">monday_model.lp!$C$1512:$EDE$1512</definedName>
    <definedName name="Constraint_1506_LHS" localSheetId="0" hidden="1">monday_model.lp!$EDG$1512</definedName>
    <definedName name="Constraint_1506_RHS" localSheetId="0" hidden="1">monday_model.lp!$EDI$1512</definedName>
    <definedName name="Constraint_1506_Sense" localSheetId="0" hidden="1">monday_model.lp!$EDH$1512</definedName>
    <definedName name="Constraint_1507" localSheetId="0" hidden="1">monday_model.lp!$C$1513:$EDE$1513</definedName>
    <definedName name="Constraint_1507_LHS" localSheetId="0" hidden="1">monday_model.lp!$EDG$1513</definedName>
    <definedName name="Constraint_1507_RHS" localSheetId="0" hidden="1">monday_model.lp!$EDI$1513</definedName>
    <definedName name="Constraint_1507_Sense" localSheetId="0" hidden="1">monday_model.lp!$EDH$1513</definedName>
    <definedName name="Constraint_1508" localSheetId="0" hidden="1">monday_model.lp!$C$1514:$EDE$1514</definedName>
    <definedName name="Constraint_1508_LHS" localSheetId="0" hidden="1">monday_model.lp!$EDG$1514</definedName>
    <definedName name="Constraint_1508_RHS" localSheetId="0" hidden="1">monday_model.lp!$EDI$1514</definedName>
    <definedName name="Constraint_1508_Sense" localSheetId="0" hidden="1">monday_model.lp!$EDH$1514</definedName>
    <definedName name="Constraint_1509" localSheetId="0" hidden="1">monday_model.lp!$C$1515:$EDE$1515</definedName>
    <definedName name="Constraint_1509_LHS" localSheetId="0" hidden="1">monday_model.lp!$EDG$1515</definedName>
    <definedName name="Constraint_1509_RHS" localSheetId="0" hidden="1">monday_model.lp!$EDI$1515</definedName>
    <definedName name="Constraint_1509_Sense" localSheetId="0" hidden="1">monday_model.lp!$EDH$1515</definedName>
    <definedName name="Constraint_151" localSheetId="0" hidden="1">monday_model.lp!$C$157:$EDE$157</definedName>
    <definedName name="Constraint_151_LHS" localSheetId="0" hidden="1">monday_model.lp!$EDG$157</definedName>
    <definedName name="Constraint_151_RHS" localSheetId="0" hidden="1">monday_model.lp!$EDI$157</definedName>
    <definedName name="Constraint_151_Sense" localSheetId="0" hidden="1">monday_model.lp!$EDH$157</definedName>
    <definedName name="Constraint_1510" localSheetId="0" hidden="1">monday_model.lp!$C$1516:$EDE$1516</definedName>
    <definedName name="Constraint_1510_LHS" localSheetId="0" hidden="1">monday_model.lp!$EDG$1516</definedName>
    <definedName name="Constraint_1510_RHS" localSheetId="0" hidden="1">monday_model.lp!$EDI$1516</definedName>
    <definedName name="Constraint_1510_Sense" localSheetId="0" hidden="1">monday_model.lp!$EDH$1516</definedName>
    <definedName name="Constraint_1511" localSheetId="0" hidden="1">monday_model.lp!$C$1517:$EDE$1517</definedName>
    <definedName name="Constraint_1511_LHS" localSheetId="0" hidden="1">monday_model.lp!$EDG$1517</definedName>
    <definedName name="Constraint_1511_RHS" localSheetId="0" hidden="1">monday_model.lp!$EDI$1517</definedName>
    <definedName name="Constraint_1511_Sense" localSheetId="0" hidden="1">monday_model.lp!$EDH$1517</definedName>
    <definedName name="Constraint_1512" localSheetId="0" hidden="1">monday_model.lp!$C$1518:$EDE$1518</definedName>
    <definedName name="Constraint_1512_LHS" localSheetId="0" hidden="1">monday_model.lp!$EDG$1518</definedName>
    <definedName name="Constraint_1512_RHS" localSheetId="0" hidden="1">monday_model.lp!$EDI$1518</definedName>
    <definedName name="Constraint_1512_Sense" localSheetId="0" hidden="1">monday_model.lp!$EDH$1518</definedName>
    <definedName name="Constraint_1513" localSheetId="0" hidden="1">monday_model.lp!$C$1519:$EDE$1519</definedName>
    <definedName name="Constraint_1513_LHS" localSheetId="0" hidden="1">monday_model.lp!$EDG$1519</definedName>
    <definedName name="Constraint_1513_RHS" localSheetId="0" hidden="1">monday_model.lp!$EDI$1519</definedName>
    <definedName name="Constraint_1513_Sense" localSheetId="0" hidden="1">monday_model.lp!$EDH$1519</definedName>
    <definedName name="Constraint_1514" localSheetId="0" hidden="1">monday_model.lp!$C$1520:$EDE$1520</definedName>
    <definedName name="Constraint_1514_LHS" localSheetId="0" hidden="1">monday_model.lp!$EDG$1520</definedName>
    <definedName name="Constraint_1514_RHS" localSheetId="0" hidden="1">monday_model.lp!$EDI$1520</definedName>
    <definedName name="Constraint_1514_Sense" localSheetId="0" hidden="1">monday_model.lp!$EDH$1520</definedName>
    <definedName name="Constraint_1515" localSheetId="0" hidden="1">monday_model.lp!$C$1521:$EDE$1521</definedName>
    <definedName name="Constraint_1515_LHS" localSheetId="0" hidden="1">monday_model.lp!$EDG$1521</definedName>
    <definedName name="Constraint_1515_RHS" localSheetId="0" hidden="1">monday_model.lp!$EDI$1521</definedName>
    <definedName name="Constraint_1515_Sense" localSheetId="0" hidden="1">monday_model.lp!$EDH$1521</definedName>
    <definedName name="Constraint_1516" localSheetId="0" hidden="1">monday_model.lp!$C$1522:$EDE$1522</definedName>
    <definedName name="Constraint_1516_LHS" localSheetId="0" hidden="1">monday_model.lp!$EDG$1522</definedName>
    <definedName name="Constraint_1516_RHS" localSheetId="0" hidden="1">monday_model.lp!$EDI$1522</definedName>
    <definedName name="Constraint_1516_Sense" localSheetId="0" hidden="1">monday_model.lp!$EDH$1522</definedName>
    <definedName name="Constraint_1517" localSheetId="0" hidden="1">monday_model.lp!$C$1523:$EDE$1523</definedName>
    <definedName name="Constraint_1517_LHS" localSheetId="0" hidden="1">monday_model.lp!$EDG$1523</definedName>
    <definedName name="Constraint_1517_RHS" localSheetId="0" hidden="1">monday_model.lp!$EDI$1523</definedName>
    <definedName name="Constraint_1517_Sense" localSheetId="0" hidden="1">monday_model.lp!$EDH$1523</definedName>
    <definedName name="Constraint_1518" localSheetId="0" hidden="1">monday_model.lp!$C$1524:$EDE$1524</definedName>
    <definedName name="Constraint_1518_LHS" localSheetId="0" hidden="1">monday_model.lp!$EDG$1524</definedName>
    <definedName name="Constraint_1518_RHS" localSheetId="0" hidden="1">monday_model.lp!$EDI$1524</definedName>
    <definedName name="Constraint_1518_Sense" localSheetId="0" hidden="1">monday_model.lp!$EDH$1524</definedName>
    <definedName name="Constraint_1519" localSheetId="0" hidden="1">monday_model.lp!$C$1525:$EDE$1525</definedName>
    <definedName name="Constraint_1519_LHS" localSheetId="0" hidden="1">monday_model.lp!$EDG$1525</definedName>
    <definedName name="Constraint_1519_RHS" localSheetId="0" hidden="1">monday_model.lp!$EDI$1525</definedName>
    <definedName name="Constraint_1519_Sense" localSheetId="0" hidden="1">monday_model.lp!$EDH$1525</definedName>
    <definedName name="Constraint_152" localSheetId="0" hidden="1">monday_model.lp!$C$158:$EDE$158</definedName>
    <definedName name="Constraint_152_LHS" localSheetId="0" hidden="1">monday_model.lp!$EDG$158</definedName>
    <definedName name="Constraint_152_RHS" localSheetId="0" hidden="1">monday_model.lp!$EDI$158</definedName>
    <definedName name="Constraint_152_Sense" localSheetId="0" hidden="1">monday_model.lp!$EDH$158</definedName>
    <definedName name="Constraint_1520" localSheetId="0" hidden="1">monday_model.lp!$C$1526:$EDE$1526</definedName>
    <definedName name="Constraint_1520_LHS" localSheetId="0" hidden="1">monday_model.lp!$EDG$1526</definedName>
    <definedName name="Constraint_1520_RHS" localSheetId="0" hidden="1">monday_model.lp!$EDI$1526</definedName>
    <definedName name="Constraint_1520_Sense" localSheetId="0" hidden="1">monday_model.lp!$EDH$1526</definedName>
    <definedName name="Constraint_1521" localSheetId="0" hidden="1">monday_model.lp!$C$1527:$EDE$1527</definedName>
    <definedName name="Constraint_1521_LHS" localSheetId="0" hidden="1">monday_model.lp!$EDG$1527</definedName>
    <definedName name="Constraint_1521_RHS" localSheetId="0" hidden="1">monday_model.lp!$EDI$1527</definedName>
    <definedName name="Constraint_1521_Sense" localSheetId="0" hidden="1">monday_model.lp!$EDH$1527</definedName>
    <definedName name="Constraint_1522" localSheetId="0" hidden="1">monday_model.lp!$C$1528:$EDE$1528</definedName>
    <definedName name="Constraint_1522_LHS" localSheetId="0" hidden="1">monday_model.lp!$EDG$1528</definedName>
    <definedName name="Constraint_1522_RHS" localSheetId="0" hidden="1">monday_model.lp!$EDI$1528</definedName>
    <definedName name="Constraint_1522_Sense" localSheetId="0" hidden="1">monday_model.lp!$EDH$1528</definedName>
    <definedName name="Constraint_1523" localSheetId="0" hidden="1">monday_model.lp!$C$1529:$EDE$1529</definedName>
    <definedName name="Constraint_1523_LHS" localSheetId="0" hidden="1">monday_model.lp!$EDG$1529</definedName>
    <definedName name="Constraint_1523_RHS" localSheetId="0" hidden="1">monday_model.lp!$EDI$1529</definedName>
    <definedName name="Constraint_1523_Sense" localSheetId="0" hidden="1">monday_model.lp!$EDH$1529</definedName>
    <definedName name="Constraint_1524" localSheetId="0" hidden="1">monday_model.lp!$C$1530:$EDE$1530</definedName>
    <definedName name="Constraint_1524_LHS" localSheetId="0" hidden="1">monday_model.lp!$EDG$1530</definedName>
    <definedName name="Constraint_1524_RHS" localSheetId="0" hidden="1">monday_model.lp!$EDI$1530</definedName>
    <definedName name="Constraint_1524_Sense" localSheetId="0" hidden="1">monday_model.lp!$EDH$1530</definedName>
    <definedName name="Constraint_1525" localSheetId="0" hidden="1">monday_model.lp!$C$1531:$EDE$1531</definedName>
    <definedName name="Constraint_1525_LHS" localSheetId="0" hidden="1">monday_model.lp!$EDG$1531</definedName>
    <definedName name="Constraint_1525_RHS" localSheetId="0" hidden="1">monday_model.lp!$EDI$1531</definedName>
    <definedName name="Constraint_1525_Sense" localSheetId="0" hidden="1">monday_model.lp!$EDH$1531</definedName>
    <definedName name="Constraint_1526" localSheetId="0" hidden="1">monday_model.lp!$C$1532:$EDE$1532</definedName>
    <definedName name="Constraint_1526_LHS" localSheetId="0" hidden="1">monday_model.lp!$EDG$1532</definedName>
    <definedName name="Constraint_1526_RHS" localSheetId="0" hidden="1">monday_model.lp!$EDI$1532</definedName>
    <definedName name="Constraint_1526_Sense" localSheetId="0" hidden="1">monday_model.lp!$EDH$1532</definedName>
    <definedName name="Constraint_1527" localSheetId="0" hidden="1">monday_model.lp!$C$1533:$EDE$1533</definedName>
    <definedName name="Constraint_1527_LHS" localSheetId="0" hidden="1">monday_model.lp!$EDG$1533</definedName>
    <definedName name="Constraint_1527_RHS" localSheetId="0" hidden="1">monday_model.lp!$EDI$1533</definedName>
    <definedName name="Constraint_1527_Sense" localSheetId="0" hidden="1">monday_model.lp!$EDH$1533</definedName>
    <definedName name="Constraint_1528" localSheetId="0" hidden="1">monday_model.lp!$C$1534:$EDE$1534</definedName>
    <definedName name="Constraint_1528_LHS" localSheetId="0" hidden="1">monday_model.lp!$EDG$1534</definedName>
    <definedName name="Constraint_1528_RHS" localSheetId="0" hidden="1">monday_model.lp!$EDI$1534</definedName>
    <definedName name="Constraint_1528_Sense" localSheetId="0" hidden="1">monday_model.lp!$EDH$1534</definedName>
    <definedName name="Constraint_1529" localSheetId="0" hidden="1">monday_model.lp!$C$1535:$EDE$1535</definedName>
    <definedName name="Constraint_1529_LHS" localSheetId="0" hidden="1">monday_model.lp!$EDG$1535</definedName>
    <definedName name="Constraint_1529_RHS" localSheetId="0" hidden="1">monday_model.lp!$EDI$1535</definedName>
    <definedName name="Constraint_1529_Sense" localSheetId="0" hidden="1">monday_model.lp!$EDH$1535</definedName>
    <definedName name="Constraint_153" localSheetId="0" hidden="1">monday_model.lp!$C$159:$EDE$159</definedName>
    <definedName name="Constraint_153_LHS" localSheetId="0" hidden="1">monday_model.lp!$EDG$159</definedName>
    <definedName name="Constraint_153_RHS" localSheetId="0" hidden="1">monday_model.lp!$EDI$159</definedName>
    <definedName name="Constraint_153_Sense" localSheetId="0" hidden="1">monday_model.lp!$EDH$159</definedName>
    <definedName name="Constraint_1530" localSheetId="0" hidden="1">monday_model.lp!$C$1536:$EDE$1536</definedName>
    <definedName name="Constraint_1530_LHS" localSheetId="0" hidden="1">monday_model.lp!$EDG$1536</definedName>
    <definedName name="Constraint_1530_RHS" localSheetId="0" hidden="1">monday_model.lp!$EDI$1536</definedName>
    <definedName name="Constraint_1530_Sense" localSheetId="0" hidden="1">monday_model.lp!$EDH$1536</definedName>
    <definedName name="Constraint_1531" localSheetId="0" hidden="1">monday_model.lp!$C$1537:$EDE$1537</definedName>
    <definedName name="Constraint_1531_LHS" localSheetId="0" hidden="1">monday_model.lp!$EDG$1537</definedName>
    <definedName name="Constraint_1531_RHS" localSheetId="0" hidden="1">monday_model.lp!$EDI$1537</definedName>
    <definedName name="Constraint_1531_Sense" localSheetId="0" hidden="1">monday_model.lp!$EDH$1537</definedName>
    <definedName name="Constraint_1532" localSheetId="0" hidden="1">monday_model.lp!$C$1538:$EDE$1538</definedName>
    <definedName name="Constraint_1532_LHS" localSheetId="0" hidden="1">monday_model.lp!$EDG$1538</definedName>
    <definedName name="Constraint_1532_RHS" localSheetId="0" hidden="1">monday_model.lp!$EDI$1538</definedName>
    <definedName name="Constraint_1532_Sense" localSheetId="0" hidden="1">monday_model.lp!$EDH$1538</definedName>
    <definedName name="Constraint_1533" localSheetId="0" hidden="1">monday_model.lp!$C$1539:$EDE$1539</definedName>
    <definedName name="Constraint_1533_LHS" localSheetId="0" hidden="1">monday_model.lp!$EDG$1539</definedName>
    <definedName name="Constraint_1533_RHS" localSheetId="0" hidden="1">monday_model.lp!$EDI$1539</definedName>
    <definedName name="Constraint_1533_Sense" localSheetId="0" hidden="1">monday_model.lp!$EDH$1539</definedName>
    <definedName name="Constraint_1534" localSheetId="0" hidden="1">monday_model.lp!$C$1540:$EDE$1540</definedName>
    <definedName name="Constraint_1534_LHS" localSheetId="0" hidden="1">monday_model.lp!$EDG$1540</definedName>
    <definedName name="Constraint_1534_RHS" localSheetId="0" hidden="1">monday_model.lp!$EDI$1540</definedName>
    <definedName name="Constraint_1534_Sense" localSheetId="0" hidden="1">monday_model.lp!$EDH$1540</definedName>
    <definedName name="Constraint_1535" localSheetId="0" hidden="1">monday_model.lp!$C$1541:$EDE$1541</definedName>
    <definedName name="Constraint_1535_LHS" localSheetId="0" hidden="1">monday_model.lp!$EDG$1541</definedName>
    <definedName name="Constraint_1535_RHS" localSheetId="0" hidden="1">monday_model.lp!$EDI$1541</definedName>
    <definedName name="Constraint_1535_Sense" localSheetId="0" hidden="1">monday_model.lp!$EDH$1541</definedName>
    <definedName name="Constraint_1536" localSheetId="0" hidden="1">monday_model.lp!$C$1542:$EDE$1542</definedName>
    <definedName name="Constraint_1536_LHS" localSheetId="0" hidden="1">monday_model.lp!$EDG$1542</definedName>
    <definedName name="Constraint_1536_RHS" localSheetId="0" hidden="1">monday_model.lp!$EDI$1542</definedName>
    <definedName name="Constraint_1536_Sense" localSheetId="0" hidden="1">monday_model.lp!$EDH$1542</definedName>
    <definedName name="Constraint_1537" localSheetId="0" hidden="1">monday_model.lp!$C$1543:$EDE$1543</definedName>
    <definedName name="Constraint_1537_LHS" localSheetId="0" hidden="1">monday_model.lp!$EDG$1543</definedName>
    <definedName name="Constraint_1537_RHS" localSheetId="0" hidden="1">monday_model.lp!$EDI$1543</definedName>
    <definedName name="Constraint_1537_Sense" localSheetId="0" hidden="1">monday_model.lp!$EDH$1543</definedName>
    <definedName name="Constraint_1538" localSheetId="0" hidden="1">monday_model.lp!$C$1544:$EDE$1544</definedName>
    <definedName name="Constraint_1538_LHS" localSheetId="0" hidden="1">monday_model.lp!$EDG$1544</definedName>
    <definedName name="Constraint_1538_RHS" localSheetId="0" hidden="1">monday_model.lp!$EDI$1544</definedName>
    <definedName name="Constraint_1538_Sense" localSheetId="0" hidden="1">monday_model.lp!$EDH$1544</definedName>
    <definedName name="Constraint_1539" localSheetId="0" hidden="1">monday_model.lp!$C$1545:$EDE$1545</definedName>
    <definedName name="Constraint_1539_LHS" localSheetId="0" hidden="1">monday_model.lp!$EDG$1545</definedName>
    <definedName name="Constraint_1539_RHS" localSheetId="0" hidden="1">monday_model.lp!$EDI$1545</definedName>
    <definedName name="Constraint_1539_Sense" localSheetId="0" hidden="1">monday_model.lp!$EDH$1545</definedName>
    <definedName name="Constraint_154" localSheetId="0" hidden="1">monday_model.lp!$C$160:$EDE$160</definedName>
    <definedName name="Constraint_154_LHS" localSheetId="0" hidden="1">monday_model.lp!$EDG$160</definedName>
    <definedName name="Constraint_154_RHS" localSheetId="0" hidden="1">monday_model.lp!$EDI$160</definedName>
    <definedName name="Constraint_154_Sense" localSheetId="0" hidden="1">monday_model.lp!$EDH$160</definedName>
    <definedName name="Constraint_1540" localSheetId="0" hidden="1">monday_model.lp!$C$1546:$EDE$1546</definedName>
    <definedName name="Constraint_1540_LHS" localSheetId="0" hidden="1">monday_model.lp!$EDG$1546</definedName>
    <definedName name="Constraint_1540_RHS" localSheetId="0" hidden="1">monday_model.lp!$EDI$1546</definedName>
    <definedName name="Constraint_1540_Sense" localSheetId="0" hidden="1">monday_model.lp!$EDH$1546</definedName>
    <definedName name="Constraint_1541" localSheetId="0" hidden="1">monday_model.lp!$C$1547:$EDE$1547</definedName>
    <definedName name="Constraint_1541_LHS" localSheetId="0" hidden="1">monday_model.lp!$EDG$1547</definedName>
    <definedName name="Constraint_1541_RHS" localSheetId="0" hidden="1">monday_model.lp!$EDI$1547</definedName>
    <definedName name="Constraint_1541_Sense" localSheetId="0" hidden="1">monday_model.lp!$EDH$1547</definedName>
    <definedName name="Constraint_1542" localSheetId="0" hidden="1">monday_model.lp!$C$1548:$EDE$1548</definedName>
    <definedName name="Constraint_1542_LHS" localSheetId="0" hidden="1">monday_model.lp!$EDG$1548</definedName>
    <definedName name="Constraint_1542_RHS" localSheetId="0" hidden="1">monday_model.lp!$EDI$1548</definedName>
    <definedName name="Constraint_1542_Sense" localSheetId="0" hidden="1">monday_model.lp!$EDH$1548</definedName>
    <definedName name="Constraint_1543" localSheetId="0" hidden="1">monday_model.lp!$C$1549:$EDE$1549</definedName>
    <definedName name="Constraint_1543_LHS" localSheetId="0" hidden="1">monday_model.lp!$EDG$1549</definedName>
    <definedName name="Constraint_1543_RHS" localSheetId="0" hidden="1">monday_model.lp!$EDI$1549</definedName>
    <definedName name="Constraint_1543_Sense" localSheetId="0" hidden="1">monday_model.lp!$EDH$1549</definedName>
    <definedName name="Constraint_1544" localSheetId="0" hidden="1">monday_model.lp!$C$1550:$EDE$1550</definedName>
    <definedName name="Constraint_1544_LHS" localSheetId="0" hidden="1">monday_model.lp!$EDG$1550</definedName>
    <definedName name="Constraint_1544_RHS" localSheetId="0" hidden="1">monday_model.lp!$EDI$1550</definedName>
    <definedName name="Constraint_1544_Sense" localSheetId="0" hidden="1">monday_model.lp!$EDH$1550</definedName>
    <definedName name="Constraint_1545" localSheetId="0" hidden="1">monday_model.lp!$C$1551:$EDE$1551</definedName>
    <definedName name="Constraint_1545_LHS" localSheetId="0" hidden="1">monday_model.lp!$EDG$1551</definedName>
    <definedName name="Constraint_1545_RHS" localSheetId="0" hidden="1">monday_model.lp!$EDI$1551</definedName>
    <definedName name="Constraint_1545_Sense" localSheetId="0" hidden="1">monday_model.lp!$EDH$1551</definedName>
    <definedName name="Constraint_1546" localSheetId="0" hidden="1">monday_model.lp!$C$1552:$EDE$1552</definedName>
    <definedName name="Constraint_1546_LHS" localSheetId="0" hidden="1">monday_model.lp!$EDG$1552</definedName>
    <definedName name="Constraint_1546_RHS" localSheetId="0" hidden="1">monday_model.lp!$EDI$1552</definedName>
    <definedName name="Constraint_1546_Sense" localSheetId="0" hidden="1">monday_model.lp!$EDH$1552</definedName>
    <definedName name="Constraint_1547" localSheetId="0" hidden="1">monday_model.lp!$C$1553:$EDE$1553</definedName>
    <definedName name="Constraint_1547_LHS" localSheetId="0" hidden="1">monday_model.lp!$EDG$1553</definedName>
    <definedName name="Constraint_1547_RHS" localSheetId="0" hidden="1">monday_model.lp!$EDI$1553</definedName>
    <definedName name="Constraint_1547_Sense" localSheetId="0" hidden="1">monday_model.lp!$EDH$1553</definedName>
    <definedName name="Constraint_1548" localSheetId="0" hidden="1">monday_model.lp!$C$1554:$EDE$1554</definedName>
    <definedName name="Constraint_1548_LHS" localSheetId="0" hidden="1">monday_model.lp!$EDG$1554</definedName>
    <definedName name="Constraint_1548_RHS" localSheetId="0" hidden="1">monday_model.lp!$EDI$1554</definedName>
    <definedName name="Constraint_1548_Sense" localSheetId="0" hidden="1">monday_model.lp!$EDH$1554</definedName>
    <definedName name="Constraint_1549" localSheetId="0" hidden="1">monday_model.lp!$C$1555:$EDE$1555</definedName>
    <definedName name="Constraint_1549_LHS" localSheetId="0" hidden="1">monday_model.lp!$EDG$1555</definedName>
    <definedName name="Constraint_1549_RHS" localSheetId="0" hidden="1">monday_model.lp!$EDI$1555</definedName>
    <definedName name="Constraint_1549_Sense" localSheetId="0" hidden="1">monday_model.lp!$EDH$1555</definedName>
    <definedName name="Constraint_155" localSheetId="0" hidden="1">monday_model.lp!$C$161:$EDE$161</definedName>
    <definedName name="Constraint_155_LHS" localSheetId="0" hidden="1">monday_model.lp!$EDG$161</definedName>
    <definedName name="Constraint_155_RHS" localSheetId="0" hidden="1">monday_model.lp!$EDI$161</definedName>
    <definedName name="Constraint_155_Sense" localSheetId="0" hidden="1">monday_model.lp!$EDH$161</definedName>
    <definedName name="Constraint_1550" localSheetId="0" hidden="1">monday_model.lp!$C$1556:$EDE$1556</definedName>
    <definedName name="Constraint_1550_LHS" localSheetId="0" hidden="1">monday_model.lp!$EDG$1556</definedName>
    <definedName name="Constraint_1550_RHS" localSheetId="0" hidden="1">monday_model.lp!$EDI$1556</definedName>
    <definedName name="Constraint_1550_Sense" localSheetId="0" hidden="1">monday_model.lp!$EDH$1556</definedName>
    <definedName name="Constraint_1551" localSheetId="0" hidden="1">monday_model.lp!$C$1557:$EDE$1557</definedName>
    <definedName name="Constraint_1551_LHS" localSheetId="0" hidden="1">monday_model.lp!$EDG$1557</definedName>
    <definedName name="Constraint_1551_RHS" localSheetId="0" hidden="1">monday_model.lp!$EDI$1557</definedName>
    <definedName name="Constraint_1551_Sense" localSheetId="0" hidden="1">monday_model.lp!$EDH$1557</definedName>
    <definedName name="Constraint_1552" localSheetId="0" hidden="1">monday_model.lp!$C$1558:$EDE$1558</definedName>
    <definedName name="Constraint_1552_LHS" localSheetId="0" hidden="1">monday_model.lp!$EDG$1558</definedName>
    <definedName name="Constraint_1552_RHS" localSheetId="0" hidden="1">monday_model.lp!$EDI$1558</definedName>
    <definedName name="Constraint_1552_Sense" localSheetId="0" hidden="1">monday_model.lp!$EDH$1558</definedName>
    <definedName name="Constraint_1553" localSheetId="0" hidden="1">monday_model.lp!$C$1559:$EDE$1559</definedName>
    <definedName name="Constraint_1553_LHS" localSheetId="0" hidden="1">monday_model.lp!$EDG$1559</definedName>
    <definedName name="Constraint_1553_RHS" localSheetId="0" hidden="1">monday_model.lp!$EDI$1559</definedName>
    <definedName name="Constraint_1553_Sense" localSheetId="0" hidden="1">monday_model.lp!$EDH$1559</definedName>
    <definedName name="Constraint_1554" localSheetId="0" hidden="1">monday_model.lp!$C$1560:$EDE$1560</definedName>
    <definedName name="Constraint_1554_LHS" localSheetId="0" hidden="1">monday_model.lp!$EDG$1560</definedName>
    <definedName name="Constraint_1554_RHS" localSheetId="0" hidden="1">monday_model.lp!$EDI$1560</definedName>
    <definedName name="Constraint_1554_Sense" localSheetId="0" hidden="1">monday_model.lp!$EDH$1560</definedName>
    <definedName name="Constraint_1555" localSheetId="0" hidden="1">monday_model.lp!$C$1561:$EDE$1561</definedName>
    <definedName name="Constraint_1555_LHS" localSheetId="0" hidden="1">monday_model.lp!$EDG$1561</definedName>
    <definedName name="Constraint_1555_RHS" localSheetId="0" hidden="1">monday_model.lp!$EDI$1561</definedName>
    <definedName name="Constraint_1555_Sense" localSheetId="0" hidden="1">monday_model.lp!$EDH$1561</definedName>
    <definedName name="Constraint_1556" localSheetId="0" hidden="1">monday_model.lp!$C$1562:$EDE$1562</definedName>
    <definedName name="Constraint_1556_LHS" localSheetId="0" hidden="1">monday_model.lp!$EDG$1562</definedName>
    <definedName name="Constraint_1556_RHS" localSheetId="0" hidden="1">monday_model.lp!$EDI$1562</definedName>
    <definedName name="Constraint_1556_Sense" localSheetId="0" hidden="1">monday_model.lp!$EDH$1562</definedName>
    <definedName name="Constraint_1557" localSheetId="0" hidden="1">monday_model.lp!$C$1563:$EDE$1563</definedName>
    <definedName name="Constraint_1557_LHS" localSheetId="0" hidden="1">monday_model.lp!$EDG$1563</definedName>
    <definedName name="Constraint_1557_RHS" localSheetId="0" hidden="1">monday_model.lp!$EDI$1563</definedName>
    <definedName name="Constraint_1557_Sense" localSheetId="0" hidden="1">monday_model.lp!$EDH$1563</definedName>
    <definedName name="Constraint_1558" localSheetId="0" hidden="1">monday_model.lp!$C$1564:$EDE$1564</definedName>
    <definedName name="Constraint_1558_LHS" localSheetId="0" hidden="1">monday_model.lp!$EDG$1564</definedName>
    <definedName name="Constraint_1558_RHS" localSheetId="0" hidden="1">monday_model.lp!$EDI$1564</definedName>
    <definedName name="Constraint_1558_Sense" localSheetId="0" hidden="1">monday_model.lp!$EDH$1564</definedName>
    <definedName name="Constraint_1559" localSheetId="0" hidden="1">monday_model.lp!$C$1565:$EDE$1565</definedName>
    <definedName name="Constraint_1559_LHS" localSheetId="0" hidden="1">monday_model.lp!$EDG$1565</definedName>
    <definedName name="Constraint_1559_RHS" localSheetId="0" hidden="1">monday_model.lp!$EDI$1565</definedName>
    <definedName name="Constraint_1559_Sense" localSheetId="0" hidden="1">monday_model.lp!$EDH$1565</definedName>
    <definedName name="Constraint_156" localSheetId="0" hidden="1">monday_model.lp!$C$162:$EDE$162</definedName>
    <definedName name="Constraint_156_LHS" localSheetId="0" hidden="1">monday_model.lp!$EDG$162</definedName>
    <definedName name="Constraint_156_RHS" localSheetId="0" hidden="1">monday_model.lp!$EDI$162</definedName>
    <definedName name="Constraint_156_Sense" localSheetId="0" hidden="1">monday_model.lp!$EDH$162</definedName>
    <definedName name="Constraint_1560" localSheetId="0" hidden="1">monday_model.lp!$C$1566:$EDE$1566</definedName>
    <definedName name="Constraint_1560_LHS" localSheetId="0" hidden="1">monday_model.lp!$EDG$1566</definedName>
    <definedName name="Constraint_1560_RHS" localSheetId="0" hidden="1">monday_model.lp!$EDI$1566</definedName>
    <definedName name="Constraint_1560_Sense" localSheetId="0" hidden="1">monday_model.lp!$EDH$1566</definedName>
    <definedName name="Constraint_1561" localSheetId="0" hidden="1">monday_model.lp!$C$1567:$EDE$1567</definedName>
    <definedName name="Constraint_1561_LHS" localSheetId="0" hidden="1">monday_model.lp!$EDG$1567</definedName>
    <definedName name="Constraint_1561_RHS" localSheetId="0" hidden="1">monday_model.lp!$EDI$1567</definedName>
    <definedName name="Constraint_1561_Sense" localSheetId="0" hidden="1">monday_model.lp!$EDH$1567</definedName>
    <definedName name="Constraint_1562" localSheetId="0" hidden="1">monday_model.lp!$C$1568:$EDE$1568</definedName>
    <definedName name="Constraint_1562_LHS" localSheetId="0" hidden="1">monday_model.lp!$EDG$1568</definedName>
    <definedName name="Constraint_1562_RHS" localSheetId="0" hidden="1">monday_model.lp!$EDI$1568</definedName>
    <definedName name="Constraint_1562_Sense" localSheetId="0" hidden="1">monday_model.lp!$EDH$1568</definedName>
    <definedName name="Constraint_1563" localSheetId="0" hidden="1">monday_model.lp!$C$1569:$EDE$1569</definedName>
    <definedName name="Constraint_1563_LHS" localSheetId="0" hidden="1">monday_model.lp!$EDG$1569</definedName>
    <definedName name="Constraint_1563_RHS" localSheetId="0" hidden="1">monday_model.lp!$EDI$1569</definedName>
    <definedName name="Constraint_1563_Sense" localSheetId="0" hidden="1">monday_model.lp!$EDH$1569</definedName>
    <definedName name="Constraint_1564" localSheetId="0" hidden="1">monday_model.lp!$C$1570:$EDE$1570</definedName>
    <definedName name="Constraint_1564_LHS" localSheetId="0" hidden="1">monday_model.lp!$EDG$1570</definedName>
    <definedName name="Constraint_1564_RHS" localSheetId="0" hidden="1">monday_model.lp!$EDI$1570</definedName>
    <definedName name="Constraint_1564_Sense" localSheetId="0" hidden="1">monday_model.lp!$EDH$1570</definedName>
    <definedName name="Constraint_1565" localSheetId="0" hidden="1">monday_model.lp!$C$1571:$EDE$1571</definedName>
    <definedName name="Constraint_1565_LHS" localSheetId="0" hidden="1">monday_model.lp!$EDG$1571</definedName>
    <definedName name="Constraint_1565_RHS" localSheetId="0" hidden="1">monday_model.lp!$EDI$1571</definedName>
    <definedName name="Constraint_1565_Sense" localSheetId="0" hidden="1">monday_model.lp!$EDH$1571</definedName>
    <definedName name="Constraint_1566" localSheetId="0" hidden="1">monday_model.lp!$C$1572:$EDE$1572</definedName>
    <definedName name="Constraint_1566_LHS" localSheetId="0" hidden="1">monday_model.lp!$EDG$1572</definedName>
    <definedName name="Constraint_1566_RHS" localSheetId="0" hidden="1">monday_model.lp!$EDI$1572</definedName>
    <definedName name="Constraint_1566_Sense" localSheetId="0" hidden="1">monday_model.lp!$EDH$1572</definedName>
    <definedName name="Constraint_1567" localSheetId="0" hidden="1">monday_model.lp!$C$1573:$EDE$1573</definedName>
    <definedName name="Constraint_1567_LHS" localSheetId="0" hidden="1">monday_model.lp!$EDG$1573</definedName>
    <definedName name="Constraint_1567_RHS" localSheetId="0" hidden="1">monday_model.lp!$EDI$1573</definedName>
    <definedName name="Constraint_1567_Sense" localSheetId="0" hidden="1">monday_model.lp!$EDH$1573</definedName>
    <definedName name="Constraint_1568" localSheetId="0" hidden="1">monday_model.lp!$C$1574:$EDE$1574</definedName>
    <definedName name="Constraint_1568_LHS" localSheetId="0" hidden="1">monday_model.lp!$EDG$1574</definedName>
    <definedName name="Constraint_1568_RHS" localSheetId="0" hidden="1">monday_model.lp!$EDI$1574</definedName>
    <definedName name="Constraint_1568_Sense" localSheetId="0" hidden="1">monday_model.lp!$EDH$1574</definedName>
    <definedName name="Constraint_1569" localSheetId="0" hidden="1">monday_model.lp!$C$1575:$EDE$1575</definedName>
    <definedName name="Constraint_1569_LHS" localSheetId="0" hidden="1">monday_model.lp!$EDG$1575</definedName>
    <definedName name="Constraint_1569_RHS" localSheetId="0" hidden="1">monday_model.lp!$EDI$1575</definedName>
    <definedName name="Constraint_1569_Sense" localSheetId="0" hidden="1">monday_model.lp!$EDH$1575</definedName>
    <definedName name="Constraint_157" localSheetId="0" hidden="1">monday_model.lp!$C$163:$EDE$163</definedName>
    <definedName name="Constraint_157_LHS" localSheetId="0" hidden="1">monday_model.lp!$EDG$163</definedName>
    <definedName name="Constraint_157_RHS" localSheetId="0" hidden="1">monday_model.lp!$EDI$163</definedName>
    <definedName name="Constraint_157_Sense" localSheetId="0" hidden="1">monday_model.lp!$EDH$163</definedName>
    <definedName name="Constraint_1570" localSheetId="0" hidden="1">monday_model.lp!$C$1576:$EDE$1576</definedName>
    <definedName name="Constraint_1570_LHS" localSheetId="0" hidden="1">monday_model.lp!$EDG$1576</definedName>
    <definedName name="Constraint_1570_RHS" localSheetId="0" hidden="1">monday_model.lp!$EDI$1576</definedName>
    <definedName name="Constraint_1570_Sense" localSheetId="0" hidden="1">monday_model.lp!$EDH$1576</definedName>
    <definedName name="Constraint_1571" localSheetId="0" hidden="1">monday_model.lp!$C$1577:$EDE$1577</definedName>
    <definedName name="Constraint_1571_LHS" localSheetId="0" hidden="1">monday_model.lp!$EDG$1577</definedName>
    <definedName name="Constraint_1571_RHS" localSheetId="0" hidden="1">monday_model.lp!$EDI$1577</definedName>
    <definedName name="Constraint_1571_Sense" localSheetId="0" hidden="1">monday_model.lp!$EDH$1577</definedName>
    <definedName name="Constraint_1572" localSheetId="0" hidden="1">monday_model.lp!$C$1578:$EDE$1578</definedName>
    <definedName name="Constraint_1572_LHS" localSheetId="0" hidden="1">monday_model.lp!$EDG$1578</definedName>
    <definedName name="Constraint_1572_RHS" localSheetId="0" hidden="1">monday_model.lp!$EDI$1578</definedName>
    <definedName name="Constraint_1572_Sense" localSheetId="0" hidden="1">monday_model.lp!$EDH$1578</definedName>
    <definedName name="Constraint_1573" localSheetId="0" hidden="1">monday_model.lp!$C$1579:$EDE$1579</definedName>
    <definedName name="Constraint_1573_LHS" localSheetId="0" hidden="1">monday_model.lp!$EDG$1579</definedName>
    <definedName name="Constraint_1573_RHS" localSheetId="0" hidden="1">monday_model.lp!$EDI$1579</definedName>
    <definedName name="Constraint_1573_Sense" localSheetId="0" hidden="1">monday_model.lp!$EDH$1579</definedName>
    <definedName name="Constraint_1574" localSheetId="0" hidden="1">monday_model.lp!$C$1580:$EDE$1580</definedName>
    <definedName name="Constraint_1574_LHS" localSheetId="0" hidden="1">monday_model.lp!$EDG$1580</definedName>
    <definedName name="Constraint_1574_RHS" localSheetId="0" hidden="1">monday_model.lp!$EDI$1580</definedName>
    <definedName name="Constraint_1574_Sense" localSheetId="0" hidden="1">monday_model.lp!$EDH$1580</definedName>
    <definedName name="Constraint_1575" localSheetId="0" hidden="1">monday_model.lp!$C$1581:$EDE$1581</definedName>
    <definedName name="Constraint_1575_LHS" localSheetId="0" hidden="1">monday_model.lp!$EDG$1581</definedName>
    <definedName name="Constraint_1575_RHS" localSheetId="0" hidden="1">monday_model.lp!$EDI$1581</definedName>
    <definedName name="Constraint_1575_Sense" localSheetId="0" hidden="1">monday_model.lp!$EDH$1581</definedName>
    <definedName name="Constraint_1576" localSheetId="0" hidden="1">monday_model.lp!$C$1582:$EDE$1582</definedName>
    <definedName name="Constraint_1576_LHS" localSheetId="0" hidden="1">monday_model.lp!$EDG$1582</definedName>
    <definedName name="Constraint_1576_RHS" localSheetId="0" hidden="1">monday_model.lp!$EDI$1582</definedName>
    <definedName name="Constraint_1576_Sense" localSheetId="0" hidden="1">monday_model.lp!$EDH$1582</definedName>
    <definedName name="Constraint_1577" localSheetId="0" hidden="1">monday_model.lp!$C$1583:$EDE$1583</definedName>
    <definedName name="Constraint_1577_LHS" localSheetId="0" hidden="1">monday_model.lp!$EDG$1583</definedName>
    <definedName name="Constraint_1577_RHS" localSheetId="0" hidden="1">monday_model.lp!$EDI$1583</definedName>
    <definedName name="Constraint_1577_Sense" localSheetId="0" hidden="1">monday_model.lp!$EDH$1583</definedName>
    <definedName name="Constraint_1578" localSheetId="0" hidden="1">monday_model.lp!$C$1584:$EDE$1584</definedName>
    <definedName name="Constraint_1578_LHS" localSheetId="0" hidden="1">monday_model.lp!$EDG$1584</definedName>
    <definedName name="Constraint_1578_RHS" localSheetId="0" hidden="1">monday_model.lp!$EDI$1584</definedName>
    <definedName name="Constraint_1578_Sense" localSheetId="0" hidden="1">monday_model.lp!$EDH$1584</definedName>
    <definedName name="Constraint_1579" localSheetId="0" hidden="1">monday_model.lp!$C$1585:$EDE$1585</definedName>
    <definedName name="Constraint_1579_LHS" localSheetId="0" hidden="1">monday_model.lp!$EDG$1585</definedName>
    <definedName name="Constraint_1579_RHS" localSheetId="0" hidden="1">monday_model.lp!$EDI$1585</definedName>
    <definedName name="Constraint_1579_Sense" localSheetId="0" hidden="1">monday_model.lp!$EDH$1585</definedName>
    <definedName name="Constraint_158" localSheetId="0" hidden="1">monday_model.lp!$C$164:$EDE$164</definedName>
    <definedName name="Constraint_158_LHS" localSheetId="0" hidden="1">monday_model.lp!$EDG$164</definedName>
    <definedName name="Constraint_158_RHS" localSheetId="0" hidden="1">monday_model.lp!$EDI$164</definedName>
    <definedName name="Constraint_158_Sense" localSheetId="0" hidden="1">monday_model.lp!$EDH$164</definedName>
    <definedName name="Constraint_1580" localSheetId="0" hidden="1">monday_model.lp!$C$1586:$EDE$1586</definedName>
    <definedName name="Constraint_1580_LHS" localSheetId="0" hidden="1">monday_model.lp!$EDG$1586</definedName>
    <definedName name="Constraint_1580_RHS" localSheetId="0" hidden="1">monday_model.lp!$EDI$1586</definedName>
    <definedName name="Constraint_1580_Sense" localSheetId="0" hidden="1">monday_model.lp!$EDH$1586</definedName>
    <definedName name="Constraint_1581" localSheetId="0" hidden="1">monday_model.lp!$C$1587:$EDE$1587</definedName>
    <definedName name="Constraint_1581_LHS" localSheetId="0" hidden="1">monday_model.lp!$EDG$1587</definedName>
    <definedName name="Constraint_1581_RHS" localSheetId="0" hidden="1">monday_model.lp!$EDI$1587</definedName>
    <definedName name="Constraint_1581_Sense" localSheetId="0" hidden="1">monday_model.lp!$EDH$1587</definedName>
    <definedName name="Constraint_1582" localSheetId="0" hidden="1">monday_model.lp!$C$1588:$EDE$1588</definedName>
    <definedName name="Constraint_1582_LHS" localSheetId="0" hidden="1">monday_model.lp!$EDG$1588</definedName>
    <definedName name="Constraint_1582_RHS" localSheetId="0" hidden="1">monday_model.lp!$EDI$1588</definedName>
    <definedName name="Constraint_1582_Sense" localSheetId="0" hidden="1">monday_model.lp!$EDH$1588</definedName>
    <definedName name="Constraint_1583" localSheetId="0" hidden="1">monday_model.lp!$C$1589:$EDE$1589</definedName>
    <definedName name="Constraint_1583_LHS" localSheetId="0" hidden="1">monday_model.lp!$EDG$1589</definedName>
    <definedName name="Constraint_1583_RHS" localSheetId="0" hidden="1">monday_model.lp!$EDI$1589</definedName>
    <definedName name="Constraint_1583_Sense" localSheetId="0" hidden="1">monday_model.lp!$EDH$1589</definedName>
    <definedName name="Constraint_1584" localSheetId="0" hidden="1">monday_model.lp!$C$1590:$EDE$1590</definedName>
    <definedName name="Constraint_1584_LHS" localSheetId="0" hidden="1">monday_model.lp!$EDG$1590</definedName>
    <definedName name="Constraint_1584_RHS" localSheetId="0" hidden="1">monday_model.lp!$EDI$1590</definedName>
    <definedName name="Constraint_1584_Sense" localSheetId="0" hidden="1">monday_model.lp!$EDH$1590</definedName>
    <definedName name="Constraint_1585" localSheetId="0" hidden="1">monday_model.lp!$C$1591:$EDE$1591</definedName>
    <definedName name="Constraint_1585_LHS" localSheetId="0" hidden="1">monday_model.lp!$EDG$1591</definedName>
    <definedName name="Constraint_1585_RHS" localSheetId="0" hidden="1">monday_model.lp!$EDI$1591</definedName>
    <definedName name="Constraint_1585_Sense" localSheetId="0" hidden="1">monday_model.lp!$EDH$1591</definedName>
    <definedName name="Constraint_1586" localSheetId="0" hidden="1">monday_model.lp!$C$1592:$EDE$1592</definedName>
    <definedName name="Constraint_1586_LHS" localSheetId="0" hidden="1">monday_model.lp!$EDG$1592</definedName>
    <definedName name="Constraint_1586_RHS" localSheetId="0" hidden="1">monday_model.lp!$EDI$1592</definedName>
    <definedName name="Constraint_1586_Sense" localSheetId="0" hidden="1">monday_model.lp!$EDH$1592</definedName>
    <definedName name="Constraint_1587" localSheetId="0" hidden="1">monday_model.lp!$C$1593:$EDE$1593</definedName>
    <definedName name="Constraint_1587_LHS" localSheetId="0" hidden="1">monday_model.lp!$EDG$1593</definedName>
    <definedName name="Constraint_1587_RHS" localSheetId="0" hidden="1">monday_model.lp!$EDI$1593</definedName>
    <definedName name="Constraint_1587_Sense" localSheetId="0" hidden="1">monday_model.lp!$EDH$1593</definedName>
    <definedName name="Constraint_1588" localSheetId="0" hidden="1">monday_model.lp!$C$1594:$EDE$1594</definedName>
    <definedName name="Constraint_1588_LHS" localSheetId="0" hidden="1">monday_model.lp!$EDG$1594</definedName>
    <definedName name="Constraint_1588_RHS" localSheetId="0" hidden="1">monday_model.lp!$EDI$1594</definedName>
    <definedName name="Constraint_1588_Sense" localSheetId="0" hidden="1">monday_model.lp!$EDH$1594</definedName>
    <definedName name="Constraint_1589" localSheetId="0" hidden="1">monday_model.lp!$C$1595:$EDE$1595</definedName>
    <definedName name="Constraint_1589_LHS" localSheetId="0" hidden="1">monday_model.lp!$EDG$1595</definedName>
    <definedName name="Constraint_1589_RHS" localSheetId="0" hidden="1">monday_model.lp!$EDI$1595</definedName>
    <definedName name="Constraint_1589_Sense" localSheetId="0" hidden="1">monday_model.lp!$EDH$1595</definedName>
    <definedName name="Constraint_159" localSheetId="0" hidden="1">monday_model.lp!$C$165:$EDE$165</definedName>
    <definedName name="Constraint_159_LHS" localSheetId="0" hidden="1">monday_model.lp!$EDG$165</definedName>
    <definedName name="Constraint_159_RHS" localSheetId="0" hidden="1">monday_model.lp!$EDI$165</definedName>
    <definedName name="Constraint_159_Sense" localSheetId="0" hidden="1">monday_model.lp!$EDH$165</definedName>
    <definedName name="Constraint_1590" localSheetId="0" hidden="1">monday_model.lp!$C$1596:$EDE$1596</definedName>
    <definedName name="Constraint_1590_LHS" localSheetId="0" hidden="1">monday_model.lp!$EDG$1596</definedName>
    <definedName name="Constraint_1590_RHS" localSheetId="0" hidden="1">monday_model.lp!$EDI$1596</definedName>
    <definedName name="Constraint_1590_Sense" localSheetId="0" hidden="1">monday_model.lp!$EDH$1596</definedName>
    <definedName name="Constraint_1591" localSheetId="0" hidden="1">monday_model.lp!$C$1597:$EDE$1597</definedName>
    <definedName name="Constraint_1591_LHS" localSheetId="0" hidden="1">monday_model.lp!$EDG$1597</definedName>
    <definedName name="Constraint_1591_RHS" localSheetId="0" hidden="1">monday_model.lp!$EDI$1597</definedName>
    <definedName name="Constraint_1591_Sense" localSheetId="0" hidden="1">monday_model.lp!$EDH$1597</definedName>
    <definedName name="Constraint_1592" localSheetId="0" hidden="1">monday_model.lp!$C$1598:$EDE$1598</definedName>
    <definedName name="Constraint_1592_LHS" localSheetId="0" hidden="1">monday_model.lp!$EDG$1598</definedName>
    <definedName name="Constraint_1592_RHS" localSheetId="0" hidden="1">monday_model.lp!$EDI$1598</definedName>
    <definedName name="Constraint_1592_Sense" localSheetId="0" hidden="1">monday_model.lp!$EDH$1598</definedName>
    <definedName name="Constraint_1593" localSheetId="0" hidden="1">monday_model.lp!$C$1599:$EDE$1599</definedName>
    <definedName name="Constraint_1593_LHS" localSheetId="0" hidden="1">monday_model.lp!$EDG$1599</definedName>
    <definedName name="Constraint_1593_RHS" localSheetId="0" hidden="1">monday_model.lp!$EDI$1599</definedName>
    <definedName name="Constraint_1593_Sense" localSheetId="0" hidden="1">monday_model.lp!$EDH$1599</definedName>
    <definedName name="Constraint_1594" localSheetId="0" hidden="1">monday_model.lp!$C$1600:$EDE$1600</definedName>
    <definedName name="Constraint_1594_LHS" localSheetId="0" hidden="1">monday_model.lp!$EDG$1600</definedName>
    <definedName name="Constraint_1594_RHS" localSheetId="0" hidden="1">monday_model.lp!$EDI$1600</definedName>
    <definedName name="Constraint_1594_Sense" localSheetId="0" hidden="1">monday_model.lp!$EDH$1600</definedName>
    <definedName name="Constraint_1595" localSheetId="0" hidden="1">monday_model.lp!$C$1601:$EDE$1601</definedName>
    <definedName name="Constraint_1595_LHS" localSheetId="0" hidden="1">monday_model.lp!$EDG$1601</definedName>
    <definedName name="Constraint_1595_RHS" localSheetId="0" hidden="1">monday_model.lp!$EDI$1601</definedName>
    <definedName name="Constraint_1595_Sense" localSheetId="0" hidden="1">monday_model.lp!$EDH$1601</definedName>
    <definedName name="Constraint_1596" localSheetId="0" hidden="1">monday_model.lp!$C$1602:$EDE$1602</definedName>
    <definedName name="Constraint_1596_LHS" localSheetId="0" hidden="1">monday_model.lp!$EDG$1602</definedName>
    <definedName name="Constraint_1596_RHS" localSheetId="0" hidden="1">monday_model.lp!$EDI$1602</definedName>
    <definedName name="Constraint_1596_Sense" localSheetId="0" hidden="1">monday_model.lp!$EDH$1602</definedName>
    <definedName name="Constraint_1597" localSheetId="0" hidden="1">monday_model.lp!$C$1603:$EDE$1603</definedName>
    <definedName name="Constraint_1597_LHS" localSheetId="0" hidden="1">monday_model.lp!$EDG$1603</definedName>
    <definedName name="Constraint_1597_RHS" localSheetId="0" hidden="1">monday_model.lp!$EDI$1603</definedName>
    <definedName name="Constraint_1597_Sense" localSheetId="0" hidden="1">monday_model.lp!$EDH$1603</definedName>
    <definedName name="Constraint_1598" localSheetId="0" hidden="1">monday_model.lp!$C$1604:$EDE$1604</definedName>
    <definedName name="Constraint_1598_LHS" localSheetId="0" hidden="1">monday_model.lp!$EDG$1604</definedName>
    <definedName name="Constraint_1598_RHS" localSheetId="0" hidden="1">monday_model.lp!$EDI$1604</definedName>
    <definedName name="Constraint_1598_Sense" localSheetId="0" hidden="1">monday_model.lp!$EDH$1604</definedName>
    <definedName name="Constraint_1599" localSheetId="0" hidden="1">monday_model.lp!$C$1605:$EDE$1605</definedName>
    <definedName name="Constraint_1599_LHS" localSheetId="0" hidden="1">monday_model.lp!$EDG$1605</definedName>
    <definedName name="Constraint_1599_RHS" localSheetId="0" hidden="1">monday_model.lp!$EDI$1605</definedName>
    <definedName name="Constraint_1599_Sense" localSheetId="0" hidden="1">monday_model.lp!$EDH$1605</definedName>
    <definedName name="Constraint_16" localSheetId="0" hidden="1">monday_model.lp!$C$22:$EDE$22</definedName>
    <definedName name="Constraint_16_LHS" localSheetId="0" hidden="1">monday_model.lp!$EDG$22</definedName>
    <definedName name="Constraint_16_RHS" localSheetId="0" hidden="1">monday_model.lp!$EDI$22</definedName>
    <definedName name="Constraint_16_Sense" localSheetId="0" hidden="1">monday_model.lp!$EDH$22</definedName>
    <definedName name="Constraint_160" localSheetId="0" hidden="1">monday_model.lp!$C$166:$EDE$166</definedName>
    <definedName name="Constraint_160_LHS" localSheetId="0" hidden="1">monday_model.lp!$EDG$166</definedName>
    <definedName name="Constraint_160_RHS" localSheetId="0" hidden="1">monday_model.lp!$EDI$166</definedName>
    <definedName name="Constraint_160_Sense" localSheetId="0" hidden="1">monday_model.lp!$EDH$166</definedName>
    <definedName name="Constraint_1600" localSheetId="0" hidden="1">monday_model.lp!$C$1606:$EDE$1606</definedName>
    <definedName name="Constraint_1600_LHS" localSheetId="0" hidden="1">monday_model.lp!$EDG$1606</definedName>
    <definedName name="Constraint_1600_RHS" localSheetId="0" hidden="1">monday_model.lp!$EDI$1606</definedName>
    <definedName name="Constraint_1600_Sense" localSheetId="0" hidden="1">monday_model.lp!$EDH$1606</definedName>
    <definedName name="Constraint_1601" localSheetId="0" hidden="1">monday_model.lp!$C$1607:$EDE$1607</definedName>
    <definedName name="Constraint_1601_LHS" localSheetId="0" hidden="1">monday_model.lp!$EDG$1607</definedName>
    <definedName name="Constraint_1601_RHS" localSheetId="0" hidden="1">monday_model.lp!$EDI$1607</definedName>
    <definedName name="Constraint_1601_Sense" localSheetId="0" hidden="1">monday_model.lp!$EDH$1607</definedName>
    <definedName name="Constraint_1602" localSheetId="0" hidden="1">monday_model.lp!$C$1608:$EDE$1608</definedName>
    <definedName name="Constraint_1602_LHS" localSheetId="0" hidden="1">monday_model.lp!$EDG$1608</definedName>
    <definedName name="Constraint_1602_RHS" localSheetId="0" hidden="1">monday_model.lp!$EDI$1608</definedName>
    <definedName name="Constraint_1602_Sense" localSheetId="0" hidden="1">monday_model.lp!$EDH$1608</definedName>
    <definedName name="Constraint_1603" localSheetId="0" hidden="1">monday_model.lp!$C$1609:$EDE$1609</definedName>
    <definedName name="Constraint_1603_LHS" localSheetId="0" hidden="1">monday_model.lp!$EDG$1609</definedName>
    <definedName name="Constraint_1603_RHS" localSheetId="0" hidden="1">monday_model.lp!$EDI$1609</definedName>
    <definedName name="Constraint_1603_Sense" localSheetId="0" hidden="1">monday_model.lp!$EDH$1609</definedName>
    <definedName name="Constraint_1604" localSheetId="0" hidden="1">monday_model.lp!$C$1610:$EDE$1610</definedName>
    <definedName name="Constraint_1604_LHS" localSheetId="0" hidden="1">monday_model.lp!$EDG$1610</definedName>
    <definedName name="Constraint_1604_RHS" localSheetId="0" hidden="1">monday_model.lp!$EDI$1610</definedName>
    <definedName name="Constraint_1604_Sense" localSheetId="0" hidden="1">monday_model.lp!$EDH$1610</definedName>
    <definedName name="Constraint_1605" localSheetId="0" hidden="1">monday_model.lp!$C$1611:$EDE$1611</definedName>
    <definedName name="Constraint_1605_LHS" localSheetId="0" hidden="1">monday_model.lp!$EDG$1611</definedName>
    <definedName name="Constraint_1605_RHS" localSheetId="0" hidden="1">monday_model.lp!$EDI$1611</definedName>
    <definedName name="Constraint_1605_Sense" localSheetId="0" hidden="1">monday_model.lp!$EDH$1611</definedName>
    <definedName name="Constraint_1606" localSheetId="0" hidden="1">monday_model.lp!$C$1612:$EDE$1612</definedName>
    <definedName name="Constraint_1606_LHS" localSheetId="0" hidden="1">monday_model.lp!$EDG$1612</definedName>
    <definedName name="Constraint_1606_RHS" localSheetId="0" hidden="1">monday_model.lp!$EDI$1612</definedName>
    <definedName name="Constraint_1606_Sense" localSheetId="0" hidden="1">monday_model.lp!$EDH$1612</definedName>
    <definedName name="Constraint_1607" localSheetId="0" hidden="1">monday_model.lp!$C$1613:$EDE$1613</definedName>
    <definedName name="Constraint_1607_LHS" localSheetId="0" hidden="1">monday_model.lp!$EDG$1613</definedName>
    <definedName name="Constraint_1607_RHS" localSheetId="0" hidden="1">monday_model.lp!$EDI$1613</definedName>
    <definedName name="Constraint_1607_Sense" localSheetId="0" hidden="1">monday_model.lp!$EDH$1613</definedName>
    <definedName name="Constraint_1608" localSheetId="0" hidden="1">monday_model.lp!$C$1614:$EDE$1614</definedName>
    <definedName name="Constraint_1608_LHS" localSheetId="0" hidden="1">monday_model.lp!$EDG$1614</definedName>
    <definedName name="Constraint_1608_RHS" localSheetId="0" hidden="1">monday_model.lp!$EDI$1614</definedName>
    <definedName name="Constraint_1608_Sense" localSheetId="0" hidden="1">monday_model.lp!$EDH$1614</definedName>
    <definedName name="Constraint_1609" localSheetId="0" hidden="1">monday_model.lp!$C$1615:$EDE$1615</definedName>
    <definedName name="Constraint_1609_LHS" localSheetId="0" hidden="1">monday_model.lp!$EDG$1615</definedName>
    <definedName name="Constraint_1609_RHS" localSheetId="0" hidden="1">monday_model.lp!$EDI$1615</definedName>
    <definedName name="Constraint_1609_Sense" localSheetId="0" hidden="1">monday_model.lp!$EDH$1615</definedName>
    <definedName name="Constraint_161" localSheetId="0" hidden="1">monday_model.lp!$C$167:$EDE$167</definedName>
    <definedName name="Constraint_161_LHS" localSheetId="0" hidden="1">monday_model.lp!$EDG$167</definedName>
    <definedName name="Constraint_161_RHS" localSheetId="0" hidden="1">monday_model.lp!$EDI$167</definedName>
    <definedName name="Constraint_161_Sense" localSheetId="0" hidden="1">monday_model.lp!$EDH$167</definedName>
    <definedName name="Constraint_1610" localSheetId="0" hidden="1">monday_model.lp!$C$1616:$EDE$1616</definedName>
    <definedName name="Constraint_1610_LHS" localSheetId="0" hidden="1">monday_model.lp!$EDG$1616</definedName>
    <definedName name="Constraint_1610_RHS" localSheetId="0" hidden="1">monday_model.lp!$EDI$1616</definedName>
    <definedName name="Constraint_1610_Sense" localSheetId="0" hidden="1">monday_model.lp!$EDH$1616</definedName>
    <definedName name="Constraint_1611" localSheetId="0" hidden="1">monday_model.lp!$C$1617:$EDE$1617</definedName>
    <definedName name="Constraint_1611_LHS" localSheetId="0" hidden="1">monday_model.lp!$EDG$1617</definedName>
    <definedName name="Constraint_1611_RHS" localSheetId="0" hidden="1">monday_model.lp!$EDI$1617</definedName>
    <definedName name="Constraint_1611_Sense" localSheetId="0" hidden="1">monday_model.lp!$EDH$1617</definedName>
    <definedName name="Constraint_1612" localSheetId="0" hidden="1">monday_model.lp!$C$1618:$EDE$1618</definedName>
    <definedName name="Constraint_1612_LHS" localSheetId="0" hidden="1">monday_model.lp!$EDG$1618</definedName>
    <definedName name="Constraint_1612_RHS" localSheetId="0" hidden="1">monday_model.lp!$EDI$1618</definedName>
    <definedName name="Constraint_1612_Sense" localSheetId="0" hidden="1">monday_model.lp!$EDH$1618</definedName>
    <definedName name="Constraint_1613" localSheetId="0" hidden="1">monday_model.lp!$C$1619:$EDE$1619</definedName>
    <definedName name="Constraint_1613_LHS" localSheetId="0" hidden="1">monday_model.lp!$EDG$1619</definedName>
    <definedName name="Constraint_1613_RHS" localSheetId="0" hidden="1">monday_model.lp!$EDI$1619</definedName>
    <definedName name="Constraint_1613_Sense" localSheetId="0" hidden="1">monday_model.lp!$EDH$1619</definedName>
    <definedName name="Constraint_1614" localSheetId="0" hidden="1">monday_model.lp!$C$1620:$EDE$1620</definedName>
    <definedName name="Constraint_1614_LHS" localSheetId="0" hidden="1">monday_model.lp!$EDG$1620</definedName>
    <definedName name="Constraint_1614_RHS" localSheetId="0" hidden="1">monday_model.lp!$EDI$1620</definedName>
    <definedName name="Constraint_1614_Sense" localSheetId="0" hidden="1">monday_model.lp!$EDH$1620</definedName>
    <definedName name="Constraint_1615" localSheetId="0" hidden="1">monday_model.lp!$C$1621:$EDE$1621</definedName>
    <definedName name="Constraint_1615_LHS" localSheetId="0" hidden="1">monday_model.lp!$EDG$1621</definedName>
    <definedName name="Constraint_1615_RHS" localSheetId="0" hidden="1">monday_model.lp!$EDI$1621</definedName>
    <definedName name="Constraint_1615_Sense" localSheetId="0" hidden="1">monday_model.lp!$EDH$1621</definedName>
    <definedName name="Constraint_1616" localSheetId="0" hidden="1">monday_model.lp!$C$1622:$EDE$1622</definedName>
    <definedName name="Constraint_1616_LHS" localSheetId="0" hidden="1">monday_model.lp!$EDG$1622</definedName>
    <definedName name="Constraint_1616_RHS" localSheetId="0" hidden="1">monday_model.lp!$EDI$1622</definedName>
    <definedName name="Constraint_1616_Sense" localSheetId="0" hidden="1">monday_model.lp!$EDH$1622</definedName>
    <definedName name="Constraint_1617" localSheetId="0" hidden="1">monday_model.lp!$C$1623:$EDE$1623</definedName>
    <definedName name="Constraint_1617_LHS" localSheetId="0" hidden="1">monday_model.lp!$EDG$1623</definedName>
    <definedName name="Constraint_1617_RHS" localSheetId="0" hidden="1">monday_model.lp!$EDI$1623</definedName>
    <definedName name="Constraint_1617_Sense" localSheetId="0" hidden="1">monday_model.lp!$EDH$1623</definedName>
    <definedName name="Constraint_1618" localSheetId="0" hidden="1">monday_model.lp!$C$1624:$EDE$1624</definedName>
    <definedName name="Constraint_1618_LHS" localSheetId="0" hidden="1">monday_model.lp!$EDG$1624</definedName>
    <definedName name="Constraint_1618_RHS" localSheetId="0" hidden="1">monday_model.lp!$EDI$1624</definedName>
    <definedName name="Constraint_1618_Sense" localSheetId="0" hidden="1">monday_model.lp!$EDH$1624</definedName>
    <definedName name="Constraint_1619" localSheetId="0" hidden="1">monday_model.lp!$C$1625:$EDE$1625</definedName>
    <definedName name="Constraint_1619_LHS" localSheetId="0" hidden="1">monday_model.lp!$EDG$1625</definedName>
    <definedName name="Constraint_1619_RHS" localSheetId="0" hidden="1">monday_model.lp!$EDI$1625</definedName>
    <definedName name="Constraint_1619_Sense" localSheetId="0" hidden="1">monday_model.lp!$EDH$1625</definedName>
    <definedName name="Constraint_162" localSheetId="0" hidden="1">monday_model.lp!$C$168:$EDE$168</definedName>
    <definedName name="Constraint_162_LHS" localSheetId="0" hidden="1">monday_model.lp!$EDG$168</definedName>
    <definedName name="Constraint_162_RHS" localSheetId="0" hidden="1">monday_model.lp!$EDI$168</definedName>
    <definedName name="Constraint_162_Sense" localSheetId="0" hidden="1">monday_model.lp!$EDH$168</definedName>
    <definedName name="Constraint_1620" localSheetId="0" hidden="1">monday_model.lp!$C$1626:$EDE$1626</definedName>
    <definedName name="Constraint_1620_LHS" localSheetId="0" hidden="1">monday_model.lp!$EDG$1626</definedName>
    <definedName name="Constraint_1620_RHS" localSheetId="0" hidden="1">monday_model.lp!$EDI$1626</definedName>
    <definedName name="Constraint_1620_Sense" localSheetId="0" hidden="1">monday_model.lp!$EDH$1626</definedName>
    <definedName name="Constraint_1621" localSheetId="0" hidden="1">monday_model.lp!$C$1627:$EDE$1627</definedName>
    <definedName name="Constraint_1621_LHS" localSheetId="0" hidden="1">monday_model.lp!$EDG$1627</definedName>
    <definedName name="Constraint_1621_RHS" localSheetId="0" hidden="1">monday_model.lp!$EDI$1627</definedName>
    <definedName name="Constraint_1621_Sense" localSheetId="0" hidden="1">monday_model.lp!$EDH$1627</definedName>
    <definedName name="Constraint_1622" localSheetId="0" hidden="1">monday_model.lp!$C$1628:$EDE$1628</definedName>
    <definedName name="Constraint_1622_LHS" localSheetId="0" hidden="1">monday_model.lp!$EDG$1628</definedName>
    <definedName name="Constraint_1622_RHS" localSheetId="0" hidden="1">monday_model.lp!$EDI$1628</definedName>
    <definedName name="Constraint_1622_Sense" localSheetId="0" hidden="1">monday_model.lp!$EDH$1628</definedName>
    <definedName name="Constraint_1623" localSheetId="0" hidden="1">monday_model.lp!$C$1629:$EDE$1629</definedName>
    <definedName name="Constraint_1623_LHS" localSheetId="0" hidden="1">monday_model.lp!$EDG$1629</definedName>
    <definedName name="Constraint_1623_RHS" localSheetId="0" hidden="1">monday_model.lp!$EDI$1629</definedName>
    <definedName name="Constraint_1623_Sense" localSheetId="0" hidden="1">monday_model.lp!$EDH$1629</definedName>
    <definedName name="Constraint_1624" localSheetId="0" hidden="1">monday_model.lp!$C$1630:$EDE$1630</definedName>
    <definedName name="Constraint_1624_LHS" localSheetId="0" hidden="1">monday_model.lp!$EDG$1630</definedName>
    <definedName name="Constraint_1624_RHS" localSheetId="0" hidden="1">monday_model.lp!$EDI$1630</definedName>
    <definedName name="Constraint_1624_Sense" localSheetId="0" hidden="1">monday_model.lp!$EDH$1630</definedName>
    <definedName name="Constraint_1625" localSheetId="0" hidden="1">monday_model.lp!$C$1631:$EDE$1631</definedName>
    <definedName name="Constraint_1625_LHS" localSheetId="0" hidden="1">monday_model.lp!$EDG$1631</definedName>
    <definedName name="Constraint_1625_RHS" localSheetId="0" hidden="1">monday_model.lp!$EDI$1631</definedName>
    <definedName name="Constraint_1625_Sense" localSheetId="0" hidden="1">monday_model.lp!$EDH$1631</definedName>
    <definedName name="Constraint_1626" localSheetId="0" hidden="1">monday_model.lp!$C$1632:$EDE$1632</definedName>
    <definedName name="Constraint_1626_LHS" localSheetId="0" hidden="1">monday_model.lp!$EDG$1632</definedName>
    <definedName name="Constraint_1626_RHS" localSheetId="0" hidden="1">monday_model.lp!$EDI$1632</definedName>
    <definedName name="Constraint_1626_Sense" localSheetId="0" hidden="1">monday_model.lp!$EDH$1632</definedName>
    <definedName name="Constraint_1627" localSheetId="0" hidden="1">monday_model.lp!$C$1633:$EDE$1633</definedName>
    <definedName name="Constraint_1627_LHS" localSheetId="0" hidden="1">monday_model.lp!$EDG$1633</definedName>
    <definedName name="Constraint_1627_RHS" localSheetId="0" hidden="1">monday_model.lp!$EDI$1633</definedName>
    <definedName name="Constraint_1627_Sense" localSheetId="0" hidden="1">monday_model.lp!$EDH$1633</definedName>
    <definedName name="Constraint_1628" localSheetId="0" hidden="1">monday_model.lp!$C$1634:$EDE$1634</definedName>
    <definedName name="Constraint_1628_LHS" localSheetId="0" hidden="1">monday_model.lp!$EDG$1634</definedName>
    <definedName name="Constraint_1628_RHS" localSheetId="0" hidden="1">monday_model.lp!$EDI$1634</definedName>
    <definedName name="Constraint_1628_Sense" localSheetId="0" hidden="1">monday_model.lp!$EDH$1634</definedName>
    <definedName name="Constraint_1629" localSheetId="0" hidden="1">monday_model.lp!$C$1635:$EDE$1635</definedName>
    <definedName name="Constraint_1629_LHS" localSheetId="0" hidden="1">monday_model.lp!$EDG$1635</definedName>
    <definedName name="Constraint_1629_RHS" localSheetId="0" hidden="1">monday_model.lp!$EDI$1635</definedName>
    <definedName name="Constraint_1629_Sense" localSheetId="0" hidden="1">monday_model.lp!$EDH$1635</definedName>
    <definedName name="Constraint_163" localSheetId="0" hidden="1">monday_model.lp!$C$169:$EDE$169</definedName>
    <definedName name="Constraint_163_LHS" localSheetId="0" hidden="1">monday_model.lp!$EDG$169</definedName>
    <definedName name="Constraint_163_RHS" localSheetId="0" hidden="1">monday_model.lp!$EDI$169</definedName>
    <definedName name="Constraint_163_Sense" localSheetId="0" hidden="1">monday_model.lp!$EDH$169</definedName>
    <definedName name="Constraint_1630" localSheetId="0" hidden="1">monday_model.lp!$C$1636:$EDE$1636</definedName>
    <definedName name="Constraint_1630_LHS" localSheetId="0" hidden="1">monday_model.lp!$EDG$1636</definedName>
    <definedName name="Constraint_1630_RHS" localSheetId="0" hidden="1">monday_model.lp!$EDI$1636</definedName>
    <definedName name="Constraint_1630_Sense" localSheetId="0" hidden="1">monday_model.lp!$EDH$1636</definedName>
    <definedName name="Constraint_1631" localSheetId="0" hidden="1">monday_model.lp!$C$1637:$EDE$1637</definedName>
    <definedName name="Constraint_1631_LHS" localSheetId="0" hidden="1">monday_model.lp!$EDG$1637</definedName>
    <definedName name="Constraint_1631_RHS" localSheetId="0" hidden="1">monday_model.lp!$EDI$1637</definedName>
    <definedName name="Constraint_1631_Sense" localSheetId="0" hidden="1">monday_model.lp!$EDH$1637</definedName>
    <definedName name="Constraint_1632" localSheetId="0" hidden="1">monday_model.lp!$C$1638:$EDE$1638</definedName>
    <definedName name="Constraint_1632_LHS" localSheetId="0" hidden="1">monday_model.lp!$EDG$1638</definedName>
    <definedName name="Constraint_1632_RHS" localSheetId="0" hidden="1">monday_model.lp!$EDI$1638</definedName>
    <definedName name="Constraint_1632_Sense" localSheetId="0" hidden="1">monday_model.lp!$EDH$1638</definedName>
    <definedName name="Constraint_1633" localSheetId="0" hidden="1">monday_model.lp!$C$1639:$EDE$1639</definedName>
    <definedName name="Constraint_1633_LHS" localSheetId="0" hidden="1">monday_model.lp!$EDG$1639</definedName>
    <definedName name="Constraint_1633_RHS" localSheetId="0" hidden="1">monday_model.lp!$EDI$1639</definedName>
    <definedName name="Constraint_1633_Sense" localSheetId="0" hidden="1">monday_model.lp!$EDH$1639</definedName>
    <definedName name="Constraint_1634" localSheetId="0" hidden="1">monday_model.lp!$C$1640:$EDE$1640</definedName>
    <definedName name="Constraint_1634_LHS" localSheetId="0" hidden="1">monday_model.lp!$EDG$1640</definedName>
    <definedName name="Constraint_1634_RHS" localSheetId="0" hidden="1">monday_model.lp!$EDI$1640</definedName>
    <definedName name="Constraint_1634_Sense" localSheetId="0" hidden="1">monday_model.lp!$EDH$1640</definedName>
    <definedName name="Constraint_1635" localSheetId="0" hidden="1">monday_model.lp!$C$1641:$EDE$1641</definedName>
    <definedName name="Constraint_1635_LHS" localSheetId="0" hidden="1">monday_model.lp!$EDG$1641</definedName>
    <definedName name="Constraint_1635_RHS" localSheetId="0" hidden="1">monday_model.lp!$EDI$1641</definedName>
    <definedName name="Constraint_1635_Sense" localSheetId="0" hidden="1">monday_model.lp!$EDH$1641</definedName>
    <definedName name="Constraint_1636" localSheetId="0" hidden="1">monday_model.lp!$C$1642:$EDE$1642</definedName>
    <definedName name="Constraint_1636_LHS" localSheetId="0" hidden="1">monday_model.lp!$EDG$1642</definedName>
    <definedName name="Constraint_1636_RHS" localSheetId="0" hidden="1">monday_model.lp!$EDI$1642</definedName>
    <definedName name="Constraint_1636_Sense" localSheetId="0" hidden="1">monday_model.lp!$EDH$1642</definedName>
    <definedName name="Constraint_1637" localSheetId="0" hidden="1">monday_model.lp!$C$1643:$EDE$1643</definedName>
    <definedName name="Constraint_1637_LHS" localSheetId="0" hidden="1">monday_model.lp!$EDG$1643</definedName>
    <definedName name="Constraint_1637_RHS" localSheetId="0" hidden="1">monday_model.lp!$EDI$1643</definedName>
    <definedName name="Constraint_1637_Sense" localSheetId="0" hidden="1">monday_model.lp!$EDH$1643</definedName>
    <definedName name="Constraint_1638" localSheetId="0" hidden="1">monday_model.lp!$C$1644:$EDE$1644</definedName>
    <definedName name="Constraint_1638_LHS" localSheetId="0" hidden="1">monday_model.lp!$EDG$1644</definedName>
    <definedName name="Constraint_1638_RHS" localSheetId="0" hidden="1">monday_model.lp!$EDI$1644</definedName>
    <definedName name="Constraint_1638_Sense" localSheetId="0" hidden="1">monday_model.lp!$EDH$1644</definedName>
    <definedName name="Constraint_1639" localSheetId="0" hidden="1">monday_model.lp!$C$1645:$EDE$1645</definedName>
    <definedName name="Constraint_1639_LHS" localSheetId="0" hidden="1">monday_model.lp!$EDG$1645</definedName>
    <definedName name="Constraint_1639_RHS" localSheetId="0" hidden="1">monday_model.lp!$EDI$1645</definedName>
    <definedName name="Constraint_1639_Sense" localSheetId="0" hidden="1">monday_model.lp!$EDH$1645</definedName>
    <definedName name="Constraint_164" localSheetId="0" hidden="1">monday_model.lp!$C$170:$EDE$170</definedName>
    <definedName name="Constraint_164_LHS" localSheetId="0" hidden="1">monday_model.lp!$EDG$170</definedName>
    <definedName name="Constraint_164_RHS" localSheetId="0" hidden="1">monday_model.lp!$EDI$170</definedName>
    <definedName name="Constraint_164_Sense" localSheetId="0" hidden="1">monday_model.lp!$EDH$170</definedName>
    <definedName name="Constraint_1640" localSheetId="0" hidden="1">monday_model.lp!$C$1646:$EDE$1646</definedName>
    <definedName name="Constraint_1640_LHS" localSheetId="0" hidden="1">monday_model.lp!$EDG$1646</definedName>
    <definedName name="Constraint_1640_RHS" localSheetId="0" hidden="1">monday_model.lp!$EDI$1646</definedName>
    <definedName name="Constraint_1640_Sense" localSheetId="0" hidden="1">monday_model.lp!$EDH$1646</definedName>
    <definedName name="Constraint_1641" localSheetId="0" hidden="1">monday_model.lp!$C$1647:$EDE$1647</definedName>
    <definedName name="Constraint_1641_LHS" localSheetId="0" hidden="1">monday_model.lp!$EDG$1647</definedName>
    <definedName name="Constraint_1641_RHS" localSheetId="0" hidden="1">monday_model.lp!$EDI$1647</definedName>
    <definedName name="Constraint_1641_Sense" localSheetId="0" hidden="1">monday_model.lp!$EDH$1647</definedName>
    <definedName name="Constraint_1642" localSheetId="0" hidden="1">monday_model.lp!$C$1648:$EDE$1648</definedName>
    <definedName name="Constraint_1642_LHS" localSheetId="0" hidden="1">monday_model.lp!$EDG$1648</definedName>
    <definedName name="Constraint_1642_RHS" localSheetId="0" hidden="1">monday_model.lp!$EDI$1648</definedName>
    <definedName name="Constraint_1642_Sense" localSheetId="0" hidden="1">monday_model.lp!$EDH$1648</definedName>
    <definedName name="Constraint_1643" localSheetId="0" hidden="1">monday_model.lp!$C$1649:$EDE$1649</definedName>
    <definedName name="Constraint_1643_LHS" localSheetId="0" hidden="1">monday_model.lp!$EDG$1649</definedName>
    <definedName name="Constraint_1643_RHS" localSheetId="0" hidden="1">monday_model.lp!$EDI$1649</definedName>
    <definedName name="Constraint_1643_Sense" localSheetId="0" hidden="1">monday_model.lp!$EDH$1649</definedName>
    <definedName name="Constraint_1644" localSheetId="0" hidden="1">monday_model.lp!$C$1650:$EDE$1650</definedName>
    <definedName name="Constraint_1644_LHS" localSheetId="0" hidden="1">monday_model.lp!$EDG$1650</definedName>
    <definedName name="Constraint_1644_RHS" localSheetId="0" hidden="1">monday_model.lp!$EDI$1650</definedName>
    <definedName name="Constraint_1644_Sense" localSheetId="0" hidden="1">monday_model.lp!$EDH$1650</definedName>
    <definedName name="Constraint_1645" localSheetId="0" hidden="1">monday_model.lp!$C$1651:$EDE$1651</definedName>
    <definedName name="Constraint_1645_LHS" localSheetId="0" hidden="1">monday_model.lp!$EDG$1651</definedName>
    <definedName name="Constraint_1645_RHS" localSheetId="0" hidden="1">monday_model.lp!$EDI$1651</definedName>
    <definedName name="Constraint_1645_Sense" localSheetId="0" hidden="1">monday_model.lp!$EDH$1651</definedName>
    <definedName name="Constraint_1646" localSheetId="0" hidden="1">monday_model.lp!$C$1652:$EDE$1652</definedName>
    <definedName name="Constraint_1646_LHS" localSheetId="0" hidden="1">monday_model.lp!$EDG$1652</definedName>
    <definedName name="Constraint_1646_RHS" localSheetId="0" hidden="1">monday_model.lp!$EDI$1652</definedName>
    <definedName name="Constraint_1646_Sense" localSheetId="0" hidden="1">monday_model.lp!$EDH$1652</definedName>
    <definedName name="Constraint_1647" localSheetId="0" hidden="1">monday_model.lp!$C$1653:$EDE$1653</definedName>
    <definedName name="Constraint_1647_LHS" localSheetId="0" hidden="1">monday_model.lp!$EDG$1653</definedName>
    <definedName name="Constraint_1647_RHS" localSheetId="0" hidden="1">monday_model.lp!$EDI$1653</definedName>
    <definedName name="Constraint_1647_Sense" localSheetId="0" hidden="1">monday_model.lp!$EDH$1653</definedName>
    <definedName name="Constraint_1648" localSheetId="0" hidden="1">monday_model.lp!$C$1654:$EDE$1654</definedName>
    <definedName name="Constraint_1648_LHS" localSheetId="0" hidden="1">monday_model.lp!$EDG$1654</definedName>
    <definedName name="Constraint_1648_RHS" localSheetId="0" hidden="1">monday_model.lp!$EDI$1654</definedName>
    <definedName name="Constraint_1648_Sense" localSheetId="0" hidden="1">monday_model.lp!$EDH$1654</definedName>
    <definedName name="Constraint_1649" localSheetId="0" hidden="1">monday_model.lp!$C$1655:$EDE$1655</definedName>
    <definedName name="Constraint_1649_LHS" localSheetId="0" hidden="1">monday_model.lp!$EDG$1655</definedName>
    <definedName name="Constraint_1649_RHS" localSheetId="0" hidden="1">monday_model.lp!$EDI$1655</definedName>
    <definedName name="Constraint_1649_Sense" localSheetId="0" hidden="1">monday_model.lp!$EDH$1655</definedName>
    <definedName name="Constraint_165" localSheetId="0" hidden="1">monday_model.lp!$C$171:$EDE$171</definedName>
    <definedName name="Constraint_165_LHS" localSheetId="0" hidden="1">monday_model.lp!$EDG$171</definedName>
    <definedName name="Constraint_165_RHS" localSheetId="0" hidden="1">monday_model.lp!$EDI$171</definedName>
    <definedName name="Constraint_165_Sense" localSheetId="0" hidden="1">monday_model.lp!$EDH$171</definedName>
    <definedName name="Constraint_1650" localSheetId="0" hidden="1">monday_model.lp!$C$1656:$EDE$1656</definedName>
    <definedName name="Constraint_1650_LHS" localSheetId="0" hidden="1">monday_model.lp!$EDG$1656</definedName>
    <definedName name="Constraint_1650_RHS" localSheetId="0" hidden="1">monday_model.lp!$EDI$1656</definedName>
    <definedName name="Constraint_1650_Sense" localSheetId="0" hidden="1">monday_model.lp!$EDH$1656</definedName>
    <definedName name="Constraint_1651" localSheetId="0" hidden="1">monday_model.lp!$C$1657:$EDE$1657</definedName>
    <definedName name="Constraint_1651_LHS" localSheetId="0" hidden="1">monday_model.lp!$EDG$1657</definedName>
    <definedName name="Constraint_1651_RHS" localSheetId="0" hidden="1">monday_model.lp!$EDI$1657</definedName>
    <definedName name="Constraint_1651_Sense" localSheetId="0" hidden="1">monday_model.lp!$EDH$1657</definedName>
    <definedName name="Constraint_1652" localSheetId="0" hidden="1">monday_model.lp!$C$1658:$EDE$1658</definedName>
    <definedName name="Constraint_1652_LHS" localSheetId="0" hidden="1">monday_model.lp!$EDG$1658</definedName>
    <definedName name="Constraint_1652_RHS" localSheetId="0" hidden="1">monday_model.lp!$EDI$1658</definedName>
    <definedName name="Constraint_1652_Sense" localSheetId="0" hidden="1">monday_model.lp!$EDH$1658</definedName>
    <definedName name="Constraint_1653" localSheetId="0" hidden="1">monday_model.lp!$C$1659:$EDE$1659</definedName>
    <definedName name="Constraint_1653_LHS" localSheetId="0" hidden="1">monday_model.lp!$EDG$1659</definedName>
    <definedName name="Constraint_1653_RHS" localSheetId="0" hidden="1">monday_model.lp!$EDI$1659</definedName>
    <definedName name="Constraint_1653_Sense" localSheetId="0" hidden="1">monday_model.lp!$EDH$1659</definedName>
    <definedName name="Constraint_1654" localSheetId="0" hidden="1">monday_model.lp!$C$1660:$EDE$1660</definedName>
    <definedName name="Constraint_1654_LHS" localSheetId="0" hidden="1">monday_model.lp!$EDG$1660</definedName>
    <definedName name="Constraint_1654_RHS" localSheetId="0" hidden="1">monday_model.lp!$EDI$1660</definedName>
    <definedName name="Constraint_1654_Sense" localSheetId="0" hidden="1">monday_model.lp!$EDH$1660</definedName>
    <definedName name="Constraint_1655" localSheetId="0" hidden="1">monday_model.lp!$C$1661:$EDE$1661</definedName>
    <definedName name="Constraint_1655_LHS" localSheetId="0" hidden="1">monday_model.lp!$EDG$1661</definedName>
    <definedName name="Constraint_1655_RHS" localSheetId="0" hidden="1">monday_model.lp!$EDI$1661</definedName>
    <definedName name="Constraint_1655_Sense" localSheetId="0" hidden="1">monday_model.lp!$EDH$1661</definedName>
    <definedName name="Constraint_1656" localSheetId="0" hidden="1">monday_model.lp!$C$1662:$EDE$1662</definedName>
    <definedName name="Constraint_1656_LHS" localSheetId="0" hidden="1">monday_model.lp!$EDG$1662</definedName>
    <definedName name="Constraint_1656_RHS" localSheetId="0" hidden="1">monday_model.lp!$EDI$1662</definedName>
    <definedName name="Constraint_1656_Sense" localSheetId="0" hidden="1">monday_model.lp!$EDH$1662</definedName>
    <definedName name="Constraint_1657" localSheetId="0" hidden="1">monday_model.lp!$C$1663:$EDE$1663</definedName>
    <definedName name="Constraint_1657_LHS" localSheetId="0" hidden="1">monday_model.lp!$EDG$1663</definedName>
    <definedName name="Constraint_1657_RHS" localSheetId="0" hidden="1">monday_model.lp!$EDI$1663</definedName>
    <definedName name="Constraint_1657_Sense" localSheetId="0" hidden="1">monday_model.lp!$EDH$1663</definedName>
    <definedName name="Constraint_1658" localSheetId="0" hidden="1">monday_model.lp!$C$1664:$EDE$1664</definedName>
    <definedName name="Constraint_1658_LHS" localSheetId="0" hidden="1">monday_model.lp!$EDG$1664</definedName>
    <definedName name="Constraint_1658_RHS" localSheetId="0" hidden="1">monday_model.lp!$EDI$1664</definedName>
    <definedName name="Constraint_1658_Sense" localSheetId="0" hidden="1">monday_model.lp!$EDH$1664</definedName>
    <definedName name="Constraint_1659" localSheetId="0" hidden="1">monday_model.lp!$C$1665:$EDE$1665</definedName>
    <definedName name="Constraint_1659_LHS" localSheetId="0" hidden="1">monday_model.lp!$EDG$1665</definedName>
    <definedName name="Constraint_1659_RHS" localSheetId="0" hidden="1">monday_model.lp!$EDI$1665</definedName>
    <definedName name="Constraint_1659_Sense" localSheetId="0" hidden="1">monday_model.lp!$EDH$1665</definedName>
    <definedName name="Constraint_166" localSheetId="0" hidden="1">monday_model.lp!$C$172:$EDE$172</definedName>
    <definedName name="Constraint_166_LHS" localSheetId="0" hidden="1">monday_model.lp!$EDG$172</definedName>
    <definedName name="Constraint_166_RHS" localSheetId="0" hidden="1">monday_model.lp!$EDI$172</definedName>
    <definedName name="Constraint_166_Sense" localSheetId="0" hidden="1">monday_model.lp!$EDH$172</definedName>
    <definedName name="Constraint_1660" localSheetId="0" hidden="1">monday_model.lp!$C$1666:$EDE$1666</definedName>
    <definedName name="Constraint_1660_LHS" localSheetId="0" hidden="1">monday_model.lp!$EDG$1666</definedName>
    <definedName name="Constraint_1660_RHS" localSheetId="0" hidden="1">monday_model.lp!$EDI$1666</definedName>
    <definedName name="Constraint_1660_Sense" localSheetId="0" hidden="1">monday_model.lp!$EDH$1666</definedName>
    <definedName name="Constraint_1661" localSheetId="0" hidden="1">monday_model.lp!$C$1667:$EDE$1667</definedName>
    <definedName name="Constraint_1661_LHS" localSheetId="0" hidden="1">monday_model.lp!$EDG$1667</definedName>
    <definedName name="Constraint_1661_RHS" localSheetId="0" hidden="1">monday_model.lp!$EDI$1667</definedName>
    <definedName name="Constraint_1661_Sense" localSheetId="0" hidden="1">monday_model.lp!$EDH$1667</definedName>
    <definedName name="Constraint_1662" localSheetId="0" hidden="1">monday_model.lp!$C$1668:$EDE$1668</definedName>
    <definedName name="Constraint_1662_LHS" localSheetId="0" hidden="1">monday_model.lp!$EDG$1668</definedName>
    <definedName name="Constraint_1662_RHS" localSheetId="0" hidden="1">monday_model.lp!$EDI$1668</definedName>
    <definedName name="Constraint_1662_Sense" localSheetId="0" hidden="1">monday_model.lp!$EDH$1668</definedName>
    <definedName name="Constraint_1663" localSheetId="0" hidden="1">monday_model.lp!$C$1669:$EDE$1669</definedName>
    <definedName name="Constraint_1663_LHS" localSheetId="0" hidden="1">monday_model.lp!$EDG$1669</definedName>
    <definedName name="Constraint_1663_RHS" localSheetId="0" hidden="1">monday_model.lp!$EDI$1669</definedName>
    <definedName name="Constraint_1663_Sense" localSheetId="0" hidden="1">monday_model.lp!$EDH$1669</definedName>
    <definedName name="Constraint_1664" localSheetId="0" hidden="1">monday_model.lp!$C$1670:$EDE$1670</definedName>
    <definedName name="Constraint_1664_LHS" localSheetId="0" hidden="1">monday_model.lp!$EDG$1670</definedName>
    <definedName name="Constraint_1664_RHS" localSheetId="0" hidden="1">monday_model.lp!$EDI$1670</definedName>
    <definedName name="Constraint_1664_Sense" localSheetId="0" hidden="1">monday_model.lp!$EDH$1670</definedName>
    <definedName name="Constraint_1665" localSheetId="0" hidden="1">monday_model.lp!$C$1671:$EDE$1671</definedName>
    <definedName name="Constraint_1665_LHS" localSheetId="0" hidden="1">monday_model.lp!$EDG$1671</definedName>
    <definedName name="Constraint_1665_RHS" localSheetId="0" hidden="1">monday_model.lp!$EDI$1671</definedName>
    <definedName name="Constraint_1665_Sense" localSheetId="0" hidden="1">monday_model.lp!$EDH$1671</definedName>
    <definedName name="Constraint_1666" localSheetId="0" hidden="1">monday_model.lp!$C$1672:$EDE$1672</definedName>
    <definedName name="Constraint_1666_LHS" localSheetId="0" hidden="1">monday_model.lp!$EDG$1672</definedName>
    <definedName name="Constraint_1666_RHS" localSheetId="0" hidden="1">monday_model.lp!$EDI$1672</definedName>
    <definedName name="Constraint_1666_Sense" localSheetId="0" hidden="1">monday_model.lp!$EDH$1672</definedName>
    <definedName name="Constraint_1667" localSheetId="0" hidden="1">monday_model.lp!$C$1673:$EDE$1673</definedName>
    <definedName name="Constraint_1667_LHS" localSheetId="0" hidden="1">monday_model.lp!$EDG$1673</definedName>
    <definedName name="Constraint_1667_RHS" localSheetId="0" hidden="1">monday_model.lp!$EDI$1673</definedName>
    <definedName name="Constraint_1667_Sense" localSheetId="0" hidden="1">monday_model.lp!$EDH$1673</definedName>
    <definedName name="Constraint_1668" localSheetId="0" hidden="1">monday_model.lp!$C$1674:$EDE$1674</definedName>
    <definedName name="Constraint_1668_LHS" localSheetId="0" hidden="1">monday_model.lp!$EDG$1674</definedName>
    <definedName name="Constraint_1668_RHS" localSheetId="0" hidden="1">monday_model.lp!$EDI$1674</definedName>
    <definedName name="Constraint_1668_Sense" localSheetId="0" hidden="1">monday_model.lp!$EDH$1674</definedName>
    <definedName name="Constraint_1669" localSheetId="0" hidden="1">monday_model.lp!$C$1675:$EDE$1675</definedName>
    <definedName name="Constraint_1669_LHS" localSheetId="0" hidden="1">monday_model.lp!$EDG$1675</definedName>
    <definedName name="Constraint_1669_RHS" localSheetId="0" hidden="1">monday_model.lp!$EDI$1675</definedName>
    <definedName name="Constraint_1669_Sense" localSheetId="0" hidden="1">monday_model.lp!$EDH$1675</definedName>
    <definedName name="Constraint_167" localSheetId="0" hidden="1">monday_model.lp!$C$173:$EDE$173</definedName>
    <definedName name="Constraint_167_LHS" localSheetId="0" hidden="1">monday_model.lp!$EDG$173</definedName>
    <definedName name="Constraint_167_RHS" localSheetId="0" hidden="1">monday_model.lp!$EDI$173</definedName>
    <definedName name="Constraint_167_Sense" localSheetId="0" hidden="1">monday_model.lp!$EDH$173</definedName>
    <definedName name="Constraint_1670" localSheetId="0" hidden="1">monday_model.lp!$C$1676:$EDE$1676</definedName>
    <definedName name="Constraint_1670_LHS" localSheetId="0" hidden="1">monday_model.lp!$EDG$1676</definedName>
    <definedName name="Constraint_1670_RHS" localSheetId="0" hidden="1">monday_model.lp!$EDI$1676</definedName>
    <definedName name="Constraint_1670_Sense" localSheetId="0" hidden="1">monday_model.lp!$EDH$1676</definedName>
    <definedName name="Constraint_1671" localSheetId="0" hidden="1">monday_model.lp!$C$1677:$EDE$1677</definedName>
    <definedName name="Constraint_1671_LHS" localSheetId="0" hidden="1">monday_model.lp!$EDG$1677</definedName>
    <definedName name="Constraint_1671_RHS" localSheetId="0" hidden="1">monday_model.lp!$EDI$1677</definedName>
    <definedName name="Constraint_1671_Sense" localSheetId="0" hidden="1">monday_model.lp!$EDH$1677</definedName>
    <definedName name="Constraint_1672" localSheetId="0" hidden="1">monday_model.lp!$C$1678:$EDE$1678</definedName>
    <definedName name="Constraint_1672_LHS" localSheetId="0" hidden="1">monday_model.lp!$EDG$1678</definedName>
    <definedName name="Constraint_1672_RHS" localSheetId="0" hidden="1">monday_model.lp!$EDI$1678</definedName>
    <definedName name="Constraint_1672_Sense" localSheetId="0" hidden="1">monday_model.lp!$EDH$1678</definedName>
    <definedName name="Constraint_1673" localSheetId="0" hidden="1">monday_model.lp!$C$1679:$EDE$1679</definedName>
    <definedName name="Constraint_1673_LHS" localSheetId="0" hidden="1">monday_model.lp!$EDG$1679</definedName>
    <definedName name="Constraint_1673_RHS" localSheetId="0" hidden="1">monday_model.lp!$EDI$1679</definedName>
    <definedName name="Constraint_1673_Sense" localSheetId="0" hidden="1">monday_model.lp!$EDH$1679</definedName>
    <definedName name="Constraint_1674" localSheetId="0" hidden="1">monday_model.lp!$C$1680:$EDE$1680</definedName>
    <definedName name="Constraint_1674_LHS" localSheetId="0" hidden="1">monday_model.lp!$EDG$1680</definedName>
    <definedName name="Constraint_1674_RHS" localSheetId="0" hidden="1">monday_model.lp!$EDI$1680</definedName>
    <definedName name="Constraint_1674_Sense" localSheetId="0" hidden="1">monday_model.lp!$EDH$1680</definedName>
    <definedName name="Constraint_1675" localSheetId="0" hidden="1">monday_model.lp!$C$1681:$EDE$1681</definedName>
    <definedName name="Constraint_1675_LHS" localSheetId="0" hidden="1">monday_model.lp!$EDG$1681</definedName>
    <definedName name="Constraint_1675_RHS" localSheetId="0" hidden="1">monday_model.lp!$EDI$1681</definedName>
    <definedName name="Constraint_1675_Sense" localSheetId="0" hidden="1">monday_model.lp!$EDH$1681</definedName>
    <definedName name="Constraint_1676" localSheetId="0" hidden="1">monday_model.lp!$C$1682:$EDE$1682</definedName>
    <definedName name="Constraint_1676_LHS" localSheetId="0" hidden="1">monday_model.lp!$EDG$1682</definedName>
    <definedName name="Constraint_1676_RHS" localSheetId="0" hidden="1">monday_model.lp!$EDI$1682</definedName>
    <definedName name="Constraint_1676_Sense" localSheetId="0" hidden="1">monday_model.lp!$EDH$1682</definedName>
    <definedName name="Constraint_1677" localSheetId="0" hidden="1">monday_model.lp!$C$1683:$EDE$1683</definedName>
    <definedName name="Constraint_1677_LHS" localSheetId="0" hidden="1">monday_model.lp!$EDG$1683</definedName>
    <definedName name="Constraint_1677_RHS" localSheetId="0" hidden="1">monday_model.lp!$EDI$1683</definedName>
    <definedName name="Constraint_1677_Sense" localSheetId="0" hidden="1">monday_model.lp!$EDH$1683</definedName>
    <definedName name="Constraint_1678" localSheetId="0" hidden="1">monday_model.lp!$C$1684:$EDE$1684</definedName>
    <definedName name="Constraint_1678_LHS" localSheetId="0" hidden="1">monday_model.lp!$EDG$1684</definedName>
    <definedName name="Constraint_1678_RHS" localSheetId="0" hidden="1">monday_model.lp!$EDI$1684</definedName>
    <definedName name="Constraint_1678_Sense" localSheetId="0" hidden="1">monday_model.lp!$EDH$1684</definedName>
    <definedName name="Constraint_1679" localSheetId="0" hidden="1">monday_model.lp!$C$1685:$EDE$1685</definedName>
    <definedName name="Constraint_1679_LHS" localSheetId="0" hidden="1">monday_model.lp!$EDG$1685</definedName>
    <definedName name="Constraint_1679_RHS" localSheetId="0" hidden="1">monday_model.lp!$EDI$1685</definedName>
    <definedName name="Constraint_1679_Sense" localSheetId="0" hidden="1">monday_model.lp!$EDH$1685</definedName>
    <definedName name="Constraint_168" localSheetId="0" hidden="1">monday_model.lp!$C$174:$EDE$174</definedName>
    <definedName name="Constraint_168_LHS" localSheetId="0" hidden="1">monday_model.lp!$EDG$174</definedName>
    <definedName name="Constraint_168_RHS" localSheetId="0" hidden="1">monday_model.lp!$EDI$174</definedName>
    <definedName name="Constraint_168_Sense" localSheetId="0" hidden="1">monday_model.lp!$EDH$174</definedName>
    <definedName name="Constraint_1680" localSheetId="0" hidden="1">monday_model.lp!$C$1686:$EDE$1686</definedName>
    <definedName name="Constraint_1680_LHS" localSheetId="0" hidden="1">monday_model.lp!$EDG$1686</definedName>
    <definedName name="Constraint_1680_RHS" localSheetId="0" hidden="1">monday_model.lp!$EDI$1686</definedName>
    <definedName name="Constraint_1680_Sense" localSheetId="0" hidden="1">monday_model.lp!$EDH$1686</definedName>
    <definedName name="Constraint_1681" localSheetId="0" hidden="1">monday_model.lp!$C$1687:$EDE$1687</definedName>
    <definedName name="Constraint_1681_LHS" localSheetId="0" hidden="1">monday_model.lp!$EDG$1687</definedName>
    <definedName name="Constraint_1681_RHS" localSheetId="0" hidden="1">monday_model.lp!$EDI$1687</definedName>
    <definedName name="Constraint_1681_Sense" localSheetId="0" hidden="1">monday_model.lp!$EDH$1687</definedName>
    <definedName name="Constraint_1682" localSheetId="0" hidden="1">monday_model.lp!$C$1688:$EDE$1688</definedName>
    <definedName name="Constraint_1682_LHS" localSheetId="0" hidden="1">monday_model.lp!$EDG$1688</definedName>
    <definedName name="Constraint_1682_RHS" localSheetId="0" hidden="1">monday_model.lp!$EDI$1688</definedName>
    <definedName name="Constraint_1682_Sense" localSheetId="0" hidden="1">monday_model.lp!$EDH$1688</definedName>
    <definedName name="Constraint_1683" localSheetId="0" hidden="1">monday_model.lp!$C$1689:$EDE$1689</definedName>
    <definedName name="Constraint_1683_LHS" localSheetId="0" hidden="1">monday_model.lp!$EDG$1689</definedName>
    <definedName name="Constraint_1683_RHS" localSheetId="0" hidden="1">monday_model.lp!$EDI$1689</definedName>
    <definedName name="Constraint_1683_Sense" localSheetId="0" hidden="1">monday_model.lp!$EDH$1689</definedName>
    <definedName name="Constraint_1684" localSheetId="0" hidden="1">monday_model.lp!$C$1690:$EDE$1690</definedName>
    <definedName name="Constraint_1684_LHS" localSheetId="0" hidden="1">monday_model.lp!$EDG$1690</definedName>
    <definedName name="Constraint_1684_RHS" localSheetId="0" hidden="1">monday_model.lp!$EDI$1690</definedName>
    <definedName name="Constraint_1684_Sense" localSheetId="0" hidden="1">monday_model.lp!$EDH$1690</definedName>
    <definedName name="Constraint_1685" localSheetId="0" hidden="1">monday_model.lp!$C$1691:$EDE$1691</definedName>
    <definedName name="Constraint_1685_LHS" localSheetId="0" hidden="1">monday_model.lp!$EDG$1691</definedName>
    <definedName name="Constraint_1685_RHS" localSheetId="0" hidden="1">monday_model.lp!$EDI$1691</definedName>
    <definedName name="Constraint_1685_Sense" localSheetId="0" hidden="1">monday_model.lp!$EDH$1691</definedName>
    <definedName name="Constraint_1686" localSheetId="0" hidden="1">monday_model.lp!$C$1692:$EDE$1692</definedName>
    <definedName name="Constraint_1686_LHS" localSheetId="0" hidden="1">monday_model.lp!$EDG$1692</definedName>
    <definedName name="Constraint_1686_RHS" localSheetId="0" hidden="1">monday_model.lp!$EDI$1692</definedName>
    <definedName name="Constraint_1686_Sense" localSheetId="0" hidden="1">monday_model.lp!$EDH$1692</definedName>
    <definedName name="Constraint_1687" localSheetId="0" hidden="1">monday_model.lp!$C$1693:$EDE$1693</definedName>
    <definedName name="Constraint_1687_LHS" localSheetId="0" hidden="1">monday_model.lp!$EDG$1693</definedName>
    <definedName name="Constraint_1687_RHS" localSheetId="0" hidden="1">monday_model.lp!$EDI$1693</definedName>
    <definedName name="Constraint_1687_Sense" localSheetId="0" hidden="1">monday_model.lp!$EDH$1693</definedName>
    <definedName name="Constraint_1688" localSheetId="0" hidden="1">monday_model.lp!$C$1694:$EDE$1694</definedName>
    <definedName name="Constraint_1688_LHS" localSheetId="0" hidden="1">monday_model.lp!$EDG$1694</definedName>
    <definedName name="Constraint_1688_RHS" localSheetId="0" hidden="1">monday_model.lp!$EDI$1694</definedName>
    <definedName name="Constraint_1688_Sense" localSheetId="0" hidden="1">monday_model.lp!$EDH$1694</definedName>
    <definedName name="Constraint_1689" localSheetId="0" hidden="1">monday_model.lp!$C$1695:$EDE$1695</definedName>
    <definedName name="Constraint_1689_LHS" localSheetId="0" hidden="1">monday_model.lp!$EDG$1695</definedName>
    <definedName name="Constraint_1689_RHS" localSheetId="0" hidden="1">monday_model.lp!$EDI$1695</definedName>
    <definedName name="Constraint_1689_Sense" localSheetId="0" hidden="1">monday_model.lp!$EDH$1695</definedName>
    <definedName name="Constraint_169" localSheetId="0" hidden="1">monday_model.lp!$C$175:$EDE$175</definedName>
    <definedName name="Constraint_169_LHS" localSheetId="0" hidden="1">monday_model.lp!$EDG$175</definedName>
    <definedName name="Constraint_169_RHS" localSheetId="0" hidden="1">monday_model.lp!$EDI$175</definedName>
    <definedName name="Constraint_169_Sense" localSheetId="0" hidden="1">monday_model.lp!$EDH$175</definedName>
    <definedName name="Constraint_1690" localSheetId="0" hidden="1">monday_model.lp!$C$1696:$EDE$1696</definedName>
    <definedName name="Constraint_1690_LHS" localSheetId="0" hidden="1">monday_model.lp!$EDG$1696</definedName>
    <definedName name="Constraint_1690_RHS" localSheetId="0" hidden="1">monday_model.lp!$EDI$1696</definedName>
    <definedName name="Constraint_1690_Sense" localSheetId="0" hidden="1">monday_model.lp!$EDH$1696</definedName>
    <definedName name="Constraint_1691" localSheetId="0" hidden="1">monday_model.lp!$C$1697:$EDE$1697</definedName>
    <definedName name="Constraint_1691_LHS" localSheetId="0" hidden="1">monday_model.lp!$EDG$1697</definedName>
    <definedName name="Constraint_1691_RHS" localSheetId="0" hidden="1">monday_model.lp!$EDI$1697</definedName>
    <definedName name="Constraint_1691_Sense" localSheetId="0" hidden="1">monday_model.lp!$EDH$1697</definedName>
    <definedName name="Constraint_1692" localSheetId="0" hidden="1">monday_model.lp!$C$1698:$EDE$1698</definedName>
    <definedName name="Constraint_1692_LHS" localSheetId="0" hidden="1">monday_model.lp!$EDG$1698</definedName>
    <definedName name="Constraint_1692_RHS" localSheetId="0" hidden="1">monday_model.lp!$EDI$1698</definedName>
    <definedName name="Constraint_1692_Sense" localSheetId="0" hidden="1">monday_model.lp!$EDH$1698</definedName>
    <definedName name="Constraint_1693" localSheetId="0" hidden="1">monday_model.lp!$C$1699:$EDE$1699</definedName>
    <definedName name="Constraint_1693_LHS" localSheetId="0" hidden="1">monday_model.lp!$EDG$1699</definedName>
    <definedName name="Constraint_1693_RHS" localSheetId="0" hidden="1">monday_model.lp!$EDI$1699</definedName>
    <definedName name="Constraint_1693_Sense" localSheetId="0" hidden="1">monday_model.lp!$EDH$1699</definedName>
    <definedName name="Constraint_1694" localSheetId="0" hidden="1">monday_model.lp!$C$1700:$EDE$1700</definedName>
    <definedName name="Constraint_1694_LHS" localSheetId="0" hidden="1">monday_model.lp!$EDG$1700</definedName>
    <definedName name="Constraint_1694_RHS" localSheetId="0" hidden="1">monday_model.lp!$EDI$1700</definedName>
    <definedName name="Constraint_1694_Sense" localSheetId="0" hidden="1">monday_model.lp!$EDH$1700</definedName>
    <definedName name="Constraint_1695" localSheetId="0" hidden="1">monday_model.lp!$C$1701:$EDE$1701</definedName>
    <definedName name="Constraint_1695_LHS" localSheetId="0" hidden="1">monday_model.lp!$EDG$1701</definedName>
    <definedName name="Constraint_1695_RHS" localSheetId="0" hidden="1">monday_model.lp!$EDI$1701</definedName>
    <definedName name="Constraint_1695_Sense" localSheetId="0" hidden="1">monday_model.lp!$EDH$1701</definedName>
    <definedName name="Constraint_1696" localSheetId="0" hidden="1">monday_model.lp!$C$1702:$EDE$1702</definedName>
    <definedName name="Constraint_1696_LHS" localSheetId="0" hidden="1">monday_model.lp!$EDG$1702</definedName>
    <definedName name="Constraint_1696_RHS" localSheetId="0" hidden="1">monday_model.lp!$EDI$1702</definedName>
    <definedName name="Constraint_1696_Sense" localSheetId="0" hidden="1">monday_model.lp!$EDH$1702</definedName>
    <definedName name="Constraint_1697" localSheetId="0" hidden="1">monday_model.lp!$C$1703:$EDE$1703</definedName>
    <definedName name="Constraint_1697_LHS" localSheetId="0" hidden="1">monday_model.lp!$EDG$1703</definedName>
    <definedName name="Constraint_1697_RHS" localSheetId="0" hidden="1">monday_model.lp!$EDI$1703</definedName>
    <definedName name="Constraint_1697_Sense" localSheetId="0" hidden="1">monday_model.lp!$EDH$1703</definedName>
    <definedName name="Constraint_1698" localSheetId="0" hidden="1">monday_model.lp!$C$1704:$EDE$1704</definedName>
    <definedName name="Constraint_1698_LHS" localSheetId="0" hidden="1">monday_model.lp!$EDG$1704</definedName>
    <definedName name="Constraint_1698_RHS" localSheetId="0" hidden="1">monday_model.lp!$EDI$1704</definedName>
    <definedName name="Constraint_1698_Sense" localSheetId="0" hidden="1">monday_model.lp!$EDH$1704</definedName>
    <definedName name="Constraint_1699" localSheetId="0" hidden="1">monday_model.lp!$C$1705:$EDE$1705</definedName>
    <definedName name="Constraint_1699_LHS" localSheetId="0" hidden="1">monday_model.lp!$EDG$1705</definedName>
    <definedName name="Constraint_1699_RHS" localSheetId="0" hidden="1">monday_model.lp!$EDI$1705</definedName>
    <definedName name="Constraint_1699_Sense" localSheetId="0" hidden="1">monday_model.lp!$EDH$1705</definedName>
    <definedName name="Constraint_17" localSheetId="0" hidden="1">monday_model.lp!$C$23:$EDE$23</definedName>
    <definedName name="Constraint_17_LHS" localSheetId="0" hidden="1">monday_model.lp!$EDG$23</definedName>
    <definedName name="Constraint_17_RHS" localSheetId="0" hidden="1">monday_model.lp!$EDI$23</definedName>
    <definedName name="Constraint_17_Sense" localSheetId="0" hidden="1">monday_model.lp!$EDH$23</definedName>
    <definedName name="Constraint_170" localSheetId="0" hidden="1">monday_model.lp!$C$176:$EDE$176</definedName>
    <definedName name="Constraint_170_LHS" localSheetId="0" hidden="1">monday_model.lp!$EDG$176</definedName>
    <definedName name="Constraint_170_RHS" localSheetId="0" hidden="1">monday_model.lp!$EDI$176</definedName>
    <definedName name="Constraint_170_Sense" localSheetId="0" hidden="1">monday_model.lp!$EDH$176</definedName>
    <definedName name="Constraint_1700" localSheetId="0" hidden="1">monday_model.lp!$C$1706:$EDE$1706</definedName>
    <definedName name="Constraint_1700_LHS" localSheetId="0" hidden="1">monday_model.lp!$EDG$1706</definedName>
    <definedName name="Constraint_1700_RHS" localSheetId="0" hidden="1">monday_model.lp!$EDI$1706</definedName>
    <definedName name="Constraint_1700_Sense" localSheetId="0" hidden="1">monday_model.lp!$EDH$1706</definedName>
    <definedName name="Constraint_1701" localSheetId="0" hidden="1">monday_model.lp!$C$1707:$EDE$1707</definedName>
    <definedName name="Constraint_1701_LHS" localSheetId="0" hidden="1">monday_model.lp!$EDG$1707</definedName>
    <definedName name="Constraint_1701_RHS" localSheetId="0" hidden="1">monday_model.lp!$EDI$1707</definedName>
    <definedName name="Constraint_1701_Sense" localSheetId="0" hidden="1">monday_model.lp!$EDH$1707</definedName>
    <definedName name="Constraint_1702" localSheetId="0" hidden="1">monday_model.lp!$C$1708:$EDE$1708</definedName>
    <definedName name="Constraint_1702_LHS" localSheetId="0" hidden="1">monday_model.lp!$EDG$1708</definedName>
    <definedName name="Constraint_1702_RHS" localSheetId="0" hidden="1">monday_model.lp!$EDI$1708</definedName>
    <definedName name="Constraint_1702_Sense" localSheetId="0" hidden="1">monday_model.lp!$EDH$1708</definedName>
    <definedName name="Constraint_1703" localSheetId="0" hidden="1">monday_model.lp!$C$1709:$EDE$1709</definedName>
    <definedName name="Constraint_1703_LHS" localSheetId="0" hidden="1">monday_model.lp!$EDG$1709</definedName>
    <definedName name="Constraint_1703_RHS" localSheetId="0" hidden="1">monday_model.lp!$EDI$1709</definedName>
    <definedName name="Constraint_1703_Sense" localSheetId="0" hidden="1">monday_model.lp!$EDH$1709</definedName>
    <definedName name="Constraint_1704" localSheetId="0" hidden="1">monday_model.lp!$C$1710:$EDE$1710</definedName>
    <definedName name="Constraint_1704_LHS" localSheetId="0" hidden="1">monday_model.lp!$EDG$1710</definedName>
    <definedName name="Constraint_1704_RHS" localSheetId="0" hidden="1">monday_model.lp!$EDI$1710</definedName>
    <definedName name="Constraint_1704_Sense" localSheetId="0" hidden="1">monday_model.lp!$EDH$1710</definedName>
    <definedName name="Constraint_1705" localSheetId="0" hidden="1">monday_model.lp!$C$1711:$EDE$1711</definedName>
    <definedName name="Constraint_1705_LHS" localSheetId="0" hidden="1">monday_model.lp!$EDG$1711</definedName>
    <definedName name="Constraint_1705_RHS" localSheetId="0" hidden="1">monday_model.lp!$EDI$1711</definedName>
    <definedName name="Constraint_1705_Sense" localSheetId="0" hidden="1">monday_model.lp!$EDH$1711</definedName>
    <definedName name="Constraint_1706" localSheetId="0" hidden="1">monday_model.lp!$C$1712:$EDE$1712</definedName>
    <definedName name="Constraint_1706_LHS" localSheetId="0" hidden="1">monday_model.lp!$EDG$1712</definedName>
    <definedName name="Constraint_1706_RHS" localSheetId="0" hidden="1">monday_model.lp!$EDI$1712</definedName>
    <definedName name="Constraint_1706_Sense" localSheetId="0" hidden="1">monday_model.lp!$EDH$1712</definedName>
    <definedName name="Constraint_1707" localSheetId="0" hidden="1">monday_model.lp!$C$1713:$EDE$1713</definedName>
    <definedName name="Constraint_1707_LHS" localSheetId="0" hidden="1">monday_model.lp!$EDG$1713</definedName>
    <definedName name="Constraint_1707_RHS" localSheetId="0" hidden="1">monday_model.lp!$EDI$1713</definedName>
    <definedName name="Constraint_1707_Sense" localSheetId="0" hidden="1">monday_model.lp!$EDH$1713</definedName>
    <definedName name="Constraint_1708" localSheetId="0" hidden="1">monday_model.lp!$C$1714:$EDE$1714</definedName>
    <definedName name="Constraint_1708_LHS" localSheetId="0" hidden="1">monday_model.lp!$EDG$1714</definedName>
    <definedName name="Constraint_1708_RHS" localSheetId="0" hidden="1">monday_model.lp!$EDI$1714</definedName>
    <definedName name="Constraint_1708_Sense" localSheetId="0" hidden="1">monday_model.lp!$EDH$1714</definedName>
    <definedName name="Constraint_1709" localSheetId="0" hidden="1">monday_model.lp!$C$1715:$EDE$1715</definedName>
    <definedName name="Constraint_1709_LHS" localSheetId="0" hidden="1">monday_model.lp!$EDG$1715</definedName>
    <definedName name="Constraint_1709_RHS" localSheetId="0" hidden="1">monday_model.lp!$EDI$1715</definedName>
    <definedName name="Constraint_1709_Sense" localSheetId="0" hidden="1">monday_model.lp!$EDH$1715</definedName>
    <definedName name="Constraint_171" localSheetId="0" hidden="1">monday_model.lp!$C$177:$EDE$177</definedName>
    <definedName name="Constraint_171_LHS" localSheetId="0" hidden="1">monday_model.lp!$EDG$177</definedName>
    <definedName name="Constraint_171_RHS" localSheetId="0" hidden="1">monday_model.lp!$EDI$177</definedName>
    <definedName name="Constraint_171_Sense" localSheetId="0" hidden="1">monday_model.lp!$EDH$177</definedName>
    <definedName name="Constraint_1710" localSheetId="0" hidden="1">monday_model.lp!$C$1716:$EDE$1716</definedName>
    <definedName name="Constraint_1710_LHS" localSheetId="0" hidden="1">monday_model.lp!$EDG$1716</definedName>
    <definedName name="Constraint_1710_RHS" localSheetId="0" hidden="1">monday_model.lp!$EDI$1716</definedName>
    <definedName name="Constraint_1710_Sense" localSheetId="0" hidden="1">monday_model.lp!$EDH$1716</definedName>
    <definedName name="Constraint_1711" localSheetId="0" hidden="1">monday_model.lp!$C$1717:$EDE$1717</definedName>
    <definedName name="Constraint_1711_LHS" localSheetId="0" hidden="1">monday_model.lp!$EDG$1717</definedName>
    <definedName name="Constraint_1711_RHS" localSheetId="0" hidden="1">monday_model.lp!$EDI$1717</definedName>
    <definedName name="Constraint_1711_Sense" localSheetId="0" hidden="1">monday_model.lp!$EDH$1717</definedName>
    <definedName name="Constraint_1712" localSheetId="0" hidden="1">monday_model.lp!$C$1718:$EDE$1718</definedName>
    <definedName name="Constraint_1712_LHS" localSheetId="0" hidden="1">monday_model.lp!$EDG$1718</definedName>
    <definedName name="Constraint_1712_RHS" localSheetId="0" hidden="1">monday_model.lp!$EDI$1718</definedName>
    <definedName name="Constraint_1712_Sense" localSheetId="0" hidden="1">monday_model.lp!$EDH$1718</definedName>
    <definedName name="Constraint_1713" localSheetId="0" hidden="1">monday_model.lp!$C$1719:$EDE$1719</definedName>
    <definedName name="Constraint_1713_LHS" localSheetId="0" hidden="1">monday_model.lp!$EDG$1719</definedName>
    <definedName name="Constraint_1713_RHS" localSheetId="0" hidden="1">monday_model.lp!$EDI$1719</definedName>
    <definedName name="Constraint_1713_Sense" localSheetId="0" hidden="1">monday_model.lp!$EDH$1719</definedName>
    <definedName name="Constraint_1714" localSheetId="0" hidden="1">monday_model.lp!$C$1720:$EDE$1720</definedName>
    <definedName name="Constraint_1714_LHS" localSheetId="0" hidden="1">monday_model.lp!$EDG$1720</definedName>
    <definedName name="Constraint_1714_RHS" localSheetId="0" hidden="1">monday_model.lp!$EDI$1720</definedName>
    <definedName name="Constraint_1714_Sense" localSheetId="0" hidden="1">monday_model.lp!$EDH$1720</definedName>
    <definedName name="Constraint_1715" localSheetId="0" hidden="1">monday_model.lp!$C$1721:$EDE$1721</definedName>
    <definedName name="Constraint_1715_LHS" localSheetId="0" hidden="1">monday_model.lp!$EDG$1721</definedName>
    <definedName name="Constraint_1715_RHS" localSheetId="0" hidden="1">monday_model.lp!$EDI$1721</definedName>
    <definedName name="Constraint_1715_Sense" localSheetId="0" hidden="1">monday_model.lp!$EDH$1721</definedName>
    <definedName name="Constraint_1716" localSheetId="0" hidden="1">monday_model.lp!$C$1722:$EDE$1722</definedName>
    <definedName name="Constraint_1716_LHS" localSheetId="0" hidden="1">monday_model.lp!$EDG$1722</definedName>
    <definedName name="Constraint_1716_RHS" localSheetId="0" hidden="1">monday_model.lp!$EDI$1722</definedName>
    <definedName name="Constraint_1716_Sense" localSheetId="0" hidden="1">monday_model.lp!$EDH$1722</definedName>
    <definedName name="Constraint_1717" localSheetId="0" hidden="1">monday_model.lp!$C$1723:$EDE$1723</definedName>
    <definedName name="Constraint_1717_LHS" localSheetId="0" hidden="1">monday_model.lp!$EDG$1723</definedName>
    <definedName name="Constraint_1717_RHS" localSheetId="0" hidden="1">monday_model.lp!$EDI$1723</definedName>
    <definedName name="Constraint_1717_Sense" localSheetId="0" hidden="1">monday_model.lp!$EDH$1723</definedName>
    <definedName name="Constraint_1718" localSheetId="0" hidden="1">monday_model.lp!$C$1724:$EDE$1724</definedName>
    <definedName name="Constraint_1718_LHS" localSheetId="0" hidden="1">monday_model.lp!$EDG$1724</definedName>
    <definedName name="Constraint_1718_RHS" localSheetId="0" hidden="1">monday_model.lp!$EDI$1724</definedName>
    <definedName name="Constraint_1718_Sense" localSheetId="0" hidden="1">monday_model.lp!$EDH$1724</definedName>
    <definedName name="Constraint_1719" localSheetId="0" hidden="1">monday_model.lp!$C$1725:$EDE$1725</definedName>
    <definedName name="Constraint_1719_LHS" localSheetId="0" hidden="1">monday_model.lp!$EDG$1725</definedName>
    <definedName name="Constraint_1719_RHS" localSheetId="0" hidden="1">monday_model.lp!$EDI$1725</definedName>
    <definedName name="Constraint_1719_Sense" localSheetId="0" hidden="1">monday_model.lp!$EDH$1725</definedName>
    <definedName name="Constraint_172" localSheetId="0" hidden="1">monday_model.lp!$C$178:$EDE$178</definedName>
    <definedName name="Constraint_172_LHS" localSheetId="0" hidden="1">monday_model.lp!$EDG$178</definedName>
    <definedName name="Constraint_172_RHS" localSheetId="0" hidden="1">monday_model.lp!$EDI$178</definedName>
    <definedName name="Constraint_172_Sense" localSheetId="0" hidden="1">monday_model.lp!$EDH$178</definedName>
    <definedName name="Constraint_1720" localSheetId="0" hidden="1">monday_model.lp!$C$1726:$EDE$1726</definedName>
    <definedName name="Constraint_1720_LHS" localSheetId="0" hidden="1">monday_model.lp!$EDG$1726</definedName>
    <definedName name="Constraint_1720_RHS" localSheetId="0" hidden="1">monday_model.lp!$EDI$1726</definedName>
    <definedName name="Constraint_1720_Sense" localSheetId="0" hidden="1">monday_model.lp!$EDH$1726</definedName>
    <definedName name="Constraint_1721" localSheetId="0" hidden="1">monday_model.lp!$C$1727:$EDE$1727</definedName>
    <definedName name="Constraint_1721_LHS" localSheetId="0" hidden="1">monday_model.lp!$EDG$1727</definedName>
    <definedName name="Constraint_1721_RHS" localSheetId="0" hidden="1">monday_model.lp!$EDI$1727</definedName>
    <definedName name="Constraint_1721_Sense" localSheetId="0" hidden="1">monday_model.lp!$EDH$1727</definedName>
    <definedName name="Constraint_1722" localSheetId="0" hidden="1">monday_model.lp!$C$1728:$EDE$1728</definedName>
    <definedName name="Constraint_1722_LHS" localSheetId="0" hidden="1">monday_model.lp!$EDG$1728</definedName>
    <definedName name="Constraint_1722_RHS" localSheetId="0" hidden="1">monday_model.lp!$EDI$1728</definedName>
    <definedName name="Constraint_1722_Sense" localSheetId="0" hidden="1">monday_model.lp!$EDH$1728</definedName>
    <definedName name="Constraint_1723" localSheetId="0" hidden="1">monday_model.lp!$C$1729:$EDE$1729</definedName>
    <definedName name="Constraint_1723_LHS" localSheetId="0" hidden="1">monday_model.lp!$EDG$1729</definedName>
    <definedName name="Constraint_1723_RHS" localSheetId="0" hidden="1">monday_model.lp!$EDI$1729</definedName>
    <definedName name="Constraint_1723_Sense" localSheetId="0" hidden="1">monday_model.lp!$EDH$1729</definedName>
    <definedName name="Constraint_1724" localSheetId="0" hidden="1">monday_model.lp!$C$1730:$EDE$1730</definedName>
    <definedName name="Constraint_1724_LHS" localSheetId="0" hidden="1">monday_model.lp!$EDG$1730</definedName>
    <definedName name="Constraint_1724_RHS" localSheetId="0" hidden="1">monday_model.lp!$EDI$1730</definedName>
    <definedName name="Constraint_1724_Sense" localSheetId="0" hidden="1">monday_model.lp!$EDH$1730</definedName>
    <definedName name="Constraint_1725" localSheetId="0" hidden="1">monday_model.lp!$C$1731:$EDE$1731</definedName>
    <definedName name="Constraint_1725_LHS" localSheetId="0" hidden="1">monday_model.lp!$EDG$1731</definedName>
    <definedName name="Constraint_1725_RHS" localSheetId="0" hidden="1">monday_model.lp!$EDI$1731</definedName>
    <definedName name="Constraint_1725_Sense" localSheetId="0" hidden="1">monday_model.lp!$EDH$1731</definedName>
    <definedName name="Constraint_1726" localSheetId="0" hidden="1">monday_model.lp!$C$1732:$EDE$1732</definedName>
    <definedName name="Constraint_1726_LHS" localSheetId="0" hidden="1">monday_model.lp!$EDG$1732</definedName>
    <definedName name="Constraint_1726_RHS" localSheetId="0" hidden="1">monday_model.lp!$EDI$1732</definedName>
    <definedName name="Constraint_1726_Sense" localSheetId="0" hidden="1">monday_model.lp!$EDH$1732</definedName>
    <definedName name="Constraint_1727" localSheetId="0" hidden="1">monday_model.lp!$C$1733:$EDE$1733</definedName>
    <definedName name="Constraint_1727_LHS" localSheetId="0" hidden="1">monday_model.lp!$EDG$1733</definedName>
    <definedName name="Constraint_1727_RHS" localSheetId="0" hidden="1">monday_model.lp!$EDI$1733</definedName>
    <definedName name="Constraint_1727_Sense" localSheetId="0" hidden="1">monday_model.lp!$EDH$1733</definedName>
    <definedName name="Constraint_1728" localSheetId="0" hidden="1">monday_model.lp!$C$1734:$EDE$1734</definedName>
    <definedName name="Constraint_1728_LHS" localSheetId="0" hidden="1">monday_model.lp!$EDG$1734</definedName>
    <definedName name="Constraint_1728_RHS" localSheetId="0" hidden="1">monday_model.lp!$EDI$1734</definedName>
    <definedName name="Constraint_1728_Sense" localSheetId="0" hidden="1">monday_model.lp!$EDH$1734</definedName>
    <definedName name="Constraint_1729" localSheetId="0" hidden="1">monday_model.lp!$C$1735:$EDE$1735</definedName>
    <definedName name="Constraint_1729_LHS" localSheetId="0" hidden="1">monday_model.lp!$EDG$1735</definedName>
    <definedName name="Constraint_1729_RHS" localSheetId="0" hidden="1">monday_model.lp!$EDI$1735</definedName>
    <definedName name="Constraint_1729_Sense" localSheetId="0" hidden="1">monday_model.lp!$EDH$1735</definedName>
    <definedName name="Constraint_173" localSheetId="0" hidden="1">monday_model.lp!$C$179:$EDE$179</definedName>
    <definedName name="Constraint_173_LHS" localSheetId="0" hidden="1">monday_model.lp!$EDG$179</definedName>
    <definedName name="Constraint_173_RHS" localSheetId="0" hidden="1">monday_model.lp!$EDI$179</definedName>
    <definedName name="Constraint_173_Sense" localSheetId="0" hidden="1">monday_model.lp!$EDH$179</definedName>
    <definedName name="Constraint_1730" localSheetId="0" hidden="1">monday_model.lp!$C$1736:$EDE$1736</definedName>
    <definedName name="Constraint_1730_LHS" localSheetId="0" hidden="1">monday_model.lp!$EDG$1736</definedName>
    <definedName name="Constraint_1730_RHS" localSheetId="0" hidden="1">monday_model.lp!$EDI$1736</definedName>
    <definedName name="Constraint_1730_Sense" localSheetId="0" hidden="1">monday_model.lp!$EDH$1736</definedName>
    <definedName name="Constraint_1731" localSheetId="0" hidden="1">monday_model.lp!$C$1737:$EDE$1737</definedName>
    <definedName name="Constraint_1731_LHS" localSheetId="0" hidden="1">monday_model.lp!$EDG$1737</definedName>
    <definedName name="Constraint_1731_RHS" localSheetId="0" hidden="1">monday_model.lp!$EDI$1737</definedName>
    <definedName name="Constraint_1731_Sense" localSheetId="0" hidden="1">monday_model.lp!$EDH$1737</definedName>
    <definedName name="Constraint_1732" localSheetId="0" hidden="1">monday_model.lp!$C$1738:$EDE$1738</definedName>
    <definedName name="Constraint_1732_LHS" localSheetId="0" hidden="1">monday_model.lp!$EDG$1738</definedName>
    <definedName name="Constraint_1732_RHS" localSheetId="0" hidden="1">monday_model.lp!$EDI$1738</definedName>
    <definedName name="Constraint_1732_Sense" localSheetId="0" hidden="1">monday_model.lp!$EDH$1738</definedName>
    <definedName name="Constraint_1733" localSheetId="0" hidden="1">monday_model.lp!$C$1739:$EDE$1739</definedName>
    <definedName name="Constraint_1733_LHS" localSheetId="0" hidden="1">monday_model.lp!$EDG$1739</definedName>
    <definedName name="Constraint_1733_RHS" localSheetId="0" hidden="1">monday_model.lp!$EDI$1739</definedName>
    <definedName name="Constraint_1733_Sense" localSheetId="0" hidden="1">monday_model.lp!$EDH$1739</definedName>
    <definedName name="Constraint_1734" localSheetId="0" hidden="1">monday_model.lp!$C$1740:$EDE$1740</definedName>
    <definedName name="Constraint_1734_LHS" localSheetId="0" hidden="1">monday_model.lp!$EDG$1740</definedName>
    <definedName name="Constraint_1734_RHS" localSheetId="0" hidden="1">monday_model.lp!$EDI$1740</definedName>
    <definedName name="Constraint_1734_Sense" localSheetId="0" hidden="1">monday_model.lp!$EDH$1740</definedName>
    <definedName name="Constraint_1735" localSheetId="0" hidden="1">monday_model.lp!$C$1741:$EDE$1741</definedName>
    <definedName name="Constraint_1735_LHS" localSheetId="0" hidden="1">monday_model.lp!$EDG$1741</definedName>
    <definedName name="Constraint_1735_RHS" localSheetId="0" hidden="1">monday_model.lp!$EDI$1741</definedName>
    <definedName name="Constraint_1735_Sense" localSheetId="0" hidden="1">monday_model.lp!$EDH$1741</definedName>
    <definedName name="Constraint_1736" localSheetId="0" hidden="1">monday_model.lp!$C$1742:$EDE$1742</definedName>
    <definedName name="Constraint_1736_LHS" localSheetId="0" hidden="1">monday_model.lp!$EDG$1742</definedName>
    <definedName name="Constraint_1736_RHS" localSheetId="0" hidden="1">monday_model.lp!$EDI$1742</definedName>
    <definedName name="Constraint_1736_Sense" localSheetId="0" hidden="1">monday_model.lp!$EDH$1742</definedName>
    <definedName name="Constraint_1737" localSheetId="0" hidden="1">monday_model.lp!$C$1743:$EDE$1743</definedName>
    <definedName name="Constraint_1737_LHS" localSheetId="0" hidden="1">monday_model.lp!$EDG$1743</definedName>
    <definedName name="Constraint_1737_RHS" localSheetId="0" hidden="1">monday_model.lp!$EDI$1743</definedName>
    <definedName name="Constraint_1737_Sense" localSheetId="0" hidden="1">monday_model.lp!$EDH$1743</definedName>
    <definedName name="Constraint_1738" localSheetId="0" hidden="1">monday_model.lp!$C$1744:$EDE$1744</definedName>
    <definedName name="Constraint_1738_LHS" localSheetId="0" hidden="1">monday_model.lp!$EDG$1744</definedName>
    <definedName name="Constraint_1738_RHS" localSheetId="0" hidden="1">monday_model.lp!$EDI$1744</definedName>
    <definedName name="Constraint_1738_Sense" localSheetId="0" hidden="1">monday_model.lp!$EDH$1744</definedName>
    <definedName name="Constraint_1739" localSheetId="0" hidden="1">monday_model.lp!$C$1745:$EDE$1745</definedName>
    <definedName name="Constraint_1739_LHS" localSheetId="0" hidden="1">monday_model.lp!$EDG$1745</definedName>
    <definedName name="Constraint_1739_RHS" localSheetId="0" hidden="1">monday_model.lp!$EDI$1745</definedName>
    <definedName name="Constraint_1739_Sense" localSheetId="0" hidden="1">monday_model.lp!$EDH$1745</definedName>
    <definedName name="Constraint_174" localSheetId="0" hidden="1">monday_model.lp!$C$180:$EDE$180</definedName>
    <definedName name="Constraint_174_LHS" localSheetId="0" hidden="1">monday_model.lp!$EDG$180</definedName>
    <definedName name="Constraint_174_RHS" localSheetId="0" hidden="1">monday_model.lp!$EDI$180</definedName>
    <definedName name="Constraint_174_Sense" localSheetId="0" hidden="1">monday_model.lp!$EDH$180</definedName>
    <definedName name="Constraint_1740" localSheetId="0" hidden="1">monday_model.lp!$C$1746:$EDE$1746</definedName>
    <definedName name="Constraint_1740_LHS" localSheetId="0" hidden="1">monday_model.lp!$EDG$1746</definedName>
    <definedName name="Constraint_1740_RHS" localSheetId="0" hidden="1">monday_model.lp!$EDI$1746</definedName>
    <definedName name="Constraint_1740_Sense" localSheetId="0" hidden="1">monday_model.lp!$EDH$1746</definedName>
    <definedName name="Constraint_1741" localSheetId="0" hidden="1">monday_model.lp!$C$1747:$EDE$1747</definedName>
    <definedName name="Constraint_1741_LHS" localSheetId="0" hidden="1">monday_model.lp!$EDG$1747</definedName>
    <definedName name="Constraint_1741_RHS" localSheetId="0" hidden="1">monday_model.lp!$EDI$1747</definedName>
    <definedName name="Constraint_1741_Sense" localSheetId="0" hidden="1">monday_model.lp!$EDH$1747</definedName>
    <definedName name="Constraint_1742" localSheetId="0" hidden="1">monday_model.lp!$C$1748:$EDE$1748</definedName>
    <definedName name="Constraint_1742_LHS" localSheetId="0" hidden="1">monday_model.lp!$EDG$1748</definedName>
    <definedName name="Constraint_1742_RHS" localSheetId="0" hidden="1">monday_model.lp!$EDI$1748</definedName>
    <definedName name="Constraint_1742_Sense" localSheetId="0" hidden="1">monday_model.lp!$EDH$1748</definedName>
    <definedName name="Constraint_1743" localSheetId="0" hidden="1">monday_model.lp!$C$1749:$EDE$1749</definedName>
    <definedName name="Constraint_1743_LHS" localSheetId="0" hidden="1">monday_model.lp!$EDG$1749</definedName>
    <definedName name="Constraint_1743_RHS" localSheetId="0" hidden="1">monday_model.lp!$EDI$1749</definedName>
    <definedName name="Constraint_1743_Sense" localSheetId="0" hidden="1">monday_model.lp!$EDH$1749</definedName>
    <definedName name="Constraint_1744" localSheetId="0" hidden="1">monday_model.lp!$C$1750:$EDE$1750</definedName>
    <definedName name="Constraint_1744_LHS" localSheetId="0" hidden="1">monday_model.lp!$EDG$1750</definedName>
    <definedName name="Constraint_1744_RHS" localSheetId="0" hidden="1">monday_model.lp!$EDI$1750</definedName>
    <definedName name="Constraint_1744_Sense" localSheetId="0" hidden="1">monday_model.lp!$EDH$1750</definedName>
    <definedName name="Constraint_1745" localSheetId="0" hidden="1">monday_model.lp!$C$1751:$EDE$1751</definedName>
    <definedName name="Constraint_1745_LHS" localSheetId="0" hidden="1">monday_model.lp!$EDG$1751</definedName>
    <definedName name="Constraint_1745_RHS" localSheetId="0" hidden="1">monday_model.lp!$EDI$1751</definedName>
    <definedName name="Constraint_1745_Sense" localSheetId="0" hidden="1">monday_model.lp!$EDH$1751</definedName>
    <definedName name="Constraint_1746" localSheetId="0" hidden="1">monday_model.lp!$C$1752:$EDE$1752</definedName>
    <definedName name="Constraint_1746_LHS" localSheetId="0" hidden="1">monday_model.lp!$EDG$1752</definedName>
    <definedName name="Constraint_1746_RHS" localSheetId="0" hidden="1">monday_model.lp!$EDI$1752</definedName>
    <definedName name="Constraint_1746_Sense" localSheetId="0" hidden="1">monday_model.lp!$EDH$1752</definedName>
    <definedName name="Constraint_1747" localSheetId="0" hidden="1">monday_model.lp!$C$1753:$EDE$1753</definedName>
    <definedName name="Constraint_1747_LHS" localSheetId="0" hidden="1">monday_model.lp!$EDG$1753</definedName>
    <definedName name="Constraint_1747_RHS" localSheetId="0" hidden="1">monday_model.lp!$EDI$1753</definedName>
    <definedName name="Constraint_1747_Sense" localSheetId="0" hidden="1">monday_model.lp!$EDH$1753</definedName>
    <definedName name="Constraint_1748" localSheetId="0" hidden="1">monday_model.lp!$C$1754:$EDE$1754</definedName>
    <definedName name="Constraint_1748_LHS" localSheetId="0" hidden="1">monday_model.lp!$EDG$1754</definedName>
    <definedName name="Constraint_1748_RHS" localSheetId="0" hidden="1">monday_model.lp!$EDI$1754</definedName>
    <definedName name="Constraint_1748_Sense" localSheetId="0" hidden="1">monday_model.lp!$EDH$1754</definedName>
    <definedName name="Constraint_1749" localSheetId="0" hidden="1">monday_model.lp!$C$1755:$EDE$1755</definedName>
    <definedName name="Constraint_1749_LHS" localSheetId="0" hidden="1">monday_model.lp!$EDG$1755</definedName>
    <definedName name="Constraint_1749_RHS" localSheetId="0" hidden="1">monday_model.lp!$EDI$1755</definedName>
    <definedName name="Constraint_1749_Sense" localSheetId="0" hidden="1">monday_model.lp!$EDH$1755</definedName>
    <definedName name="Constraint_175" localSheetId="0" hidden="1">monday_model.lp!$C$181:$EDE$181</definedName>
    <definedName name="Constraint_175_LHS" localSheetId="0" hidden="1">monday_model.lp!$EDG$181</definedName>
    <definedName name="Constraint_175_RHS" localSheetId="0" hidden="1">monday_model.lp!$EDI$181</definedName>
    <definedName name="Constraint_175_Sense" localSheetId="0" hidden="1">monday_model.lp!$EDH$181</definedName>
    <definedName name="Constraint_1750" localSheetId="0" hidden="1">monday_model.lp!$C$1756:$EDE$1756</definedName>
    <definedName name="Constraint_1750_LHS" localSheetId="0" hidden="1">monday_model.lp!$EDG$1756</definedName>
    <definedName name="Constraint_1750_RHS" localSheetId="0" hidden="1">monday_model.lp!$EDI$1756</definedName>
    <definedName name="Constraint_1750_Sense" localSheetId="0" hidden="1">monday_model.lp!$EDH$1756</definedName>
    <definedName name="Constraint_1751" localSheetId="0" hidden="1">monday_model.lp!$C$1757:$EDE$1757</definedName>
    <definedName name="Constraint_1751_LHS" localSheetId="0" hidden="1">monday_model.lp!$EDG$1757</definedName>
    <definedName name="Constraint_1751_RHS" localSheetId="0" hidden="1">monday_model.lp!$EDI$1757</definedName>
    <definedName name="Constraint_1751_Sense" localSheetId="0" hidden="1">monday_model.lp!$EDH$1757</definedName>
    <definedName name="Constraint_1752" localSheetId="0" hidden="1">monday_model.lp!$C$1758:$EDE$1758</definedName>
    <definedName name="Constraint_1752_LHS" localSheetId="0" hidden="1">monday_model.lp!$EDG$1758</definedName>
    <definedName name="Constraint_1752_RHS" localSheetId="0" hidden="1">monday_model.lp!$EDI$1758</definedName>
    <definedName name="Constraint_1752_Sense" localSheetId="0" hidden="1">monday_model.lp!$EDH$1758</definedName>
    <definedName name="Constraint_1753" localSheetId="0" hidden="1">monday_model.lp!$C$1759:$EDE$1759</definedName>
    <definedName name="Constraint_1753_LHS" localSheetId="0" hidden="1">monday_model.lp!$EDG$1759</definedName>
    <definedName name="Constraint_1753_RHS" localSheetId="0" hidden="1">monday_model.lp!$EDI$1759</definedName>
    <definedName name="Constraint_1753_Sense" localSheetId="0" hidden="1">monday_model.lp!$EDH$1759</definedName>
    <definedName name="Constraint_1754" localSheetId="0" hidden="1">monday_model.lp!$C$1760:$EDE$1760</definedName>
    <definedName name="Constraint_1754_LHS" localSheetId="0" hidden="1">monday_model.lp!$EDG$1760</definedName>
    <definedName name="Constraint_1754_RHS" localSheetId="0" hidden="1">monday_model.lp!$EDI$1760</definedName>
    <definedName name="Constraint_1754_Sense" localSheetId="0" hidden="1">monday_model.lp!$EDH$1760</definedName>
    <definedName name="Constraint_1755" localSheetId="0" hidden="1">monday_model.lp!$C$1761:$EDE$1761</definedName>
    <definedName name="Constraint_1755_LHS" localSheetId="0" hidden="1">monday_model.lp!$EDG$1761</definedName>
    <definedName name="Constraint_1755_RHS" localSheetId="0" hidden="1">monday_model.lp!$EDI$1761</definedName>
    <definedName name="Constraint_1755_Sense" localSheetId="0" hidden="1">monday_model.lp!$EDH$1761</definedName>
    <definedName name="Constraint_1756" localSheetId="0" hidden="1">monday_model.lp!$C$1762:$EDE$1762</definedName>
    <definedName name="Constraint_1756_LHS" localSheetId="0" hidden="1">monday_model.lp!$EDG$1762</definedName>
    <definedName name="Constraint_1756_RHS" localSheetId="0" hidden="1">monday_model.lp!$EDI$1762</definedName>
    <definedName name="Constraint_1756_Sense" localSheetId="0" hidden="1">monday_model.lp!$EDH$1762</definedName>
    <definedName name="Constraint_1757" localSheetId="0" hidden="1">monday_model.lp!$C$1763:$EDE$1763</definedName>
    <definedName name="Constraint_1757_LHS" localSheetId="0" hidden="1">monday_model.lp!$EDG$1763</definedName>
    <definedName name="Constraint_1757_RHS" localSheetId="0" hidden="1">monday_model.lp!$EDI$1763</definedName>
    <definedName name="Constraint_1757_Sense" localSheetId="0" hidden="1">monday_model.lp!$EDH$1763</definedName>
    <definedName name="Constraint_1758" localSheetId="0" hidden="1">monday_model.lp!$C$1764:$EDE$1764</definedName>
    <definedName name="Constraint_1758_LHS" localSheetId="0" hidden="1">monday_model.lp!$EDG$1764</definedName>
    <definedName name="Constraint_1758_RHS" localSheetId="0" hidden="1">monday_model.lp!$EDI$1764</definedName>
    <definedName name="Constraint_1758_Sense" localSheetId="0" hidden="1">monday_model.lp!$EDH$1764</definedName>
    <definedName name="Constraint_1759" localSheetId="0" hidden="1">monday_model.lp!$C$1765:$EDE$1765</definedName>
    <definedName name="Constraint_1759_LHS" localSheetId="0" hidden="1">monday_model.lp!$EDG$1765</definedName>
    <definedName name="Constraint_1759_RHS" localSheetId="0" hidden="1">monday_model.lp!$EDI$1765</definedName>
    <definedName name="Constraint_1759_Sense" localSheetId="0" hidden="1">monday_model.lp!$EDH$1765</definedName>
    <definedName name="Constraint_176" localSheetId="0" hidden="1">monday_model.lp!$C$182:$EDE$182</definedName>
    <definedName name="Constraint_176_LHS" localSheetId="0" hidden="1">monday_model.lp!$EDG$182</definedName>
    <definedName name="Constraint_176_RHS" localSheetId="0" hidden="1">monday_model.lp!$EDI$182</definedName>
    <definedName name="Constraint_176_Sense" localSheetId="0" hidden="1">monday_model.lp!$EDH$182</definedName>
    <definedName name="Constraint_1760" localSheetId="0" hidden="1">monday_model.lp!$C$1766:$EDE$1766</definedName>
    <definedName name="Constraint_1760_LHS" localSheetId="0" hidden="1">monday_model.lp!$EDG$1766</definedName>
    <definedName name="Constraint_1760_RHS" localSheetId="0" hidden="1">monday_model.lp!$EDI$1766</definedName>
    <definedName name="Constraint_1760_Sense" localSheetId="0" hidden="1">monday_model.lp!$EDH$1766</definedName>
    <definedName name="Constraint_1761" localSheetId="0" hidden="1">monday_model.lp!$C$1767:$EDE$1767</definedName>
    <definedName name="Constraint_1761_LHS" localSheetId="0" hidden="1">monday_model.lp!$EDG$1767</definedName>
    <definedName name="Constraint_1761_RHS" localSheetId="0" hidden="1">monday_model.lp!$EDI$1767</definedName>
    <definedName name="Constraint_1761_Sense" localSheetId="0" hidden="1">monday_model.lp!$EDH$1767</definedName>
    <definedName name="Constraint_1762" localSheetId="0" hidden="1">monday_model.lp!$C$1768:$EDE$1768</definedName>
    <definedName name="Constraint_1762_LHS" localSheetId="0" hidden="1">monday_model.lp!$EDG$1768</definedName>
    <definedName name="Constraint_1762_RHS" localSheetId="0" hidden="1">monday_model.lp!$EDI$1768</definedName>
    <definedName name="Constraint_1762_Sense" localSheetId="0" hidden="1">monday_model.lp!$EDH$1768</definedName>
    <definedName name="Constraint_1763" localSheetId="0" hidden="1">monday_model.lp!$C$1769:$EDE$1769</definedName>
    <definedName name="Constraint_1763_LHS" localSheetId="0" hidden="1">monday_model.lp!$EDG$1769</definedName>
    <definedName name="Constraint_1763_RHS" localSheetId="0" hidden="1">monday_model.lp!$EDI$1769</definedName>
    <definedName name="Constraint_1763_Sense" localSheetId="0" hidden="1">monday_model.lp!$EDH$1769</definedName>
    <definedName name="Constraint_1764" localSheetId="0" hidden="1">monday_model.lp!$C$1770:$EDE$1770</definedName>
    <definedName name="Constraint_1764_LHS" localSheetId="0" hidden="1">monday_model.lp!$EDG$1770</definedName>
    <definedName name="Constraint_1764_RHS" localSheetId="0" hidden="1">monday_model.lp!$EDI$1770</definedName>
    <definedName name="Constraint_1764_Sense" localSheetId="0" hidden="1">monday_model.lp!$EDH$1770</definedName>
    <definedName name="Constraint_1765" localSheetId="0" hidden="1">monday_model.lp!$C$1771:$EDE$1771</definedName>
    <definedName name="Constraint_1765_LHS" localSheetId="0" hidden="1">monday_model.lp!$EDG$1771</definedName>
    <definedName name="Constraint_1765_RHS" localSheetId="0" hidden="1">monday_model.lp!$EDI$1771</definedName>
    <definedName name="Constraint_1765_Sense" localSheetId="0" hidden="1">monday_model.lp!$EDH$1771</definedName>
    <definedName name="Constraint_1766" localSheetId="0" hidden="1">monday_model.lp!$C$1772:$EDE$1772</definedName>
    <definedName name="Constraint_1766_LHS" localSheetId="0" hidden="1">monday_model.lp!$EDG$1772</definedName>
    <definedName name="Constraint_1766_RHS" localSheetId="0" hidden="1">monday_model.lp!$EDI$1772</definedName>
    <definedName name="Constraint_1766_Sense" localSheetId="0" hidden="1">monday_model.lp!$EDH$1772</definedName>
    <definedName name="Constraint_1767" localSheetId="0" hidden="1">monday_model.lp!$C$1773:$EDE$1773</definedName>
    <definedName name="Constraint_1767_LHS" localSheetId="0" hidden="1">monday_model.lp!$EDG$1773</definedName>
    <definedName name="Constraint_1767_RHS" localSheetId="0" hidden="1">monday_model.lp!$EDI$1773</definedName>
    <definedName name="Constraint_1767_Sense" localSheetId="0" hidden="1">monday_model.lp!$EDH$1773</definedName>
    <definedName name="Constraint_1768" localSheetId="0" hidden="1">monday_model.lp!$C$1774:$EDE$1774</definedName>
    <definedName name="Constraint_1768_LHS" localSheetId="0" hidden="1">monday_model.lp!$EDG$1774</definedName>
    <definedName name="Constraint_1768_RHS" localSheetId="0" hidden="1">monday_model.lp!$EDI$1774</definedName>
    <definedName name="Constraint_1768_Sense" localSheetId="0" hidden="1">monday_model.lp!$EDH$1774</definedName>
    <definedName name="Constraint_1769" localSheetId="0" hidden="1">monday_model.lp!$C$1775:$EDE$1775</definedName>
    <definedName name="Constraint_1769_LHS" localSheetId="0" hidden="1">monday_model.lp!$EDG$1775</definedName>
    <definedName name="Constraint_1769_RHS" localSheetId="0" hidden="1">monday_model.lp!$EDI$1775</definedName>
    <definedName name="Constraint_1769_Sense" localSheetId="0" hidden="1">monday_model.lp!$EDH$1775</definedName>
    <definedName name="Constraint_177" localSheetId="0" hidden="1">monday_model.lp!$C$183:$EDE$183</definedName>
    <definedName name="Constraint_177_LHS" localSheetId="0" hidden="1">monday_model.lp!$EDG$183</definedName>
    <definedName name="Constraint_177_RHS" localSheetId="0" hidden="1">monday_model.lp!$EDI$183</definedName>
    <definedName name="Constraint_177_Sense" localSheetId="0" hidden="1">monday_model.lp!$EDH$183</definedName>
    <definedName name="Constraint_1770" localSheetId="0" hidden="1">monday_model.lp!$C$1776:$EDE$1776</definedName>
    <definedName name="Constraint_1770_LHS" localSheetId="0" hidden="1">monday_model.lp!$EDG$1776</definedName>
    <definedName name="Constraint_1770_RHS" localSheetId="0" hidden="1">monday_model.lp!$EDI$1776</definedName>
    <definedName name="Constraint_1770_Sense" localSheetId="0" hidden="1">monday_model.lp!$EDH$1776</definedName>
    <definedName name="Constraint_1771" localSheetId="0" hidden="1">monday_model.lp!$C$1777:$EDE$1777</definedName>
    <definedName name="Constraint_1771_LHS" localSheetId="0" hidden="1">monday_model.lp!$EDG$1777</definedName>
    <definedName name="Constraint_1771_RHS" localSheetId="0" hidden="1">monday_model.lp!$EDI$1777</definedName>
    <definedName name="Constraint_1771_Sense" localSheetId="0" hidden="1">monday_model.lp!$EDH$1777</definedName>
    <definedName name="Constraint_1772" localSheetId="0" hidden="1">monday_model.lp!$C$1778:$EDE$1778</definedName>
    <definedName name="Constraint_1772_LHS" localSheetId="0" hidden="1">monday_model.lp!$EDG$1778</definedName>
    <definedName name="Constraint_1772_RHS" localSheetId="0" hidden="1">monday_model.lp!$EDI$1778</definedName>
    <definedName name="Constraint_1772_Sense" localSheetId="0" hidden="1">monday_model.lp!$EDH$1778</definedName>
    <definedName name="Constraint_178" localSheetId="0" hidden="1">monday_model.lp!$C$184:$EDE$184</definedName>
    <definedName name="Constraint_178_LHS" localSheetId="0" hidden="1">monday_model.lp!$EDG$184</definedName>
    <definedName name="Constraint_178_RHS" localSheetId="0" hidden="1">monday_model.lp!$EDI$184</definedName>
    <definedName name="Constraint_178_Sense" localSheetId="0" hidden="1">monday_model.lp!$EDH$184</definedName>
    <definedName name="Constraint_179" localSheetId="0" hidden="1">monday_model.lp!$C$185:$EDE$185</definedName>
    <definedName name="Constraint_179_LHS" localSheetId="0" hidden="1">monday_model.lp!$EDG$185</definedName>
    <definedName name="Constraint_179_RHS" localSheetId="0" hidden="1">monday_model.lp!$EDI$185</definedName>
    <definedName name="Constraint_179_Sense" localSheetId="0" hidden="1">monday_model.lp!$EDH$185</definedName>
    <definedName name="Constraint_18" localSheetId="0" hidden="1">monday_model.lp!$C$24:$EDE$24</definedName>
    <definedName name="Constraint_18_LHS" localSheetId="0" hidden="1">monday_model.lp!$EDG$24</definedName>
    <definedName name="Constraint_18_RHS" localSheetId="0" hidden="1">monday_model.lp!$EDI$24</definedName>
    <definedName name="Constraint_18_Sense" localSheetId="0" hidden="1">monday_model.lp!$EDH$24</definedName>
    <definedName name="Constraint_180" localSheetId="0" hidden="1">monday_model.lp!$C$186:$EDE$186</definedName>
    <definedName name="Constraint_180_LHS" localSheetId="0" hidden="1">monday_model.lp!$EDG$186</definedName>
    <definedName name="Constraint_180_RHS" localSheetId="0" hidden="1">monday_model.lp!$EDI$186</definedName>
    <definedName name="Constraint_180_Sense" localSheetId="0" hidden="1">monday_model.lp!$EDH$186</definedName>
    <definedName name="Constraint_181" localSheetId="0" hidden="1">monday_model.lp!$C$187:$EDE$187</definedName>
    <definedName name="Constraint_181_LHS" localSheetId="0" hidden="1">monday_model.lp!$EDG$187</definedName>
    <definedName name="Constraint_181_RHS" localSheetId="0" hidden="1">monday_model.lp!$EDI$187</definedName>
    <definedName name="Constraint_181_Sense" localSheetId="0" hidden="1">monday_model.lp!$EDH$187</definedName>
    <definedName name="Constraint_182" localSheetId="0" hidden="1">monday_model.lp!$C$188:$EDE$188</definedName>
    <definedName name="Constraint_182_LHS" localSheetId="0" hidden="1">monday_model.lp!$EDG$188</definedName>
    <definedName name="Constraint_182_RHS" localSheetId="0" hidden="1">monday_model.lp!$EDI$188</definedName>
    <definedName name="Constraint_182_Sense" localSheetId="0" hidden="1">monday_model.lp!$EDH$188</definedName>
    <definedName name="Constraint_183" localSheetId="0" hidden="1">monday_model.lp!$C$189:$EDE$189</definedName>
    <definedName name="Constraint_183_LHS" localSheetId="0" hidden="1">monday_model.lp!$EDG$189</definedName>
    <definedName name="Constraint_183_RHS" localSheetId="0" hidden="1">monday_model.lp!$EDI$189</definedName>
    <definedName name="Constraint_183_Sense" localSheetId="0" hidden="1">monday_model.lp!$EDH$189</definedName>
    <definedName name="Constraint_184" localSheetId="0" hidden="1">monday_model.lp!$C$190:$EDE$190</definedName>
    <definedName name="Constraint_184_LHS" localSheetId="0" hidden="1">monday_model.lp!$EDG$190</definedName>
    <definedName name="Constraint_184_RHS" localSheetId="0" hidden="1">monday_model.lp!$EDI$190</definedName>
    <definedName name="Constraint_184_Sense" localSheetId="0" hidden="1">monday_model.lp!$EDH$190</definedName>
    <definedName name="Constraint_185" localSheetId="0" hidden="1">monday_model.lp!$C$191:$EDE$191</definedName>
    <definedName name="Constraint_185_LHS" localSheetId="0" hidden="1">monday_model.lp!$EDG$191</definedName>
    <definedName name="Constraint_185_RHS" localSheetId="0" hidden="1">monday_model.lp!$EDI$191</definedName>
    <definedName name="Constraint_185_Sense" localSheetId="0" hidden="1">monday_model.lp!$EDH$191</definedName>
    <definedName name="Constraint_186" localSheetId="0" hidden="1">monday_model.lp!$C$192:$EDE$192</definedName>
    <definedName name="Constraint_186_LHS" localSheetId="0" hidden="1">monday_model.lp!$EDG$192</definedName>
    <definedName name="Constraint_186_RHS" localSheetId="0" hidden="1">monday_model.lp!$EDI$192</definedName>
    <definedName name="Constraint_186_Sense" localSheetId="0" hidden="1">monday_model.lp!$EDH$192</definedName>
    <definedName name="Constraint_187" localSheetId="0" hidden="1">monday_model.lp!$C$193:$EDE$193</definedName>
    <definedName name="Constraint_187_LHS" localSheetId="0" hidden="1">monday_model.lp!$EDG$193</definedName>
    <definedName name="Constraint_187_RHS" localSheetId="0" hidden="1">monday_model.lp!$EDI$193</definedName>
    <definedName name="Constraint_187_Sense" localSheetId="0" hidden="1">monday_model.lp!$EDH$193</definedName>
    <definedName name="Constraint_188" localSheetId="0" hidden="1">monday_model.lp!$C$194:$EDE$194</definedName>
    <definedName name="Constraint_188_LHS" localSheetId="0" hidden="1">monday_model.lp!$EDG$194</definedName>
    <definedName name="Constraint_188_RHS" localSheetId="0" hidden="1">monday_model.lp!$EDI$194</definedName>
    <definedName name="Constraint_188_Sense" localSheetId="0" hidden="1">monday_model.lp!$EDH$194</definedName>
    <definedName name="Constraint_189" localSheetId="0" hidden="1">monday_model.lp!$C$195:$EDE$195</definedName>
    <definedName name="Constraint_189_LHS" localSheetId="0" hidden="1">monday_model.lp!$EDG$195</definedName>
    <definedName name="Constraint_189_RHS" localSheetId="0" hidden="1">monday_model.lp!$EDI$195</definedName>
    <definedName name="Constraint_189_Sense" localSheetId="0" hidden="1">monday_model.lp!$EDH$195</definedName>
    <definedName name="Constraint_19" localSheetId="0" hidden="1">monday_model.lp!$C$25:$EDE$25</definedName>
    <definedName name="Constraint_19_LHS" localSheetId="0" hidden="1">monday_model.lp!$EDG$25</definedName>
    <definedName name="Constraint_19_RHS" localSheetId="0" hidden="1">monday_model.lp!$EDI$25</definedName>
    <definedName name="Constraint_19_Sense" localSheetId="0" hidden="1">monday_model.lp!$EDH$25</definedName>
    <definedName name="Constraint_190" localSheetId="0" hidden="1">monday_model.lp!$C$196:$EDE$196</definedName>
    <definedName name="Constraint_190_LHS" localSheetId="0" hidden="1">monday_model.lp!$EDG$196</definedName>
    <definedName name="Constraint_190_RHS" localSheetId="0" hidden="1">monday_model.lp!$EDI$196</definedName>
    <definedName name="Constraint_190_Sense" localSheetId="0" hidden="1">monday_model.lp!$EDH$196</definedName>
    <definedName name="Constraint_191" localSheetId="0" hidden="1">monday_model.lp!$C$197:$EDE$197</definedName>
    <definedName name="Constraint_191_LHS" localSheetId="0" hidden="1">monday_model.lp!$EDG$197</definedName>
    <definedName name="Constraint_191_RHS" localSheetId="0" hidden="1">monday_model.lp!$EDI$197</definedName>
    <definedName name="Constraint_191_Sense" localSheetId="0" hidden="1">monday_model.lp!$EDH$197</definedName>
    <definedName name="Constraint_192" localSheetId="0" hidden="1">monday_model.lp!$C$198:$EDE$198</definedName>
    <definedName name="Constraint_192_LHS" localSheetId="0" hidden="1">monday_model.lp!$EDG$198</definedName>
    <definedName name="Constraint_192_RHS" localSheetId="0" hidden="1">monday_model.lp!$EDI$198</definedName>
    <definedName name="Constraint_192_Sense" localSheetId="0" hidden="1">monday_model.lp!$EDH$198</definedName>
    <definedName name="Constraint_193" localSheetId="0" hidden="1">monday_model.lp!$C$199:$EDE$199</definedName>
    <definedName name="Constraint_193_LHS" localSheetId="0" hidden="1">monday_model.lp!$EDG$199</definedName>
    <definedName name="Constraint_193_RHS" localSheetId="0" hidden="1">monday_model.lp!$EDI$199</definedName>
    <definedName name="Constraint_193_Sense" localSheetId="0" hidden="1">monday_model.lp!$EDH$199</definedName>
    <definedName name="Constraint_194" localSheetId="0" hidden="1">monday_model.lp!$C$200:$EDE$200</definedName>
    <definedName name="Constraint_194_LHS" localSheetId="0" hidden="1">monday_model.lp!$EDG$200</definedName>
    <definedName name="Constraint_194_RHS" localSheetId="0" hidden="1">monday_model.lp!$EDI$200</definedName>
    <definedName name="Constraint_194_Sense" localSheetId="0" hidden="1">monday_model.lp!$EDH$200</definedName>
    <definedName name="Constraint_195" localSheetId="0" hidden="1">monday_model.lp!$C$201:$EDE$201</definedName>
    <definedName name="Constraint_195_LHS" localSheetId="0" hidden="1">monday_model.lp!$EDG$201</definedName>
    <definedName name="Constraint_195_RHS" localSheetId="0" hidden="1">monday_model.lp!$EDI$201</definedName>
    <definedName name="Constraint_195_Sense" localSheetId="0" hidden="1">monday_model.lp!$EDH$201</definedName>
    <definedName name="Constraint_196" localSheetId="0" hidden="1">monday_model.lp!$C$202:$EDE$202</definedName>
    <definedName name="Constraint_196_LHS" localSheetId="0" hidden="1">monday_model.lp!$EDG$202</definedName>
    <definedName name="Constraint_196_RHS" localSheetId="0" hidden="1">monday_model.lp!$EDI$202</definedName>
    <definedName name="Constraint_196_Sense" localSheetId="0" hidden="1">monday_model.lp!$EDH$202</definedName>
    <definedName name="Constraint_197" localSheetId="0" hidden="1">monday_model.lp!$C$203:$EDE$203</definedName>
    <definedName name="Constraint_197_LHS" localSheetId="0" hidden="1">monday_model.lp!$EDG$203</definedName>
    <definedName name="Constraint_197_RHS" localSheetId="0" hidden="1">monday_model.lp!$EDI$203</definedName>
    <definedName name="Constraint_197_Sense" localSheetId="0" hidden="1">monday_model.lp!$EDH$203</definedName>
    <definedName name="Constraint_198" localSheetId="0" hidden="1">monday_model.lp!$C$204:$EDE$204</definedName>
    <definedName name="Constraint_198_LHS" localSheetId="0" hidden="1">monday_model.lp!$EDG$204</definedName>
    <definedName name="Constraint_198_RHS" localSheetId="0" hidden="1">monday_model.lp!$EDI$204</definedName>
    <definedName name="Constraint_198_Sense" localSheetId="0" hidden="1">monday_model.lp!$EDH$204</definedName>
    <definedName name="Constraint_199" localSheetId="0" hidden="1">monday_model.lp!$C$205:$EDE$205</definedName>
    <definedName name="Constraint_199_LHS" localSheetId="0" hidden="1">monday_model.lp!$EDG$205</definedName>
    <definedName name="Constraint_199_RHS" localSheetId="0" hidden="1">monday_model.lp!$EDI$205</definedName>
    <definedName name="Constraint_199_Sense" localSheetId="0" hidden="1">monday_model.lp!$EDH$205</definedName>
    <definedName name="Constraint_2" localSheetId="0" hidden="1">monday_model.lp!$C$8:$EDE$8</definedName>
    <definedName name="Constraint_2_LHS" localSheetId="0" hidden="1">monday_model.lp!$EDG$8</definedName>
    <definedName name="Constraint_2_RHS" localSheetId="0" hidden="1">monday_model.lp!$EDI$8</definedName>
    <definedName name="Constraint_2_Sense" localSheetId="0" hidden="1">monday_model.lp!$EDH$8</definedName>
    <definedName name="Constraint_20" localSheetId="0" hidden="1">monday_model.lp!$C$26:$EDE$26</definedName>
    <definedName name="Constraint_20_LHS" localSheetId="0" hidden="1">monday_model.lp!$EDG$26</definedName>
    <definedName name="Constraint_20_RHS" localSheetId="0" hidden="1">monday_model.lp!$EDI$26</definedName>
    <definedName name="Constraint_20_Sense" localSheetId="0" hidden="1">monday_model.lp!$EDH$26</definedName>
    <definedName name="Constraint_200" localSheetId="0" hidden="1">monday_model.lp!$C$206:$EDE$206</definedName>
    <definedName name="Constraint_200_LHS" localSheetId="0" hidden="1">monday_model.lp!$EDG$206</definedName>
    <definedName name="Constraint_200_RHS" localSheetId="0" hidden="1">monday_model.lp!$EDI$206</definedName>
    <definedName name="Constraint_200_Sense" localSheetId="0" hidden="1">monday_model.lp!$EDH$206</definedName>
    <definedName name="Constraint_201" localSheetId="0" hidden="1">monday_model.lp!$C$207:$EDE$207</definedName>
    <definedName name="Constraint_201_LHS" localSheetId="0" hidden="1">monday_model.lp!$EDG$207</definedName>
    <definedName name="Constraint_201_RHS" localSheetId="0" hidden="1">monday_model.lp!$EDI$207</definedName>
    <definedName name="Constraint_201_Sense" localSheetId="0" hidden="1">monday_model.lp!$EDH$207</definedName>
    <definedName name="Constraint_202" localSheetId="0" hidden="1">monday_model.lp!$C$208:$EDE$208</definedName>
    <definedName name="Constraint_202_LHS" localSheetId="0" hidden="1">monday_model.lp!$EDG$208</definedName>
    <definedName name="Constraint_202_RHS" localSheetId="0" hidden="1">monday_model.lp!$EDI$208</definedName>
    <definedName name="Constraint_202_Sense" localSheetId="0" hidden="1">monday_model.lp!$EDH$208</definedName>
    <definedName name="Constraint_203" localSheetId="0" hidden="1">monday_model.lp!$C$209:$EDE$209</definedName>
    <definedName name="Constraint_203_LHS" localSheetId="0" hidden="1">monday_model.lp!$EDG$209</definedName>
    <definedName name="Constraint_203_RHS" localSheetId="0" hidden="1">monday_model.lp!$EDI$209</definedName>
    <definedName name="Constraint_203_Sense" localSheetId="0" hidden="1">monday_model.lp!$EDH$209</definedName>
    <definedName name="Constraint_204" localSheetId="0" hidden="1">monday_model.lp!$C$210:$EDE$210</definedName>
    <definedName name="Constraint_204_LHS" localSheetId="0" hidden="1">monday_model.lp!$EDG$210</definedName>
    <definedName name="Constraint_204_RHS" localSheetId="0" hidden="1">monday_model.lp!$EDI$210</definedName>
    <definedName name="Constraint_204_Sense" localSheetId="0" hidden="1">monday_model.lp!$EDH$210</definedName>
    <definedName name="Constraint_205" localSheetId="0" hidden="1">monday_model.lp!$C$211:$EDE$211</definedName>
    <definedName name="Constraint_205_LHS" localSheetId="0" hidden="1">monday_model.lp!$EDG$211</definedName>
    <definedName name="Constraint_205_RHS" localSheetId="0" hidden="1">monday_model.lp!$EDI$211</definedName>
    <definedName name="Constraint_205_Sense" localSheetId="0" hidden="1">monday_model.lp!$EDH$211</definedName>
    <definedName name="Constraint_206" localSheetId="0" hidden="1">monday_model.lp!$C$212:$EDE$212</definedName>
    <definedName name="Constraint_206_LHS" localSheetId="0" hidden="1">monday_model.lp!$EDG$212</definedName>
    <definedName name="Constraint_206_RHS" localSheetId="0" hidden="1">monday_model.lp!$EDI$212</definedName>
    <definedName name="Constraint_206_Sense" localSheetId="0" hidden="1">monday_model.lp!$EDH$212</definedName>
    <definedName name="Constraint_207" localSheetId="0" hidden="1">monday_model.lp!$C$213:$EDE$213</definedName>
    <definedName name="Constraint_207_LHS" localSheetId="0" hidden="1">monday_model.lp!$EDG$213</definedName>
    <definedName name="Constraint_207_RHS" localSheetId="0" hidden="1">monday_model.lp!$EDI$213</definedName>
    <definedName name="Constraint_207_Sense" localSheetId="0" hidden="1">monday_model.lp!$EDH$213</definedName>
    <definedName name="Constraint_208" localSheetId="0" hidden="1">monday_model.lp!$C$214:$EDE$214</definedName>
    <definedName name="Constraint_208_LHS" localSheetId="0" hidden="1">monday_model.lp!$EDG$214</definedName>
    <definedName name="Constraint_208_RHS" localSheetId="0" hidden="1">monday_model.lp!$EDI$214</definedName>
    <definedName name="Constraint_208_Sense" localSheetId="0" hidden="1">monday_model.lp!$EDH$214</definedName>
    <definedName name="Constraint_209" localSheetId="0" hidden="1">monday_model.lp!$C$215:$EDE$215</definedName>
    <definedName name="Constraint_209_LHS" localSheetId="0" hidden="1">monday_model.lp!$EDG$215</definedName>
    <definedName name="Constraint_209_RHS" localSheetId="0" hidden="1">monday_model.lp!$EDI$215</definedName>
    <definedName name="Constraint_209_Sense" localSheetId="0" hidden="1">monday_model.lp!$EDH$215</definedName>
    <definedName name="Constraint_21" localSheetId="0" hidden="1">monday_model.lp!$C$27:$EDE$27</definedName>
    <definedName name="Constraint_21_LHS" localSheetId="0" hidden="1">monday_model.lp!$EDG$27</definedName>
    <definedName name="Constraint_21_RHS" localSheetId="0" hidden="1">monday_model.lp!$EDI$27</definedName>
    <definedName name="Constraint_21_Sense" localSheetId="0" hidden="1">monday_model.lp!$EDH$27</definedName>
    <definedName name="Constraint_210" localSheetId="0" hidden="1">monday_model.lp!$C$216:$EDE$216</definedName>
    <definedName name="Constraint_210_LHS" localSheetId="0" hidden="1">monday_model.lp!$EDG$216</definedName>
    <definedName name="Constraint_210_RHS" localSheetId="0" hidden="1">monday_model.lp!$EDI$216</definedName>
    <definedName name="Constraint_210_Sense" localSheetId="0" hidden="1">monday_model.lp!$EDH$216</definedName>
    <definedName name="Constraint_211" localSheetId="0" hidden="1">monday_model.lp!$C$217:$EDE$217</definedName>
    <definedName name="Constraint_211_LHS" localSheetId="0" hidden="1">monday_model.lp!$EDG$217</definedName>
    <definedName name="Constraint_211_RHS" localSheetId="0" hidden="1">monday_model.lp!$EDI$217</definedName>
    <definedName name="Constraint_211_Sense" localSheetId="0" hidden="1">monday_model.lp!$EDH$217</definedName>
    <definedName name="Constraint_212" localSheetId="0" hidden="1">monday_model.lp!$C$218:$EDE$218</definedName>
    <definedName name="Constraint_212_LHS" localSheetId="0" hidden="1">monday_model.lp!$EDG$218</definedName>
    <definedName name="Constraint_212_RHS" localSheetId="0" hidden="1">monday_model.lp!$EDI$218</definedName>
    <definedName name="Constraint_212_Sense" localSheetId="0" hidden="1">monday_model.lp!$EDH$218</definedName>
    <definedName name="Constraint_213" localSheetId="0" hidden="1">monday_model.lp!$C$219:$EDE$219</definedName>
    <definedName name="Constraint_213_LHS" localSheetId="0" hidden="1">monday_model.lp!$EDG$219</definedName>
    <definedName name="Constraint_213_RHS" localSheetId="0" hidden="1">monday_model.lp!$EDI$219</definedName>
    <definedName name="Constraint_213_Sense" localSheetId="0" hidden="1">monday_model.lp!$EDH$219</definedName>
    <definedName name="Constraint_214" localSheetId="0" hidden="1">monday_model.lp!$C$220:$EDE$220</definedName>
    <definedName name="Constraint_214_LHS" localSheetId="0" hidden="1">monday_model.lp!$EDG$220</definedName>
    <definedName name="Constraint_214_RHS" localSheetId="0" hidden="1">monday_model.lp!$EDI$220</definedName>
    <definedName name="Constraint_214_Sense" localSheetId="0" hidden="1">monday_model.lp!$EDH$220</definedName>
    <definedName name="Constraint_215" localSheetId="0" hidden="1">monday_model.lp!$C$221:$EDE$221</definedName>
    <definedName name="Constraint_215_LHS" localSheetId="0" hidden="1">monday_model.lp!$EDG$221</definedName>
    <definedName name="Constraint_215_RHS" localSheetId="0" hidden="1">monday_model.lp!$EDI$221</definedName>
    <definedName name="Constraint_215_Sense" localSheetId="0" hidden="1">monday_model.lp!$EDH$221</definedName>
    <definedName name="Constraint_216" localSheetId="0" hidden="1">monday_model.lp!$C$222:$EDE$222</definedName>
    <definedName name="Constraint_216_LHS" localSheetId="0" hidden="1">monday_model.lp!$EDG$222</definedName>
    <definedName name="Constraint_216_RHS" localSheetId="0" hidden="1">monday_model.lp!$EDI$222</definedName>
    <definedName name="Constraint_216_Sense" localSheetId="0" hidden="1">monday_model.lp!$EDH$222</definedName>
    <definedName name="Constraint_217" localSheetId="0" hidden="1">monday_model.lp!$C$223:$EDE$223</definedName>
    <definedName name="Constraint_217_LHS" localSheetId="0" hidden="1">monday_model.lp!$EDG$223</definedName>
    <definedName name="Constraint_217_RHS" localSheetId="0" hidden="1">monday_model.lp!$EDI$223</definedName>
    <definedName name="Constraint_217_Sense" localSheetId="0" hidden="1">monday_model.lp!$EDH$223</definedName>
    <definedName name="Constraint_218" localSheetId="0" hidden="1">monday_model.lp!$C$224:$EDE$224</definedName>
    <definedName name="Constraint_218_LHS" localSheetId="0" hidden="1">monday_model.lp!$EDG$224</definedName>
    <definedName name="Constraint_218_RHS" localSheetId="0" hidden="1">monday_model.lp!$EDI$224</definedName>
    <definedName name="Constraint_218_Sense" localSheetId="0" hidden="1">monday_model.lp!$EDH$224</definedName>
    <definedName name="Constraint_219" localSheetId="0" hidden="1">monday_model.lp!$C$225:$EDE$225</definedName>
    <definedName name="Constraint_219_LHS" localSheetId="0" hidden="1">monday_model.lp!$EDG$225</definedName>
    <definedName name="Constraint_219_RHS" localSheetId="0" hidden="1">monday_model.lp!$EDI$225</definedName>
    <definedName name="Constraint_219_Sense" localSheetId="0" hidden="1">monday_model.lp!$EDH$225</definedName>
    <definedName name="Constraint_22" localSheetId="0" hidden="1">monday_model.lp!$C$28:$EDE$28</definedName>
    <definedName name="Constraint_22_LHS" localSheetId="0" hidden="1">monday_model.lp!$EDG$28</definedName>
    <definedName name="Constraint_22_RHS" localSheetId="0" hidden="1">monday_model.lp!$EDI$28</definedName>
    <definedName name="Constraint_22_Sense" localSheetId="0" hidden="1">monday_model.lp!$EDH$28</definedName>
    <definedName name="Constraint_220" localSheetId="0" hidden="1">monday_model.lp!$C$226:$EDE$226</definedName>
    <definedName name="Constraint_220_LHS" localSheetId="0" hidden="1">monday_model.lp!$EDG$226</definedName>
    <definedName name="Constraint_220_RHS" localSheetId="0" hidden="1">monday_model.lp!$EDI$226</definedName>
    <definedName name="Constraint_220_Sense" localSheetId="0" hidden="1">monday_model.lp!$EDH$226</definedName>
    <definedName name="Constraint_221" localSheetId="0" hidden="1">monday_model.lp!$C$227:$EDE$227</definedName>
    <definedName name="Constraint_221_LHS" localSheetId="0" hidden="1">monday_model.lp!$EDG$227</definedName>
    <definedName name="Constraint_221_RHS" localSheetId="0" hidden="1">monday_model.lp!$EDI$227</definedName>
    <definedName name="Constraint_221_Sense" localSheetId="0" hidden="1">monday_model.lp!$EDH$227</definedName>
    <definedName name="Constraint_222" localSheetId="0" hidden="1">monday_model.lp!$C$228:$EDE$228</definedName>
    <definedName name="Constraint_222_LHS" localSheetId="0" hidden="1">monday_model.lp!$EDG$228</definedName>
    <definedName name="Constraint_222_RHS" localSheetId="0" hidden="1">monday_model.lp!$EDI$228</definedName>
    <definedName name="Constraint_222_Sense" localSheetId="0" hidden="1">monday_model.lp!$EDH$228</definedName>
    <definedName name="Constraint_223" localSheetId="0" hidden="1">monday_model.lp!$C$229:$EDE$229</definedName>
    <definedName name="Constraint_223_LHS" localSheetId="0" hidden="1">monday_model.lp!$EDG$229</definedName>
    <definedName name="Constraint_223_RHS" localSheetId="0" hidden="1">monday_model.lp!$EDI$229</definedName>
    <definedName name="Constraint_223_Sense" localSheetId="0" hidden="1">monday_model.lp!$EDH$229</definedName>
    <definedName name="Constraint_224" localSheetId="0" hidden="1">monday_model.lp!$C$230:$EDE$230</definedName>
    <definedName name="Constraint_224_LHS" localSheetId="0" hidden="1">monday_model.lp!$EDG$230</definedName>
    <definedName name="Constraint_224_RHS" localSheetId="0" hidden="1">monday_model.lp!$EDI$230</definedName>
    <definedName name="Constraint_224_Sense" localSheetId="0" hidden="1">monday_model.lp!$EDH$230</definedName>
    <definedName name="Constraint_225" localSheetId="0" hidden="1">monday_model.lp!$C$231:$EDE$231</definedName>
    <definedName name="Constraint_225_LHS" localSheetId="0" hidden="1">monday_model.lp!$EDG$231</definedName>
    <definedName name="Constraint_225_RHS" localSheetId="0" hidden="1">monday_model.lp!$EDI$231</definedName>
    <definedName name="Constraint_225_Sense" localSheetId="0" hidden="1">monday_model.lp!$EDH$231</definedName>
    <definedName name="Constraint_226" localSheetId="0" hidden="1">monday_model.lp!$C$232:$EDE$232</definedName>
    <definedName name="Constraint_226_LHS" localSheetId="0" hidden="1">monday_model.lp!$EDG$232</definedName>
    <definedName name="Constraint_226_RHS" localSheetId="0" hidden="1">monday_model.lp!$EDI$232</definedName>
    <definedName name="Constraint_226_Sense" localSheetId="0" hidden="1">monday_model.lp!$EDH$232</definedName>
    <definedName name="Constraint_227" localSheetId="0" hidden="1">monday_model.lp!$C$233:$EDE$233</definedName>
    <definedName name="Constraint_227_LHS" localSheetId="0" hidden="1">monday_model.lp!$EDG$233</definedName>
    <definedName name="Constraint_227_RHS" localSheetId="0" hidden="1">monday_model.lp!$EDI$233</definedName>
    <definedName name="Constraint_227_Sense" localSheetId="0" hidden="1">monday_model.lp!$EDH$233</definedName>
    <definedName name="Constraint_228" localSheetId="0" hidden="1">monday_model.lp!$C$234:$EDE$234</definedName>
    <definedName name="Constraint_228_LHS" localSheetId="0" hidden="1">monday_model.lp!$EDG$234</definedName>
    <definedName name="Constraint_228_RHS" localSheetId="0" hidden="1">monday_model.lp!$EDI$234</definedName>
    <definedName name="Constraint_228_Sense" localSheetId="0" hidden="1">monday_model.lp!$EDH$234</definedName>
    <definedName name="Constraint_229" localSheetId="0" hidden="1">monday_model.lp!$C$235:$EDE$235</definedName>
    <definedName name="Constraint_229_LHS" localSheetId="0" hidden="1">monday_model.lp!$EDG$235</definedName>
    <definedName name="Constraint_229_RHS" localSheetId="0" hidden="1">monday_model.lp!$EDI$235</definedName>
    <definedName name="Constraint_229_Sense" localSheetId="0" hidden="1">monday_model.lp!$EDH$235</definedName>
    <definedName name="Constraint_23" localSheetId="0" hidden="1">monday_model.lp!$C$29:$EDE$29</definedName>
    <definedName name="Constraint_23_LHS" localSheetId="0" hidden="1">monday_model.lp!$EDG$29</definedName>
    <definedName name="Constraint_23_RHS" localSheetId="0" hidden="1">monday_model.lp!$EDI$29</definedName>
    <definedName name="Constraint_23_Sense" localSheetId="0" hidden="1">monday_model.lp!$EDH$29</definedName>
    <definedName name="Constraint_230" localSheetId="0" hidden="1">monday_model.lp!$C$236:$EDE$236</definedName>
    <definedName name="Constraint_230_LHS" localSheetId="0" hidden="1">monday_model.lp!$EDG$236</definedName>
    <definedName name="Constraint_230_RHS" localSheetId="0" hidden="1">monday_model.lp!$EDI$236</definedName>
    <definedName name="Constraint_230_Sense" localSheetId="0" hidden="1">monday_model.lp!$EDH$236</definedName>
    <definedName name="Constraint_231" localSheetId="0" hidden="1">monday_model.lp!$C$237:$EDE$237</definedName>
    <definedName name="Constraint_231_LHS" localSheetId="0" hidden="1">monday_model.lp!$EDG$237</definedName>
    <definedName name="Constraint_231_RHS" localSheetId="0" hidden="1">monday_model.lp!$EDI$237</definedName>
    <definedName name="Constraint_231_Sense" localSheetId="0" hidden="1">monday_model.lp!$EDH$237</definedName>
    <definedName name="Constraint_232" localSheetId="0" hidden="1">monday_model.lp!$C$238:$EDE$238</definedName>
    <definedName name="Constraint_232_LHS" localSheetId="0" hidden="1">monday_model.lp!$EDG$238</definedName>
    <definedName name="Constraint_232_RHS" localSheetId="0" hidden="1">monday_model.lp!$EDI$238</definedName>
    <definedName name="Constraint_232_Sense" localSheetId="0" hidden="1">monday_model.lp!$EDH$238</definedName>
    <definedName name="Constraint_233" localSheetId="0" hidden="1">monday_model.lp!$C$239:$EDE$239</definedName>
    <definedName name="Constraint_233_LHS" localSheetId="0" hidden="1">monday_model.lp!$EDG$239</definedName>
    <definedName name="Constraint_233_RHS" localSheetId="0" hidden="1">monday_model.lp!$EDI$239</definedName>
    <definedName name="Constraint_233_Sense" localSheetId="0" hidden="1">monday_model.lp!$EDH$239</definedName>
    <definedName name="Constraint_234" localSheetId="0" hidden="1">monday_model.lp!$C$240:$EDE$240</definedName>
    <definedName name="Constraint_234_LHS" localSheetId="0" hidden="1">monday_model.lp!$EDG$240</definedName>
    <definedName name="Constraint_234_RHS" localSheetId="0" hidden="1">monday_model.lp!$EDI$240</definedName>
    <definedName name="Constraint_234_Sense" localSheetId="0" hidden="1">monday_model.lp!$EDH$240</definedName>
    <definedName name="Constraint_235" localSheetId="0" hidden="1">monday_model.lp!$C$241:$EDE$241</definedName>
    <definedName name="Constraint_235_LHS" localSheetId="0" hidden="1">monday_model.lp!$EDG$241</definedName>
    <definedName name="Constraint_235_RHS" localSheetId="0" hidden="1">monday_model.lp!$EDI$241</definedName>
    <definedName name="Constraint_235_Sense" localSheetId="0" hidden="1">monday_model.lp!$EDH$241</definedName>
    <definedName name="Constraint_236" localSheetId="0" hidden="1">monday_model.lp!$C$242:$EDE$242</definedName>
    <definedName name="Constraint_236_LHS" localSheetId="0" hidden="1">monday_model.lp!$EDG$242</definedName>
    <definedName name="Constraint_236_RHS" localSheetId="0" hidden="1">monday_model.lp!$EDI$242</definedName>
    <definedName name="Constraint_236_Sense" localSheetId="0" hidden="1">monday_model.lp!$EDH$242</definedName>
    <definedName name="Constraint_237" localSheetId="0" hidden="1">monday_model.lp!$C$243:$EDE$243</definedName>
    <definedName name="Constraint_237_LHS" localSheetId="0" hidden="1">monday_model.lp!$EDG$243</definedName>
    <definedName name="Constraint_237_RHS" localSheetId="0" hidden="1">monday_model.lp!$EDI$243</definedName>
    <definedName name="Constraint_237_Sense" localSheetId="0" hidden="1">monday_model.lp!$EDH$243</definedName>
    <definedName name="Constraint_238" localSheetId="0" hidden="1">monday_model.lp!$C$244:$EDE$244</definedName>
    <definedName name="Constraint_238_LHS" localSheetId="0" hidden="1">monday_model.lp!$EDG$244</definedName>
    <definedName name="Constraint_238_RHS" localSheetId="0" hidden="1">monday_model.lp!$EDI$244</definedName>
    <definedName name="Constraint_238_Sense" localSheetId="0" hidden="1">monday_model.lp!$EDH$244</definedName>
    <definedName name="Constraint_239" localSheetId="0" hidden="1">monday_model.lp!$C$245:$EDE$245</definedName>
    <definedName name="Constraint_239_LHS" localSheetId="0" hidden="1">monday_model.lp!$EDG$245</definedName>
    <definedName name="Constraint_239_RHS" localSheetId="0" hidden="1">monday_model.lp!$EDI$245</definedName>
    <definedName name="Constraint_239_Sense" localSheetId="0" hidden="1">monday_model.lp!$EDH$245</definedName>
    <definedName name="Constraint_24" localSheetId="0" hidden="1">monday_model.lp!$C$30:$EDE$30</definedName>
    <definedName name="Constraint_24_LHS" localSheetId="0" hidden="1">monday_model.lp!$EDG$30</definedName>
    <definedName name="Constraint_24_RHS" localSheetId="0" hidden="1">monday_model.lp!$EDI$30</definedName>
    <definedName name="Constraint_24_Sense" localSheetId="0" hidden="1">monday_model.lp!$EDH$30</definedName>
    <definedName name="Constraint_240" localSheetId="0" hidden="1">monday_model.lp!$C$246:$EDE$246</definedName>
    <definedName name="Constraint_240_LHS" localSheetId="0" hidden="1">monday_model.lp!$EDG$246</definedName>
    <definedName name="Constraint_240_RHS" localSheetId="0" hidden="1">monday_model.lp!$EDI$246</definedName>
    <definedName name="Constraint_240_Sense" localSheetId="0" hidden="1">monday_model.lp!$EDH$246</definedName>
    <definedName name="Constraint_241" localSheetId="0" hidden="1">monday_model.lp!$C$247:$EDE$247</definedName>
    <definedName name="Constraint_241_LHS" localSheetId="0" hidden="1">monday_model.lp!$EDG$247</definedName>
    <definedName name="Constraint_241_RHS" localSheetId="0" hidden="1">monday_model.lp!$EDI$247</definedName>
    <definedName name="Constraint_241_Sense" localSheetId="0" hidden="1">monday_model.lp!$EDH$247</definedName>
    <definedName name="Constraint_242" localSheetId="0" hidden="1">monday_model.lp!$C$248:$EDE$248</definedName>
    <definedName name="Constraint_242_LHS" localSheetId="0" hidden="1">monday_model.lp!$EDG$248</definedName>
    <definedName name="Constraint_242_RHS" localSheetId="0" hidden="1">monday_model.lp!$EDI$248</definedName>
    <definedName name="Constraint_242_Sense" localSheetId="0" hidden="1">monday_model.lp!$EDH$248</definedName>
    <definedName name="Constraint_243" localSheetId="0" hidden="1">monday_model.lp!$C$249:$EDE$249</definedName>
    <definedName name="Constraint_243_LHS" localSheetId="0" hidden="1">monday_model.lp!$EDG$249</definedName>
    <definedName name="Constraint_243_RHS" localSheetId="0" hidden="1">monday_model.lp!$EDI$249</definedName>
    <definedName name="Constraint_243_Sense" localSheetId="0" hidden="1">monday_model.lp!$EDH$249</definedName>
    <definedName name="Constraint_244" localSheetId="0" hidden="1">monday_model.lp!$C$250:$EDE$250</definedName>
    <definedName name="Constraint_244_LHS" localSheetId="0" hidden="1">monday_model.lp!$EDG$250</definedName>
    <definedName name="Constraint_244_RHS" localSheetId="0" hidden="1">monday_model.lp!$EDI$250</definedName>
    <definedName name="Constraint_244_Sense" localSheetId="0" hidden="1">monday_model.lp!$EDH$250</definedName>
    <definedName name="Constraint_245" localSheetId="0" hidden="1">monday_model.lp!$C$251:$EDE$251</definedName>
    <definedName name="Constraint_245_LHS" localSheetId="0" hidden="1">monday_model.lp!$EDG$251</definedName>
    <definedName name="Constraint_245_RHS" localSheetId="0" hidden="1">monday_model.lp!$EDI$251</definedName>
    <definedName name="Constraint_245_Sense" localSheetId="0" hidden="1">monday_model.lp!$EDH$251</definedName>
    <definedName name="Constraint_246" localSheetId="0" hidden="1">monday_model.lp!$C$252:$EDE$252</definedName>
    <definedName name="Constraint_246_LHS" localSheetId="0" hidden="1">monday_model.lp!$EDG$252</definedName>
    <definedName name="Constraint_246_RHS" localSheetId="0" hidden="1">monday_model.lp!$EDI$252</definedName>
    <definedName name="Constraint_246_Sense" localSheetId="0" hidden="1">monday_model.lp!$EDH$252</definedName>
    <definedName name="Constraint_247" localSheetId="0" hidden="1">monday_model.lp!$C$253:$EDE$253</definedName>
    <definedName name="Constraint_247_LHS" localSheetId="0" hidden="1">monday_model.lp!$EDG$253</definedName>
    <definedName name="Constraint_247_RHS" localSheetId="0" hidden="1">monday_model.lp!$EDI$253</definedName>
    <definedName name="Constraint_247_Sense" localSheetId="0" hidden="1">monday_model.lp!$EDH$253</definedName>
    <definedName name="Constraint_248" localSheetId="0" hidden="1">monday_model.lp!$C$254:$EDE$254</definedName>
    <definedName name="Constraint_248_LHS" localSheetId="0" hidden="1">monday_model.lp!$EDG$254</definedName>
    <definedName name="Constraint_248_RHS" localSheetId="0" hidden="1">monday_model.lp!$EDI$254</definedName>
    <definedName name="Constraint_248_Sense" localSheetId="0" hidden="1">monday_model.lp!$EDH$254</definedName>
    <definedName name="Constraint_249" localSheetId="0" hidden="1">monday_model.lp!$C$255:$EDE$255</definedName>
    <definedName name="Constraint_249_LHS" localSheetId="0" hidden="1">monday_model.lp!$EDG$255</definedName>
    <definedName name="Constraint_249_RHS" localSheetId="0" hidden="1">monday_model.lp!$EDI$255</definedName>
    <definedName name="Constraint_249_Sense" localSheetId="0" hidden="1">monday_model.lp!$EDH$255</definedName>
    <definedName name="Constraint_25" localSheetId="0" hidden="1">monday_model.lp!$C$31:$EDE$31</definedName>
    <definedName name="Constraint_25_LHS" localSheetId="0" hidden="1">monday_model.lp!$EDG$31</definedName>
    <definedName name="Constraint_25_RHS" localSheetId="0" hidden="1">monday_model.lp!$EDI$31</definedName>
    <definedName name="Constraint_25_Sense" localSheetId="0" hidden="1">monday_model.lp!$EDH$31</definedName>
    <definedName name="Constraint_250" localSheetId="0" hidden="1">monday_model.lp!$C$256:$EDE$256</definedName>
    <definedName name="Constraint_250_LHS" localSheetId="0" hidden="1">monday_model.lp!$EDG$256</definedName>
    <definedName name="Constraint_250_RHS" localSheetId="0" hidden="1">monday_model.lp!$EDI$256</definedName>
    <definedName name="Constraint_250_Sense" localSheetId="0" hidden="1">monday_model.lp!$EDH$256</definedName>
    <definedName name="Constraint_251" localSheetId="0" hidden="1">monday_model.lp!$C$257:$EDE$257</definedName>
    <definedName name="Constraint_251_LHS" localSheetId="0" hidden="1">monday_model.lp!$EDG$257</definedName>
    <definedName name="Constraint_251_RHS" localSheetId="0" hidden="1">monday_model.lp!$EDI$257</definedName>
    <definedName name="Constraint_251_Sense" localSheetId="0" hidden="1">monday_model.lp!$EDH$257</definedName>
    <definedName name="Constraint_252" localSheetId="0" hidden="1">monday_model.lp!$C$258:$EDE$258</definedName>
    <definedName name="Constraint_252_LHS" localSheetId="0" hidden="1">monday_model.lp!$EDG$258</definedName>
    <definedName name="Constraint_252_RHS" localSheetId="0" hidden="1">monday_model.lp!$EDI$258</definedName>
    <definedName name="Constraint_252_Sense" localSheetId="0" hidden="1">monday_model.lp!$EDH$258</definedName>
    <definedName name="Constraint_253" localSheetId="0" hidden="1">monday_model.lp!$C$259:$EDE$259</definedName>
    <definedName name="Constraint_253_LHS" localSheetId="0" hidden="1">monday_model.lp!$EDG$259</definedName>
    <definedName name="Constraint_253_RHS" localSheetId="0" hidden="1">monday_model.lp!$EDI$259</definedName>
    <definedName name="Constraint_253_Sense" localSheetId="0" hidden="1">monday_model.lp!$EDH$259</definedName>
    <definedName name="Constraint_254" localSheetId="0" hidden="1">monday_model.lp!$C$260:$EDE$260</definedName>
    <definedName name="Constraint_254_LHS" localSheetId="0" hidden="1">monday_model.lp!$EDG$260</definedName>
    <definedName name="Constraint_254_RHS" localSheetId="0" hidden="1">monday_model.lp!$EDI$260</definedName>
    <definedName name="Constraint_254_Sense" localSheetId="0" hidden="1">monday_model.lp!$EDH$260</definedName>
    <definedName name="Constraint_255" localSheetId="0" hidden="1">monday_model.lp!$C$261:$EDE$261</definedName>
    <definedName name="Constraint_255_LHS" localSheetId="0" hidden="1">monday_model.lp!$EDG$261</definedName>
    <definedName name="Constraint_255_RHS" localSheetId="0" hidden="1">monday_model.lp!$EDI$261</definedName>
    <definedName name="Constraint_255_Sense" localSheetId="0" hidden="1">monday_model.lp!$EDH$261</definedName>
    <definedName name="Constraint_256" localSheetId="0" hidden="1">monday_model.lp!$C$262:$EDE$262</definedName>
    <definedName name="Constraint_256_LHS" localSheetId="0" hidden="1">monday_model.lp!$EDG$262</definedName>
    <definedName name="Constraint_256_RHS" localSheetId="0" hidden="1">monday_model.lp!$EDI$262</definedName>
    <definedName name="Constraint_256_Sense" localSheetId="0" hidden="1">monday_model.lp!$EDH$262</definedName>
    <definedName name="Constraint_257" localSheetId="0" hidden="1">monday_model.lp!$C$263:$EDE$263</definedName>
    <definedName name="Constraint_257_LHS" localSheetId="0" hidden="1">monday_model.lp!$EDG$263</definedName>
    <definedName name="Constraint_257_RHS" localSheetId="0" hidden="1">monday_model.lp!$EDI$263</definedName>
    <definedName name="Constraint_257_Sense" localSheetId="0" hidden="1">monday_model.lp!$EDH$263</definedName>
    <definedName name="Constraint_258" localSheetId="0" hidden="1">monday_model.lp!$C$264:$EDE$264</definedName>
    <definedName name="Constraint_258_LHS" localSheetId="0" hidden="1">monday_model.lp!$EDG$264</definedName>
    <definedName name="Constraint_258_RHS" localSheetId="0" hidden="1">monday_model.lp!$EDI$264</definedName>
    <definedName name="Constraint_258_Sense" localSheetId="0" hidden="1">monday_model.lp!$EDH$264</definedName>
    <definedName name="Constraint_259" localSheetId="0" hidden="1">monday_model.lp!$C$265:$EDE$265</definedName>
    <definedName name="Constraint_259_LHS" localSheetId="0" hidden="1">monday_model.lp!$EDG$265</definedName>
    <definedName name="Constraint_259_RHS" localSheetId="0" hidden="1">monday_model.lp!$EDI$265</definedName>
    <definedName name="Constraint_259_Sense" localSheetId="0" hidden="1">monday_model.lp!$EDH$265</definedName>
    <definedName name="Constraint_26" localSheetId="0" hidden="1">monday_model.lp!$C$32:$EDE$32</definedName>
    <definedName name="Constraint_26_LHS" localSheetId="0" hidden="1">monday_model.lp!$EDG$32</definedName>
    <definedName name="Constraint_26_RHS" localSheetId="0" hidden="1">monday_model.lp!$EDI$32</definedName>
    <definedName name="Constraint_26_Sense" localSheetId="0" hidden="1">monday_model.lp!$EDH$32</definedName>
    <definedName name="Constraint_260" localSheetId="0" hidden="1">monday_model.lp!$C$266:$EDE$266</definedName>
    <definedName name="Constraint_260_LHS" localSheetId="0" hidden="1">monday_model.lp!$EDG$266</definedName>
    <definedName name="Constraint_260_RHS" localSheetId="0" hidden="1">monday_model.lp!$EDI$266</definedName>
    <definedName name="Constraint_260_Sense" localSheetId="0" hidden="1">monday_model.lp!$EDH$266</definedName>
    <definedName name="Constraint_261" localSheetId="0" hidden="1">monday_model.lp!$C$267:$EDE$267</definedName>
    <definedName name="Constraint_261_LHS" localSheetId="0" hidden="1">monday_model.lp!$EDG$267</definedName>
    <definedName name="Constraint_261_RHS" localSheetId="0" hidden="1">monday_model.lp!$EDI$267</definedName>
    <definedName name="Constraint_261_Sense" localSheetId="0" hidden="1">monday_model.lp!$EDH$267</definedName>
    <definedName name="Constraint_262" localSheetId="0" hidden="1">monday_model.lp!$C$268:$EDE$268</definedName>
    <definedName name="Constraint_262_LHS" localSheetId="0" hidden="1">monday_model.lp!$EDG$268</definedName>
    <definedName name="Constraint_262_RHS" localSheetId="0" hidden="1">monday_model.lp!$EDI$268</definedName>
    <definedName name="Constraint_262_Sense" localSheetId="0" hidden="1">monday_model.lp!$EDH$268</definedName>
    <definedName name="Constraint_263" localSheetId="0" hidden="1">monday_model.lp!$C$269:$EDE$269</definedName>
    <definedName name="Constraint_263_LHS" localSheetId="0" hidden="1">monday_model.lp!$EDG$269</definedName>
    <definedName name="Constraint_263_RHS" localSheetId="0" hidden="1">monday_model.lp!$EDI$269</definedName>
    <definedName name="Constraint_263_Sense" localSheetId="0" hidden="1">monday_model.lp!$EDH$269</definedName>
    <definedName name="Constraint_264" localSheetId="0" hidden="1">monday_model.lp!$C$270:$EDE$270</definedName>
    <definedName name="Constraint_264_LHS" localSheetId="0" hidden="1">monday_model.lp!$EDG$270</definedName>
    <definedName name="Constraint_264_RHS" localSheetId="0" hidden="1">monday_model.lp!$EDI$270</definedName>
    <definedName name="Constraint_264_Sense" localSheetId="0" hidden="1">monday_model.lp!$EDH$270</definedName>
    <definedName name="Constraint_265" localSheetId="0" hidden="1">monday_model.lp!$C$271:$EDE$271</definedName>
    <definedName name="Constraint_265_LHS" localSheetId="0" hidden="1">monday_model.lp!$EDG$271</definedName>
    <definedName name="Constraint_265_RHS" localSheetId="0" hidden="1">monday_model.lp!$EDI$271</definedName>
    <definedName name="Constraint_265_Sense" localSheetId="0" hidden="1">monday_model.lp!$EDH$271</definedName>
    <definedName name="Constraint_266" localSheetId="0" hidden="1">monday_model.lp!$C$272:$EDE$272</definedName>
    <definedName name="Constraint_266_LHS" localSheetId="0" hidden="1">monday_model.lp!$EDG$272</definedName>
    <definedName name="Constraint_266_RHS" localSheetId="0" hidden="1">monday_model.lp!$EDI$272</definedName>
    <definedName name="Constraint_266_Sense" localSheetId="0" hidden="1">monday_model.lp!$EDH$272</definedName>
    <definedName name="Constraint_267" localSheetId="0" hidden="1">monday_model.lp!$C$273:$EDE$273</definedName>
    <definedName name="Constraint_267_LHS" localSheetId="0" hidden="1">monday_model.lp!$EDG$273</definedName>
    <definedName name="Constraint_267_RHS" localSheetId="0" hidden="1">monday_model.lp!$EDI$273</definedName>
    <definedName name="Constraint_267_Sense" localSheetId="0" hidden="1">monday_model.lp!$EDH$273</definedName>
    <definedName name="Constraint_268" localSheetId="0" hidden="1">monday_model.lp!$C$274:$EDE$274</definedName>
    <definedName name="Constraint_268_LHS" localSheetId="0" hidden="1">monday_model.lp!$EDG$274</definedName>
    <definedName name="Constraint_268_RHS" localSheetId="0" hidden="1">monday_model.lp!$EDI$274</definedName>
    <definedName name="Constraint_268_Sense" localSheetId="0" hidden="1">monday_model.lp!$EDH$274</definedName>
    <definedName name="Constraint_269" localSheetId="0" hidden="1">monday_model.lp!$C$275:$EDE$275</definedName>
    <definedName name="Constraint_269_LHS" localSheetId="0" hidden="1">monday_model.lp!$EDG$275</definedName>
    <definedName name="Constraint_269_RHS" localSheetId="0" hidden="1">monday_model.lp!$EDI$275</definedName>
    <definedName name="Constraint_269_Sense" localSheetId="0" hidden="1">monday_model.lp!$EDH$275</definedName>
    <definedName name="Constraint_27" localSheetId="0" hidden="1">monday_model.lp!$C$33:$EDE$33</definedName>
    <definedName name="Constraint_27_LHS" localSheetId="0" hidden="1">monday_model.lp!$EDG$33</definedName>
    <definedName name="Constraint_27_RHS" localSheetId="0" hidden="1">monday_model.lp!$EDI$33</definedName>
    <definedName name="Constraint_27_Sense" localSheetId="0" hidden="1">monday_model.lp!$EDH$33</definedName>
    <definedName name="Constraint_270" localSheetId="0" hidden="1">monday_model.lp!$C$276:$EDE$276</definedName>
    <definedName name="Constraint_270_LHS" localSheetId="0" hidden="1">monday_model.lp!$EDG$276</definedName>
    <definedName name="Constraint_270_RHS" localSheetId="0" hidden="1">monday_model.lp!$EDI$276</definedName>
    <definedName name="Constraint_270_Sense" localSheetId="0" hidden="1">monday_model.lp!$EDH$276</definedName>
    <definedName name="Constraint_271" localSheetId="0" hidden="1">monday_model.lp!$C$277:$EDE$277</definedName>
    <definedName name="Constraint_271_LHS" localSheetId="0" hidden="1">monday_model.lp!$EDG$277</definedName>
    <definedName name="Constraint_271_RHS" localSheetId="0" hidden="1">monday_model.lp!$EDI$277</definedName>
    <definedName name="Constraint_271_Sense" localSheetId="0" hidden="1">monday_model.lp!$EDH$277</definedName>
    <definedName name="Constraint_272" localSheetId="0" hidden="1">monday_model.lp!$C$278:$EDE$278</definedName>
    <definedName name="Constraint_272_LHS" localSheetId="0" hidden="1">monday_model.lp!$EDG$278</definedName>
    <definedName name="Constraint_272_RHS" localSheetId="0" hidden="1">monday_model.lp!$EDI$278</definedName>
    <definedName name="Constraint_272_Sense" localSheetId="0" hidden="1">monday_model.lp!$EDH$278</definedName>
    <definedName name="Constraint_273" localSheetId="0" hidden="1">monday_model.lp!$C$279:$EDE$279</definedName>
    <definedName name="Constraint_273_LHS" localSheetId="0" hidden="1">monday_model.lp!$EDG$279</definedName>
    <definedName name="Constraint_273_RHS" localSheetId="0" hidden="1">monday_model.lp!$EDI$279</definedName>
    <definedName name="Constraint_273_Sense" localSheetId="0" hidden="1">monday_model.lp!$EDH$279</definedName>
    <definedName name="Constraint_274" localSheetId="0" hidden="1">monday_model.lp!$C$280:$EDE$280</definedName>
    <definedName name="Constraint_274_LHS" localSheetId="0" hidden="1">monday_model.lp!$EDG$280</definedName>
    <definedName name="Constraint_274_RHS" localSheetId="0" hidden="1">monday_model.lp!$EDI$280</definedName>
    <definedName name="Constraint_274_Sense" localSheetId="0" hidden="1">monday_model.lp!$EDH$280</definedName>
    <definedName name="Constraint_275" localSheetId="0" hidden="1">monday_model.lp!$C$281:$EDE$281</definedName>
    <definedName name="Constraint_275_LHS" localSheetId="0" hidden="1">monday_model.lp!$EDG$281</definedName>
    <definedName name="Constraint_275_RHS" localSheetId="0" hidden="1">monday_model.lp!$EDI$281</definedName>
    <definedName name="Constraint_275_Sense" localSheetId="0" hidden="1">monday_model.lp!$EDH$281</definedName>
    <definedName name="Constraint_276" localSheetId="0" hidden="1">monday_model.lp!$C$282:$EDE$282</definedName>
    <definedName name="Constraint_276_LHS" localSheetId="0" hidden="1">monday_model.lp!$EDG$282</definedName>
    <definedName name="Constraint_276_RHS" localSheetId="0" hidden="1">monday_model.lp!$EDI$282</definedName>
    <definedName name="Constraint_276_Sense" localSheetId="0" hidden="1">monday_model.lp!$EDH$282</definedName>
    <definedName name="Constraint_277" localSheetId="0" hidden="1">monday_model.lp!$C$283:$EDE$283</definedName>
    <definedName name="Constraint_277_LHS" localSheetId="0" hidden="1">monday_model.lp!$EDG$283</definedName>
    <definedName name="Constraint_277_RHS" localSheetId="0" hidden="1">monday_model.lp!$EDI$283</definedName>
    <definedName name="Constraint_277_Sense" localSheetId="0" hidden="1">monday_model.lp!$EDH$283</definedName>
    <definedName name="Constraint_278" localSheetId="0" hidden="1">monday_model.lp!$C$284:$EDE$284</definedName>
    <definedName name="Constraint_278_LHS" localSheetId="0" hidden="1">monday_model.lp!$EDG$284</definedName>
    <definedName name="Constraint_278_RHS" localSheetId="0" hidden="1">monday_model.lp!$EDI$284</definedName>
    <definedName name="Constraint_278_Sense" localSheetId="0" hidden="1">monday_model.lp!$EDH$284</definedName>
    <definedName name="Constraint_279" localSheetId="0" hidden="1">monday_model.lp!$C$285:$EDE$285</definedName>
    <definedName name="Constraint_279_LHS" localSheetId="0" hidden="1">monday_model.lp!$EDG$285</definedName>
    <definedName name="Constraint_279_RHS" localSheetId="0" hidden="1">monday_model.lp!$EDI$285</definedName>
    <definedName name="Constraint_279_Sense" localSheetId="0" hidden="1">monday_model.lp!$EDH$285</definedName>
    <definedName name="Constraint_28" localSheetId="0" hidden="1">monday_model.lp!$C$34:$EDE$34</definedName>
    <definedName name="Constraint_28_LHS" localSheetId="0" hidden="1">monday_model.lp!$EDG$34</definedName>
    <definedName name="Constraint_28_RHS" localSheetId="0" hidden="1">monday_model.lp!$EDI$34</definedName>
    <definedName name="Constraint_28_Sense" localSheetId="0" hidden="1">monday_model.lp!$EDH$34</definedName>
    <definedName name="Constraint_280" localSheetId="0" hidden="1">monday_model.lp!$C$286:$EDE$286</definedName>
    <definedName name="Constraint_280_LHS" localSheetId="0" hidden="1">monday_model.lp!$EDG$286</definedName>
    <definedName name="Constraint_280_RHS" localSheetId="0" hidden="1">monday_model.lp!$EDI$286</definedName>
    <definedName name="Constraint_280_Sense" localSheetId="0" hidden="1">monday_model.lp!$EDH$286</definedName>
    <definedName name="Constraint_281" localSheetId="0" hidden="1">monday_model.lp!$C$287:$EDE$287</definedName>
    <definedName name="Constraint_281_LHS" localSheetId="0" hidden="1">monday_model.lp!$EDG$287</definedName>
    <definedName name="Constraint_281_RHS" localSheetId="0" hidden="1">monday_model.lp!$EDI$287</definedName>
    <definedName name="Constraint_281_Sense" localSheetId="0" hidden="1">monday_model.lp!$EDH$287</definedName>
    <definedName name="Constraint_282" localSheetId="0" hidden="1">monday_model.lp!$C$288:$EDE$288</definedName>
    <definedName name="Constraint_282_LHS" localSheetId="0" hidden="1">monday_model.lp!$EDG$288</definedName>
    <definedName name="Constraint_282_RHS" localSheetId="0" hidden="1">monday_model.lp!$EDI$288</definedName>
    <definedName name="Constraint_282_Sense" localSheetId="0" hidden="1">monday_model.lp!$EDH$288</definedName>
    <definedName name="Constraint_283" localSheetId="0" hidden="1">monday_model.lp!$C$289:$EDE$289</definedName>
    <definedName name="Constraint_283_LHS" localSheetId="0" hidden="1">monday_model.lp!$EDG$289</definedName>
    <definedName name="Constraint_283_RHS" localSheetId="0" hidden="1">monday_model.lp!$EDI$289</definedName>
    <definedName name="Constraint_283_Sense" localSheetId="0" hidden="1">monday_model.lp!$EDH$289</definedName>
    <definedName name="Constraint_284" localSheetId="0" hidden="1">monday_model.lp!$C$290:$EDE$290</definedName>
    <definedName name="Constraint_284_LHS" localSheetId="0" hidden="1">monday_model.lp!$EDG$290</definedName>
    <definedName name="Constraint_284_RHS" localSheetId="0" hidden="1">monday_model.lp!$EDI$290</definedName>
    <definedName name="Constraint_284_Sense" localSheetId="0" hidden="1">monday_model.lp!$EDH$290</definedName>
    <definedName name="Constraint_285" localSheetId="0" hidden="1">monday_model.lp!$C$291:$EDE$291</definedName>
    <definedName name="Constraint_285_LHS" localSheetId="0" hidden="1">monday_model.lp!$EDG$291</definedName>
    <definedName name="Constraint_285_RHS" localSheetId="0" hidden="1">monday_model.lp!$EDI$291</definedName>
    <definedName name="Constraint_285_Sense" localSheetId="0" hidden="1">monday_model.lp!$EDH$291</definedName>
    <definedName name="Constraint_286" localSheetId="0" hidden="1">monday_model.lp!$C$292:$EDE$292</definedName>
    <definedName name="Constraint_286_LHS" localSheetId="0" hidden="1">monday_model.lp!$EDG$292</definedName>
    <definedName name="Constraint_286_RHS" localSheetId="0" hidden="1">monday_model.lp!$EDI$292</definedName>
    <definedName name="Constraint_286_Sense" localSheetId="0" hidden="1">monday_model.lp!$EDH$292</definedName>
    <definedName name="Constraint_287" localSheetId="0" hidden="1">monday_model.lp!$C$293:$EDE$293</definedName>
    <definedName name="Constraint_287_LHS" localSheetId="0" hidden="1">monday_model.lp!$EDG$293</definedName>
    <definedName name="Constraint_287_RHS" localSheetId="0" hidden="1">monday_model.lp!$EDI$293</definedName>
    <definedName name="Constraint_287_Sense" localSheetId="0" hidden="1">monday_model.lp!$EDH$293</definedName>
    <definedName name="Constraint_288" localSheetId="0" hidden="1">monday_model.lp!$C$294:$EDE$294</definedName>
    <definedName name="Constraint_288_LHS" localSheetId="0" hidden="1">monday_model.lp!$EDG$294</definedName>
    <definedName name="Constraint_288_RHS" localSheetId="0" hidden="1">monday_model.lp!$EDI$294</definedName>
    <definedName name="Constraint_288_Sense" localSheetId="0" hidden="1">monday_model.lp!$EDH$294</definedName>
    <definedName name="Constraint_289" localSheetId="0" hidden="1">monday_model.lp!$C$295:$EDE$295</definedName>
    <definedName name="Constraint_289_LHS" localSheetId="0" hidden="1">monday_model.lp!$EDG$295</definedName>
    <definedName name="Constraint_289_RHS" localSheetId="0" hidden="1">monday_model.lp!$EDI$295</definedName>
    <definedName name="Constraint_289_Sense" localSheetId="0" hidden="1">monday_model.lp!$EDH$295</definedName>
    <definedName name="Constraint_29" localSheetId="0" hidden="1">monday_model.lp!$C$35:$EDE$35</definedName>
    <definedName name="Constraint_29_LHS" localSheetId="0" hidden="1">monday_model.lp!$EDG$35</definedName>
    <definedName name="Constraint_29_RHS" localSheetId="0" hidden="1">monday_model.lp!$EDI$35</definedName>
    <definedName name="Constraint_29_Sense" localSheetId="0" hidden="1">monday_model.lp!$EDH$35</definedName>
    <definedName name="Constraint_290" localSheetId="0" hidden="1">monday_model.lp!$C$296:$EDE$296</definedName>
    <definedName name="Constraint_290_LHS" localSheetId="0" hidden="1">monday_model.lp!$EDG$296</definedName>
    <definedName name="Constraint_290_RHS" localSheetId="0" hidden="1">monday_model.lp!$EDI$296</definedName>
    <definedName name="Constraint_290_Sense" localSheetId="0" hidden="1">monday_model.lp!$EDH$296</definedName>
    <definedName name="Constraint_291" localSheetId="0" hidden="1">monday_model.lp!$C$297:$EDE$297</definedName>
    <definedName name="Constraint_291_LHS" localSheetId="0" hidden="1">monday_model.lp!$EDG$297</definedName>
    <definedName name="Constraint_291_RHS" localSheetId="0" hidden="1">monday_model.lp!$EDI$297</definedName>
    <definedName name="Constraint_291_Sense" localSheetId="0" hidden="1">monday_model.lp!$EDH$297</definedName>
    <definedName name="Constraint_292" localSheetId="0" hidden="1">monday_model.lp!$C$298:$EDE$298</definedName>
    <definedName name="Constraint_292_LHS" localSheetId="0" hidden="1">monday_model.lp!$EDG$298</definedName>
    <definedName name="Constraint_292_RHS" localSheetId="0" hidden="1">monday_model.lp!$EDI$298</definedName>
    <definedName name="Constraint_292_Sense" localSheetId="0" hidden="1">monday_model.lp!$EDH$298</definedName>
    <definedName name="Constraint_293" localSheetId="0" hidden="1">monday_model.lp!$C$299:$EDE$299</definedName>
    <definedName name="Constraint_293_LHS" localSheetId="0" hidden="1">monday_model.lp!$EDG$299</definedName>
    <definedName name="Constraint_293_RHS" localSheetId="0" hidden="1">monday_model.lp!$EDI$299</definedName>
    <definedName name="Constraint_293_Sense" localSheetId="0" hidden="1">monday_model.lp!$EDH$299</definedName>
    <definedName name="Constraint_294" localSheetId="0" hidden="1">monday_model.lp!$C$300:$EDE$300</definedName>
    <definedName name="Constraint_294_LHS" localSheetId="0" hidden="1">monday_model.lp!$EDG$300</definedName>
    <definedName name="Constraint_294_RHS" localSheetId="0" hidden="1">monday_model.lp!$EDI$300</definedName>
    <definedName name="Constraint_294_Sense" localSheetId="0" hidden="1">monday_model.lp!$EDH$300</definedName>
    <definedName name="Constraint_295" localSheetId="0" hidden="1">monday_model.lp!$C$301:$EDE$301</definedName>
    <definedName name="Constraint_295_LHS" localSheetId="0" hidden="1">monday_model.lp!$EDG$301</definedName>
    <definedName name="Constraint_295_RHS" localSheetId="0" hidden="1">monday_model.lp!$EDI$301</definedName>
    <definedName name="Constraint_295_Sense" localSheetId="0" hidden="1">monday_model.lp!$EDH$301</definedName>
    <definedName name="Constraint_296" localSheetId="0" hidden="1">monday_model.lp!$C$302:$EDE$302</definedName>
    <definedName name="Constraint_296_LHS" localSheetId="0" hidden="1">monday_model.lp!$EDG$302</definedName>
    <definedName name="Constraint_296_RHS" localSheetId="0" hidden="1">monday_model.lp!$EDI$302</definedName>
    <definedName name="Constraint_296_Sense" localSheetId="0" hidden="1">monday_model.lp!$EDH$302</definedName>
    <definedName name="Constraint_297" localSheetId="0" hidden="1">monday_model.lp!$C$303:$EDE$303</definedName>
    <definedName name="Constraint_297_LHS" localSheetId="0" hidden="1">monday_model.lp!$EDG$303</definedName>
    <definedName name="Constraint_297_RHS" localSheetId="0" hidden="1">monday_model.lp!$EDI$303</definedName>
    <definedName name="Constraint_297_Sense" localSheetId="0" hidden="1">monday_model.lp!$EDH$303</definedName>
    <definedName name="Constraint_298" localSheetId="0" hidden="1">monday_model.lp!$C$304:$EDE$304</definedName>
    <definedName name="Constraint_298_LHS" localSheetId="0" hidden="1">monday_model.lp!$EDG$304</definedName>
    <definedName name="Constraint_298_RHS" localSheetId="0" hidden="1">monday_model.lp!$EDI$304</definedName>
    <definedName name="Constraint_298_Sense" localSheetId="0" hidden="1">monday_model.lp!$EDH$304</definedName>
    <definedName name="Constraint_299" localSheetId="0" hidden="1">monday_model.lp!$C$305:$EDE$305</definedName>
    <definedName name="Constraint_299_LHS" localSheetId="0" hidden="1">monday_model.lp!$EDG$305</definedName>
    <definedName name="Constraint_299_RHS" localSheetId="0" hidden="1">monday_model.lp!$EDI$305</definedName>
    <definedName name="Constraint_299_Sense" localSheetId="0" hidden="1">monday_model.lp!$EDH$305</definedName>
    <definedName name="Constraint_3" localSheetId="0" hidden="1">monday_model.lp!$C$9:$EDE$9</definedName>
    <definedName name="Constraint_3_LHS" localSheetId="0" hidden="1">monday_model.lp!$EDG$9</definedName>
    <definedName name="Constraint_3_RHS" localSheetId="0" hidden="1">monday_model.lp!$EDI$9</definedName>
    <definedName name="Constraint_3_Sense" localSheetId="0" hidden="1">monday_model.lp!$EDH$9</definedName>
    <definedName name="Constraint_30" localSheetId="0" hidden="1">monday_model.lp!$C$36:$EDE$36</definedName>
    <definedName name="Constraint_30_LHS" localSheetId="0" hidden="1">monday_model.lp!$EDG$36</definedName>
    <definedName name="Constraint_30_RHS" localSheetId="0" hidden="1">monday_model.lp!$EDI$36</definedName>
    <definedName name="Constraint_30_Sense" localSheetId="0" hidden="1">monday_model.lp!$EDH$36</definedName>
    <definedName name="Constraint_300" localSheetId="0" hidden="1">monday_model.lp!$C$306:$EDE$306</definedName>
    <definedName name="Constraint_300_LHS" localSheetId="0" hidden="1">monday_model.lp!$EDG$306</definedName>
    <definedName name="Constraint_300_RHS" localSheetId="0" hidden="1">monday_model.lp!$EDI$306</definedName>
    <definedName name="Constraint_300_Sense" localSheetId="0" hidden="1">monday_model.lp!$EDH$306</definedName>
    <definedName name="Constraint_301" localSheetId="0" hidden="1">monday_model.lp!$C$307:$EDE$307</definedName>
    <definedName name="Constraint_301_LHS" localSheetId="0" hidden="1">monday_model.lp!$EDG$307</definedName>
    <definedName name="Constraint_301_RHS" localSheetId="0" hidden="1">monday_model.lp!$EDI$307</definedName>
    <definedName name="Constraint_301_Sense" localSheetId="0" hidden="1">monday_model.lp!$EDH$307</definedName>
    <definedName name="Constraint_302" localSheetId="0" hidden="1">monday_model.lp!$C$308:$EDE$308</definedName>
    <definedName name="Constraint_302_LHS" localSheetId="0" hidden="1">monday_model.lp!$EDG$308</definedName>
    <definedName name="Constraint_302_RHS" localSheetId="0" hidden="1">monday_model.lp!$EDI$308</definedName>
    <definedName name="Constraint_302_Sense" localSheetId="0" hidden="1">monday_model.lp!$EDH$308</definedName>
    <definedName name="Constraint_303" localSheetId="0" hidden="1">monday_model.lp!$C$309:$EDE$309</definedName>
    <definedName name="Constraint_303_LHS" localSheetId="0" hidden="1">monday_model.lp!$EDG$309</definedName>
    <definedName name="Constraint_303_RHS" localSheetId="0" hidden="1">monday_model.lp!$EDI$309</definedName>
    <definedName name="Constraint_303_Sense" localSheetId="0" hidden="1">monday_model.lp!$EDH$309</definedName>
    <definedName name="Constraint_304" localSheetId="0" hidden="1">monday_model.lp!$C$310:$EDE$310</definedName>
    <definedName name="Constraint_304_LHS" localSheetId="0" hidden="1">monday_model.lp!$EDG$310</definedName>
    <definedName name="Constraint_304_RHS" localSheetId="0" hidden="1">monday_model.lp!$EDI$310</definedName>
    <definedName name="Constraint_304_Sense" localSheetId="0" hidden="1">monday_model.lp!$EDH$310</definedName>
    <definedName name="Constraint_305" localSheetId="0" hidden="1">monday_model.lp!$C$311:$EDE$311</definedName>
    <definedName name="Constraint_305_LHS" localSheetId="0" hidden="1">monday_model.lp!$EDG$311</definedName>
    <definedName name="Constraint_305_RHS" localSheetId="0" hidden="1">monday_model.lp!$EDI$311</definedName>
    <definedName name="Constraint_305_Sense" localSheetId="0" hidden="1">monday_model.lp!$EDH$311</definedName>
    <definedName name="Constraint_306" localSheetId="0" hidden="1">monday_model.lp!$C$312:$EDE$312</definedName>
    <definedName name="Constraint_306_LHS" localSheetId="0" hidden="1">monday_model.lp!$EDG$312</definedName>
    <definedName name="Constraint_306_RHS" localSheetId="0" hidden="1">monday_model.lp!$EDI$312</definedName>
    <definedName name="Constraint_306_Sense" localSheetId="0" hidden="1">monday_model.lp!$EDH$312</definedName>
    <definedName name="Constraint_307" localSheetId="0" hidden="1">monday_model.lp!$C$313:$EDE$313</definedName>
    <definedName name="Constraint_307_LHS" localSheetId="0" hidden="1">monday_model.lp!$EDG$313</definedName>
    <definedName name="Constraint_307_RHS" localSheetId="0" hidden="1">monday_model.lp!$EDI$313</definedName>
    <definedName name="Constraint_307_Sense" localSheetId="0" hidden="1">monday_model.lp!$EDH$313</definedName>
    <definedName name="Constraint_308" localSheetId="0" hidden="1">monday_model.lp!$C$314:$EDE$314</definedName>
    <definedName name="Constraint_308_LHS" localSheetId="0" hidden="1">monday_model.lp!$EDG$314</definedName>
    <definedName name="Constraint_308_RHS" localSheetId="0" hidden="1">monday_model.lp!$EDI$314</definedName>
    <definedName name="Constraint_308_Sense" localSheetId="0" hidden="1">monday_model.lp!$EDH$314</definedName>
    <definedName name="Constraint_309" localSheetId="0" hidden="1">monday_model.lp!$C$315:$EDE$315</definedName>
    <definedName name="Constraint_309_LHS" localSheetId="0" hidden="1">monday_model.lp!$EDG$315</definedName>
    <definedName name="Constraint_309_RHS" localSheetId="0" hidden="1">monday_model.lp!$EDI$315</definedName>
    <definedName name="Constraint_309_Sense" localSheetId="0" hidden="1">monday_model.lp!$EDH$315</definedName>
    <definedName name="Constraint_31" localSheetId="0" hidden="1">monday_model.lp!$C$37:$EDE$37</definedName>
    <definedName name="Constraint_31_LHS" localSheetId="0" hidden="1">monday_model.lp!$EDG$37</definedName>
    <definedName name="Constraint_31_RHS" localSheetId="0" hidden="1">monday_model.lp!$EDI$37</definedName>
    <definedName name="Constraint_31_Sense" localSheetId="0" hidden="1">monday_model.lp!$EDH$37</definedName>
    <definedName name="Constraint_310" localSheetId="0" hidden="1">monday_model.lp!$C$316:$EDE$316</definedName>
    <definedName name="Constraint_310_LHS" localSheetId="0" hidden="1">monday_model.lp!$EDG$316</definedName>
    <definedName name="Constraint_310_RHS" localSheetId="0" hidden="1">monday_model.lp!$EDI$316</definedName>
    <definedName name="Constraint_310_Sense" localSheetId="0" hidden="1">monday_model.lp!$EDH$316</definedName>
    <definedName name="Constraint_311" localSheetId="0" hidden="1">monday_model.lp!$C$317:$EDE$317</definedName>
    <definedName name="Constraint_311_LHS" localSheetId="0" hidden="1">monday_model.lp!$EDG$317</definedName>
    <definedName name="Constraint_311_RHS" localSheetId="0" hidden="1">monday_model.lp!$EDI$317</definedName>
    <definedName name="Constraint_311_Sense" localSheetId="0" hidden="1">monday_model.lp!$EDH$317</definedName>
    <definedName name="Constraint_312" localSheetId="0" hidden="1">monday_model.lp!$C$318:$EDE$318</definedName>
    <definedName name="Constraint_312_LHS" localSheetId="0" hidden="1">monday_model.lp!$EDG$318</definedName>
    <definedName name="Constraint_312_RHS" localSheetId="0" hidden="1">monday_model.lp!$EDI$318</definedName>
    <definedName name="Constraint_312_Sense" localSheetId="0" hidden="1">monday_model.lp!$EDH$318</definedName>
    <definedName name="Constraint_313" localSheetId="0" hidden="1">monday_model.lp!$C$319:$EDE$319</definedName>
    <definedName name="Constraint_313_LHS" localSheetId="0" hidden="1">monday_model.lp!$EDG$319</definedName>
    <definedName name="Constraint_313_RHS" localSheetId="0" hidden="1">monday_model.lp!$EDI$319</definedName>
    <definedName name="Constraint_313_Sense" localSheetId="0" hidden="1">monday_model.lp!$EDH$319</definedName>
    <definedName name="Constraint_314" localSheetId="0" hidden="1">monday_model.lp!$C$320:$EDE$320</definedName>
    <definedName name="Constraint_314_LHS" localSheetId="0" hidden="1">monday_model.lp!$EDG$320</definedName>
    <definedName name="Constraint_314_RHS" localSheetId="0" hidden="1">monday_model.lp!$EDI$320</definedName>
    <definedName name="Constraint_314_Sense" localSheetId="0" hidden="1">monday_model.lp!$EDH$320</definedName>
    <definedName name="Constraint_315" localSheetId="0" hidden="1">monday_model.lp!$C$321:$EDE$321</definedName>
    <definedName name="Constraint_315_LHS" localSheetId="0" hidden="1">monday_model.lp!$EDG$321</definedName>
    <definedName name="Constraint_315_RHS" localSheetId="0" hidden="1">monday_model.lp!$EDI$321</definedName>
    <definedName name="Constraint_315_Sense" localSheetId="0" hidden="1">monday_model.lp!$EDH$321</definedName>
    <definedName name="Constraint_316" localSheetId="0" hidden="1">monday_model.lp!$C$322:$EDE$322</definedName>
    <definedName name="Constraint_316_LHS" localSheetId="0" hidden="1">monday_model.lp!$EDG$322</definedName>
    <definedName name="Constraint_316_RHS" localSheetId="0" hidden="1">monday_model.lp!$EDI$322</definedName>
    <definedName name="Constraint_316_Sense" localSheetId="0" hidden="1">monday_model.lp!$EDH$322</definedName>
    <definedName name="Constraint_317" localSheetId="0" hidden="1">monday_model.lp!$C$323:$EDE$323</definedName>
    <definedName name="Constraint_317_LHS" localSheetId="0" hidden="1">monday_model.lp!$EDG$323</definedName>
    <definedName name="Constraint_317_RHS" localSheetId="0" hidden="1">monday_model.lp!$EDI$323</definedName>
    <definedName name="Constraint_317_Sense" localSheetId="0" hidden="1">monday_model.lp!$EDH$323</definedName>
    <definedName name="Constraint_318" localSheetId="0" hidden="1">monday_model.lp!$C$324:$EDE$324</definedName>
    <definedName name="Constraint_318_LHS" localSheetId="0" hidden="1">monday_model.lp!$EDG$324</definedName>
    <definedName name="Constraint_318_RHS" localSheetId="0" hidden="1">monday_model.lp!$EDI$324</definedName>
    <definedName name="Constraint_318_Sense" localSheetId="0" hidden="1">monday_model.lp!$EDH$324</definedName>
    <definedName name="Constraint_319" localSheetId="0" hidden="1">monday_model.lp!$C$325:$EDE$325</definedName>
    <definedName name="Constraint_319_LHS" localSheetId="0" hidden="1">monday_model.lp!$EDG$325</definedName>
    <definedName name="Constraint_319_RHS" localSheetId="0" hidden="1">monday_model.lp!$EDI$325</definedName>
    <definedName name="Constraint_319_Sense" localSheetId="0" hidden="1">monday_model.lp!$EDH$325</definedName>
    <definedName name="Constraint_32" localSheetId="0" hidden="1">monday_model.lp!$C$38:$EDE$38</definedName>
    <definedName name="Constraint_32_LHS" localSheetId="0" hidden="1">monday_model.lp!$EDG$38</definedName>
    <definedName name="Constraint_32_RHS" localSheetId="0" hidden="1">monday_model.lp!$EDI$38</definedName>
    <definedName name="Constraint_32_Sense" localSheetId="0" hidden="1">monday_model.lp!$EDH$38</definedName>
    <definedName name="Constraint_320" localSheetId="0" hidden="1">monday_model.lp!$C$326:$EDE$326</definedName>
    <definedName name="Constraint_320_LHS" localSheetId="0" hidden="1">monday_model.lp!$EDG$326</definedName>
    <definedName name="Constraint_320_RHS" localSheetId="0" hidden="1">monday_model.lp!$EDI$326</definedName>
    <definedName name="Constraint_320_Sense" localSheetId="0" hidden="1">monday_model.lp!$EDH$326</definedName>
    <definedName name="Constraint_321" localSheetId="0" hidden="1">monday_model.lp!$C$327:$EDE$327</definedName>
    <definedName name="Constraint_321_LHS" localSheetId="0" hidden="1">monday_model.lp!$EDG$327</definedName>
    <definedName name="Constraint_321_RHS" localSheetId="0" hidden="1">monday_model.lp!$EDI$327</definedName>
    <definedName name="Constraint_321_Sense" localSheetId="0" hidden="1">monday_model.lp!$EDH$327</definedName>
    <definedName name="Constraint_322" localSheetId="0" hidden="1">monday_model.lp!$C$328:$EDE$328</definedName>
    <definedName name="Constraint_322_LHS" localSheetId="0" hidden="1">monday_model.lp!$EDG$328</definedName>
    <definedName name="Constraint_322_RHS" localSheetId="0" hidden="1">monday_model.lp!$EDI$328</definedName>
    <definedName name="Constraint_322_Sense" localSheetId="0" hidden="1">monday_model.lp!$EDH$328</definedName>
    <definedName name="Constraint_323" localSheetId="0" hidden="1">monday_model.lp!$C$329:$EDE$329</definedName>
    <definedName name="Constraint_323_LHS" localSheetId="0" hidden="1">monday_model.lp!$EDG$329</definedName>
    <definedName name="Constraint_323_RHS" localSheetId="0" hidden="1">monday_model.lp!$EDI$329</definedName>
    <definedName name="Constraint_323_Sense" localSheetId="0" hidden="1">monday_model.lp!$EDH$329</definedName>
    <definedName name="Constraint_324" localSheetId="0" hidden="1">monday_model.lp!$C$330:$EDE$330</definedName>
    <definedName name="Constraint_324_LHS" localSheetId="0" hidden="1">monday_model.lp!$EDG$330</definedName>
    <definedName name="Constraint_324_RHS" localSheetId="0" hidden="1">monday_model.lp!$EDI$330</definedName>
    <definedName name="Constraint_324_Sense" localSheetId="0" hidden="1">monday_model.lp!$EDH$330</definedName>
    <definedName name="Constraint_325" localSheetId="0" hidden="1">monday_model.lp!$C$331:$EDE$331</definedName>
    <definedName name="Constraint_325_LHS" localSheetId="0" hidden="1">monday_model.lp!$EDG$331</definedName>
    <definedName name="Constraint_325_RHS" localSheetId="0" hidden="1">monday_model.lp!$EDI$331</definedName>
    <definedName name="Constraint_325_Sense" localSheetId="0" hidden="1">monday_model.lp!$EDH$331</definedName>
    <definedName name="Constraint_326" localSheetId="0" hidden="1">monday_model.lp!$C$332:$EDE$332</definedName>
    <definedName name="Constraint_326_LHS" localSheetId="0" hidden="1">monday_model.lp!$EDG$332</definedName>
    <definedName name="Constraint_326_RHS" localSheetId="0" hidden="1">monday_model.lp!$EDI$332</definedName>
    <definedName name="Constraint_326_Sense" localSheetId="0" hidden="1">monday_model.lp!$EDH$332</definedName>
    <definedName name="Constraint_327" localSheetId="0" hidden="1">monday_model.lp!$C$333:$EDE$333</definedName>
    <definedName name="Constraint_327_LHS" localSheetId="0" hidden="1">monday_model.lp!$EDG$333</definedName>
    <definedName name="Constraint_327_RHS" localSheetId="0" hidden="1">monday_model.lp!$EDI$333</definedName>
    <definedName name="Constraint_327_Sense" localSheetId="0" hidden="1">monday_model.lp!$EDH$333</definedName>
    <definedName name="Constraint_328" localSheetId="0" hidden="1">monday_model.lp!$C$334:$EDE$334</definedName>
    <definedName name="Constraint_328_LHS" localSheetId="0" hidden="1">monday_model.lp!$EDG$334</definedName>
    <definedName name="Constraint_328_RHS" localSheetId="0" hidden="1">monday_model.lp!$EDI$334</definedName>
    <definedName name="Constraint_328_Sense" localSheetId="0" hidden="1">monday_model.lp!$EDH$334</definedName>
    <definedName name="Constraint_329" localSheetId="0" hidden="1">monday_model.lp!$C$335:$EDE$335</definedName>
    <definedName name="Constraint_329_LHS" localSheetId="0" hidden="1">monday_model.lp!$EDG$335</definedName>
    <definedName name="Constraint_329_RHS" localSheetId="0" hidden="1">monday_model.lp!$EDI$335</definedName>
    <definedName name="Constraint_329_Sense" localSheetId="0" hidden="1">monday_model.lp!$EDH$335</definedName>
    <definedName name="Constraint_33" localSheetId="0" hidden="1">monday_model.lp!$C$39:$EDE$39</definedName>
    <definedName name="Constraint_33_LHS" localSheetId="0" hidden="1">monday_model.lp!$EDG$39</definedName>
    <definedName name="Constraint_33_RHS" localSheetId="0" hidden="1">monday_model.lp!$EDI$39</definedName>
    <definedName name="Constraint_33_Sense" localSheetId="0" hidden="1">monday_model.lp!$EDH$39</definedName>
    <definedName name="Constraint_330" localSheetId="0" hidden="1">monday_model.lp!$C$336:$EDE$336</definedName>
    <definedName name="Constraint_330_LHS" localSheetId="0" hidden="1">monday_model.lp!$EDG$336</definedName>
    <definedName name="Constraint_330_RHS" localSheetId="0" hidden="1">monday_model.lp!$EDI$336</definedName>
    <definedName name="Constraint_330_Sense" localSheetId="0" hidden="1">monday_model.lp!$EDH$336</definedName>
    <definedName name="Constraint_331" localSheetId="0" hidden="1">monday_model.lp!$C$337:$EDE$337</definedName>
    <definedName name="Constraint_331_LHS" localSheetId="0" hidden="1">monday_model.lp!$EDG$337</definedName>
    <definedName name="Constraint_331_RHS" localSheetId="0" hidden="1">monday_model.lp!$EDI$337</definedName>
    <definedName name="Constraint_331_Sense" localSheetId="0" hidden="1">monday_model.lp!$EDH$337</definedName>
    <definedName name="Constraint_332" localSheetId="0" hidden="1">monday_model.lp!$C$338:$EDE$338</definedName>
    <definedName name="Constraint_332_LHS" localSheetId="0" hidden="1">monday_model.lp!$EDG$338</definedName>
    <definedName name="Constraint_332_RHS" localSheetId="0" hidden="1">monday_model.lp!$EDI$338</definedName>
    <definedName name="Constraint_332_Sense" localSheetId="0" hidden="1">monday_model.lp!$EDH$338</definedName>
    <definedName name="Constraint_333" localSheetId="0" hidden="1">monday_model.lp!$C$339:$EDE$339</definedName>
    <definedName name="Constraint_333_LHS" localSheetId="0" hidden="1">monday_model.lp!$EDG$339</definedName>
    <definedName name="Constraint_333_RHS" localSheetId="0" hidden="1">monday_model.lp!$EDI$339</definedName>
    <definedName name="Constraint_333_Sense" localSheetId="0" hidden="1">monday_model.lp!$EDH$339</definedName>
    <definedName name="Constraint_334" localSheetId="0" hidden="1">monday_model.lp!$C$340:$EDE$340</definedName>
    <definedName name="Constraint_334_LHS" localSheetId="0" hidden="1">monday_model.lp!$EDG$340</definedName>
    <definedName name="Constraint_334_RHS" localSheetId="0" hidden="1">monday_model.lp!$EDI$340</definedName>
    <definedName name="Constraint_334_Sense" localSheetId="0" hidden="1">monday_model.lp!$EDH$340</definedName>
    <definedName name="Constraint_335" localSheetId="0" hidden="1">monday_model.lp!$C$341:$EDE$341</definedName>
    <definedName name="Constraint_335_LHS" localSheetId="0" hidden="1">monday_model.lp!$EDG$341</definedName>
    <definedName name="Constraint_335_RHS" localSheetId="0" hidden="1">monday_model.lp!$EDI$341</definedName>
    <definedName name="Constraint_335_Sense" localSheetId="0" hidden="1">monday_model.lp!$EDH$341</definedName>
    <definedName name="Constraint_336" localSheetId="0" hidden="1">monday_model.lp!$C$342:$EDE$342</definedName>
    <definedName name="Constraint_336_LHS" localSheetId="0" hidden="1">monday_model.lp!$EDG$342</definedName>
    <definedName name="Constraint_336_RHS" localSheetId="0" hidden="1">monday_model.lp!$EDI$342</definedName>
    <definedName name="Constraint_336_Sense" localSheetId="0" hidden="1">monday_model.lp!$EDH$342</definedName>
    <definedName name="Constraint_337" localSheetId="0" hidden="1">monday_model.lp!$C$343:$EDE$343</definedName>
    <definedName name="Constraint_337_LHS" localSheetId="0" hidden="1">monday_model.lp!$EDG$343</definedName>
    <definedName name="Constraint_337_RHS" localSheetId="0" hidden="1">monday_model.lp!$EDI$343</definedName>
    <definedName name="Constraint_337_Sense" localSheetId="0" hidden="1">monday_model.lp!$EDH$343</definedName>
    <definedName name="Constraint_338" localSheetId="0" hidden="1">monday_model.lp!$C$344:$EDE$344</definedName>
    <definedName name="Constraint_338_LHS" localSheetId="0" hidden="1">monday_model.lp!$EDG$344</definedName>
    <definedName name="Constraint_338_RHS" localSheetId="0" hidden="1">monday_model.lp!$EDI$344</definedName>
    <definedName name="Constraint_338_Sense" localSheetId="0" hidden="1">monday_model.lp!$EDH$344</definedName>
    <definedName name="Constraint_339" localSheetId="0" hidden="1">monday_model.lp!$C$345:$EDE$345</definedName>
    <definedName name="Constraint_339_LHS" localSheetId="0" hidden="1">monday_model.lp!$EDG$345</definedName>
    <definedName name="Constraint_339_RHS" localSheetId="0" hidden="1">monday_model.lp!$EDI$345</definedName>
    <definedName name="Constraint_339_Sense" localSheetId="0" hidden="1">monday_model.lp!$EDH$345</definedName>
    <definedName name="Constraint_34" localSheetId="0" hidden="1">monday_model.lp!$C$40:$EDE$40</definedName>
    <definedName name="Constraint_34_LHS" localSheetId="0" hidden="1">monday_model.lp!$EDG$40</definedName>
    <definedName name="Constraint_34_RHS" localSheetId="0" hidden="1">monday_model.lp!$EDI$40</definedName>
    <definedName name="Constraint_34_Sense" localSheetId="0" hidden="1">monday_model.lp!$EDH$40</definedName>
    <definedName name="Constraint_340" localSheetId="0" hidden="1">monday_model.lp!$C$346:$EDE$346</definedName>
    <definedName name="Constraint_340_LHS" localSheetId="0" hidden="1">monday_model.lp!$EDG$346</definedName>
    <definedName name="Constraint_340_RHS" localSheetId="0" hidden="1">monday_model.lp!$EDI$346</definedName>
    <definedName name="Constraint_340_Sense" localSheetId="0" hidden="1">monday_model.lp!$EDH$346</definedName>
    <definedName name="Constraint_341" localSheetId="0" hidden="1">monday_model.lp!$C$347:$EDE$347</definedName>
    <definedName name="Constraint_341_LHS" localSheetId="0" hidden="1">monday_model.lp!$EDG$347</definedName>
    <definedName name="Constraint_341_RHS" localSheetId="0" hidden="1">monday_model.lp!$EDI$347</definedName>
    <definedName name="Constraint_341_Sense" localSheetId="0" hidden="1">monday_model.lp!$EDH$347</definedName>
    <definedName name="Constraint_342" localSheetId="0" hidden="1">monday_model.lp!$C$348:$EDE$348</definedName>
    <definedName name="Constraint_342_LHS" localSheetId="0" hidden="1">monday_model.lp!$EDG$348</definedName>
    <definedName name="Constraint_342_RHS" localSheetId="0" hidden="1">monday_model.lp!$EDI$348</definedName>
    <definedName name="Constraint_342_Sense" localSheetId="0" hidden="1">monday_model.lp!$EDH$348</definedName>
    <definedName name="Constraint_343" localSheetId="0" hidden="1">monday_model.lp!$C$349:$EDE$349</definedName>
    <definedName name="Constraint_343_LHS" localSheetId="0" hidden="1">monday_model.lp!$EDG$349</definedName>
    <definedName name="Constraint_343_RHS" localSheetId="0" hidden="1">monday_model.lp!$EDI$349</definedName>
    <definedName name="Constraint_343_Sense" localSheetId="0" hidden="1">monday_model.lp!$EDH$349</definedName>
    <definedName name="Constraint_344" localSheetId="0" hidden="1">monday_model.lp!$C$350:$EDE$350</definedName>
    <definedName name="Constraint_344_LHS" localSheetId="0" hidden="1">monday_model.lp!$EDG$350</definedName>
    <definedName name="Constraint_344_RHS" localSheetId="0" hidden="1">monday_model.lp!$EDI$350</definedName>
    <definedName name="Constraint_344_Sense" localSheetId="0" hidden="1">monday_model.lp!$EDH$350</definedName>
    <definedName name="Constraint_345" localSheetId="0" hidden="1">monday_model.lp!$C$351:$EDE$351</definedName>
    <definedName name="Constraint_345_LHS" localSheetId="0" hidden="1">monday_model.lp!$EDG$351</definedName>
    <definedName name="Constraint_345_RHS" localSheetId="0" hidden="1">monday_model.lp!$EDI$351</definedName>
    <definedName name="Constraint_345_Sense" localSheetId="0" hidden="1">monday_model.lp!$EDH$351</definedName>
    <definedName name="Constraint_346" localSheetId="0" hidden="1">monday_model.lp!$C$352:$EDE$352</definedName>
    <definedName name="Constraint_346_LHS" localSheetId="0" hidden="1">monday_model.lp!$EDG$352</definedName>
    <definedName name="Constraint_346_RHS" localSheetId="0" hidden="1">monday_model.lp!$EDI$352</definedName>
    <definedName name="Constraint_346_Sense" localSheetId="0" hidden="1">monday_model.lp!$EDH$352</definedName>
    <definedName name="Constraint_347" localSheetId="0" hidden="1">monday_model.lp!$C$353:$EDE$353</definedName>
    <definedName name="Constraint_347_LHS" localSheetId="0" hidden="1">monday_model.lp!$EDG$353</definedName>
    <definedName name="Constraint_347_RHS" localSheetId="0" hidden="1">monday_model.lp!$EDI$353</definedName>
    <definedName name="Constraint_347_Sense" localSheetId="0" hidden="1">monday_model.lp!$EDH$353</definedName>
    <definedName name="Constraint_348" localSheetId="0" hidden="1">monday_model.lp!$C$354:$EDE$354</definedName>
    <definedName name="Constraint_348_LHS" localSheetId="0" hidden="1">monday_model.lp!$EDG$354</definedName>
    <definedName name="Constraint_348_RHS" localSheetId="0" hidden="1">monday_model.lp!$EDI$354</definedName>
    <definedName name="Constraint_348_Sense" localSheetId="0" hidden="1">monday_model.lp!$EDH$354</definedName>
    <definedName name="Constraint_349" localSheetId="0" hidden="1">monday_model.lp!$C$355:$EDE$355</definedName>
    <definedName name="Constraint_349_LHS" localSheetId="0" hidden="1">monday_model.lp!$EDG$355</definedName>
    <definedName name="Constraint_349_RHS" localSheetId="0" hidden="1">monday_model.lp!$EDI$355</definedName>
    <definedName name="Constraint_349_Sense" localSheetId="0" hidden="1">monday_model.lp!$EDH$355</definedName>
    <definedName name="Constraint_35" localSheetId="0" hidden="1">monday_model.lp!$C$41:$EDE$41</definedName>
    <definedName name="Constraint_35_LHS" localSheetId="0" hidden="1">monday_model.lp!$EDG$41</definedName>
    <definedName name="Constraint_35_RHS" localSheetId="0" hidden="1">monday_model.lp!$EDI$41</definedName>
    <definedName name="Constraint_35_Sense" localSheetId="0" hidden="1">monday_model.lp!$EDH$41</definedName>
    <definedName name="Constraint_350" localSheetId="0" hidden="1">monday_model.lp!$C$356:$EDE$356</definedName>
    <definedName name="Constraint_350_LHS" localSheetId="0" hidden="1">monday_model.lp!$EDG$356</definedName>
    <definedName name="Constraint_350_RHS" localSheetId="0" hidden="1">monday_model.lp!$EDI$356</definedName>
    <definedName name="Constraint_350_Sense" localSheetId="0" hidden="1">monday_model.lp!$EDH$356</definedName>
    <definedName name="Constraint_351" localSheetId="0" hidden="1">monday_model.lp!$C$357:$EDE$357</definedName>
    <definedName name="Constraint_351_LHS" localSheetId="0" hidden="1">monday_model.lp!$EDG$357</definedName>
    <definedName name="Constraint_351_RHS" localSheetId="0" hidden="1">monday_model.lp!$EDI$357</definedName>
    <definedName name="Constraint_351_Sense" localSheetId="0" hidden="1">monday_model.lp!$EDH$357</definedName>
    <definedName name="Constraint_352" localSheetId="0" hidden="1">monday_model.lp!$C$358:$EDE$358</definedName>
    <definedName name="Constraint_352_LHS" localSheetId="0" hidden="1">monday_model.lp!$EDG$358</definedName>
    <definedName name="Constraint_352_RHS" localSheetId="0" hidden="1">monday_model.lp!$EDI$358</definedName>
    <definedName name="Constraint_352_Sense" localSheetId="0" hidden="1">monday_model.lp!$EDH$358</definedName>
    <definedName name="Constraint_353" localSheetId="0" hidden="1">monday_model.lp!$C$359:$EDE$359</definedName>
    <definedName name="Constraint_353_LHS" localSheetId="0" hidden="1">monday_model.lp!$EDG$359</definedName>
    <definedName name="Constraint_353_RHS" localSheetId="0" hidden="1">monday_model.lp!$EDI$359</definedName>
    <definedName name="Constraint_353_Sense" localSheetId="0" hidden="1">monday_model.lp!$EDH$359</definedName>
    <definedName name="Constraint_354" localSheetId="0" hidden="1">monday_model.lp!$C$360:$EDE$360</definedName>
    <definedName name="Constraint_354_LHS" localSheetId="0" hidden="1">monday_model.lp!$EDG$360</definedName>
    <definedName name="Constraint_354_RHS" localSheetId="0" hidden="1">monday_model.lp!$EDI$360</definedName>
    <definedName name="Constraint_354_Sense" localSheetId="0" hidden="1">monday_model.lp!$EDH$360</definedName>
    <definedName name="Constraint_355" localSheetId="0" hidden="1">monday_model.lp!$C$361:$EDE$361</definedName>
    <definedName name="Constraint_355_LHS" localSheetId="0" hidden="1">monday_model.lp!$EDG$361</definedName>
    <definedName name="Constraint_355_RHS" localSheetId="0" hidden="1">monday_model.lp!$EDI$361</definedName>
    <definedName name="Constraint_355_Sense" localSheetId="0" hidden="1">monday_model.lp!$EDH$361</definedName>
    <definedName name="Constraint_356" localSheetId="0" hidden="1">monday_model.lp!$C$362:$EDE$362</definedName>
    <definedName name="Constraint_356_LHS" localSheetId="0" hidden="1">monday_model.lp!$EDG$362</definedName>
    <definedName name="Constraint_356_RHS" localSheetId="0" hidden="1">monday_model.lp!$EDI$362</definedName>
    <definedName name="Constraint_356_Sense" localSheetId="0" hidden="1">monday_model.lp!$EDH$362</definedName>
    <definedName name="Constraint_357" localSheetId="0" hidden="1">monday_model.lp!$C$363:$EDE$363</definedName>
    <definedName name="Constraint_357_LHS" localSheetId="0" hidden="1">monday_model.lp!$EDG$363</definedName>
    <definedName name="Constraint_357_RHS" localSheetId="0" hidden="1">monday_model.lp!$EDI$363</definedName>
    <definedName name="Constraint_357_Sense" localSheetId="0" hidden="1">monday_model.lp!$EDH$363</definedName>
    <definedName name="Constraint_358" localSheetId="0" hidden="1">monday_model.lp!$C$364:$EDE$364</definedName>
    <definedName name="Constraint_358_LHS" localSheetId="0" hidden="1">monday_model.lp!$EDG$364</definedName>
    <definedName name="Constraint_358_RHS" localSheetId="0" hidden="1">monday_model.lp!$EDI$364</definedName>
    <definedName name="Constraint_358_Sense" localSheetId="0" hidden="1">monday_model.lp!$EDH$364</definedName>
    <definedName name="Constraint_359" localSheetId="0" hidden="1">monday_model.lp!$C$365:$EDE$365</definedName>
    <definedName name="Constraint_359_LHS" localSheetId="0" hidden="1">monday_model.lp!$EDG$365</definedName>
    <definedName name="Constraint_359_RHS" localSheetId="0" hidden="1">monday_model.lp!$EDI$365</definedName>
    <definedName name="Constraint_359_Sense" localSheetId="0" hidden="1">monday_model.lp!$EDH$365</definedName>
    <definedName name="Constraint_36" localSheetId="0" hidden="1">monday_model.lp!$C$42:$EDE$42</definedName>
    <definedName name="Constraint_36_LHS" localSheetId="0" hidden="1">monday_model.lp!$EDG$42</definedName>
    <definedName name="Constraint_36_RHS" localSheetId="0" hidden="1">monday_model.lp!$EDI$42</definedName>
    <definedName name="Constraint_36_Sense" localSheetId="0" hidden="1">monday_model.lp!$EDH$42</definedName>
    <definedName name="Constraint_360" localSheetId="0" hidden="1">monday_model.lp!$C$366:$EDE$366</definedName>
    <definedName name="Constraint_360_LHS" localSheetId="0" hidden="1">monday_model.lp!$EDG$366</definedName>
    <definedName name="Constraint_360_RHS" localSheetId="0" hidden="1">monday_model.lp!$EDI$366</definedName>
    <definedName name="Constraint_360_Sense" localSheetId="0" hidden="1">monday_model.lp!$EDH$366</definedName>
    <definedName name="Constraint_361" localSheetId="0" hidden="1">monday_model.lp!$C$367:$EDE$367</definedName>
    <definedName name="Constraint_361_LHS" localSheetId="0" hidden="1">monday_model.lp!$EDG$367</definedName>
    <definedName name="Constraint_361_RHS" localSheetId="0" hidden="1">monday_model.lp!$EDI$367</definedName>
    <definedName name="Constraint_361_Sense" localSheetId="0" hidden="1">monday_model.lp!$EDH$367</definedName>
    <definedName name="Constraint_362" localSheetId="0" hidden="1">monday_model.lp!$C$368:$EDE$368</definedName>
    <definedName name="Constraint_362_LHS" localSheetId="0" hidden="1">monday_model.lp!$EDG$368</definedName>
    <definedName name="Constraint_362_RHS" localSheetId="0" hidden="1">monday_model.lp!$EDI$368</definedName>
    <definedName name="Constraint_362_Sense" localSheetId="0" hidden="1">monday_model.lp!$EDH$368</definedName>
    <definedName name="Constraint_363" localSheetId="0" hidden="1">monday_model.lp!$C$369:$EDE$369</definedName>
    <definedName name="Constraint_363_LHS" localSheetId="0" hidden="1">monday_model.lp!$EDG$369</definedName>
    <definedName name="Constraint_363_RHS" localSheetId="0" hidden="1">monday_model.lp!$EDI$369</definedName>
    <definedName name="Constraint_363_Sense" localSheetId="0" hidden="1">monday_model.lp!$EDH$369</definedName>
    <definedName name="Constraint_364" localSheetId="0" hidden="1">monday_model.lp!$C$370:$EDE$370</definedName>
    <definedName name="Constraint_364_LHS" localSheetId="0" hidden="1">monday_model.lp!$EDG$370</definedName>
    <definedName name="Constraint_364_RHS" localSheetId="0" hidden="1">monday_model.lp!$EDI$370</definedName>
    <definedName name="Constraint_364_Sense" localSheetId="0" hidden="1">monday_model.lp!$EDH$370</definedName>
    <definedName name="Constraint_365" localSheetId="0" hidden="1">monday_model.lp!$C$371:$EDE$371</definedName>
    <definedName name="Constraint_365_LHS" localSheetId="0" hidden="1">monday_model.lp!$EDG$371</definedName>
    <definedName name="Constraint_365_RHS" localSheetId="0" hidden="1">monday_model.lp!$EDI$371</definedName>
    <definedName name="Constraint_365_Sense" localSheetId="0" hidden="1">monday_model.lp!$EDH$371</definedName>
    <definedName name="Constraint_366" localSheetId="0" hidden="1">monday_model.lp!$C$372:$EDE$372</definedName>
    <definedName name="Constraint_366_LHS" localSheetId="0" hidden="1">monday_model.lp!$EDG$372</definedName>
    <definedName name="Constraint_366_RHS" localSheetId="0" hidden="1">monday_model.lp!$EDI$372</definedName>
    <definedName name="Constraint_366_Sense" localSheetId="0" hidden="1">monday_model.lp!$EDH$372</definedName>
    <definedName name="Constraint_367" localSheetId="0" hidden="1">monday_model.lp!$C$373:$EDE$373</definedName>
    <definedName name="Constraint_367_LHS" localSheetId="0" hidden="1">monday_model.lp!$EDG$373</definedName>
    <definedName name="Constraint_367_RHS" localSheetId="0" hidden="1">monday_model.lp!$EDI$373</definedName>
    <definedName name="Constraint_367_Sense" localSheetId="0" hidden="1">monday_model.lp!$EDH$373</definedName>
    <definedName name="Constraint_368" localSheetId="0" hidden="1">monday_model.lp!$C$374:$EDE$374</definedName>
    <definedName name="Constraint_368_LHS" localSheetId="0" hidden="1">monday_model.lp!$EDG$374</definedName>
    <definedName name="Constraint_368_RHS" localSheetId="0" hidden="1">monday_model.lp!$EDI$374</definedName>
    <definedName name="Constraint_368_Sense" localSheetId="0" hidden="1">monday_model.lp!$EDH$374</definedName>
    <definedName name="Constraint_369" localSheetId="0" hidden="1">monday_model.lp!$C$375:$EDE$375</definedName>
    <definedName name="Constraint_369_LHS" localSheetId="0" hidden="1">monday_model.lp!$EDG$375</definedName>
    <definedName name="Constraint_369_RHS" localSheetId="0" hidden="1">monday_model.lp!$EDI$375</definedName>
    <definedName name="Constraint_369_Sense" localSheetId="0" hidden="1">monday_model.lp!$EDH$375</definedName>
    <definedName name="Constraint_37" localSheetId="0" hidden="1">monday_model.lp!$C$43:$EDE$43</definedName>
    <definedName name="Constraint_37_LHS" localSheetId="0" hidden="1">monday_model.lp!$EDG$43</definedName>
    <definedName name="Constraint_37_RHS" localSheetId="0" hidden="1">monday_model.lp!$EDI$43</definedName>
    <definedName name="Constraint_37_Sense" localSheetId="0" hidden="1">monday_model.lp!$EDH$43</definedName>
    <definedName name="Constraint_370" localSheetId="0" hidden="1">monday_model.lp!$C$376:$EDE$376</definedName>
    <definedName name="Constraint_370_LHS" localSheetId="0" hidden="1">monday_model.lp!$EDG$376</definedName>
    <definedName name="Constraint_370_RHS" localSheetId="0" hidden="1">monday_model.lp!$EDI$376</definedName>
    <definedName name="Constraint_370_Sense" localSheetId="0" hidden="1">monday_model.lp!$EDH$376</definedName>
    <definedName name="Constraint_371" localSheetId="0" hidden="1">monday_model.lp!$C$377:$EDE$377</definedName>
    <definedName name="Constraint_371_LHS" localSheetId="0" hidden="1">monday_model.lp!$EDG$377</definedName>
    <definedName name="Constraint_371_RHS" localSheetId="0" hidden="1">monday_model.lp!$EDI$377</definedName>
    <definedName name="Constraint_371_Sense" localSheetId="0" hidden="1">monday_model.lp!$EDH$377</definedName>
    <definedName name="Constraint_372" localSheetId="0" hidden="1">monday_model.lp!$C$378:$EDE$378</definedName>
    <definedName name="Constraint_372_LHS" localSheetId="0" hidden="1">monday_model.lp!$EDG$378</definedName>
    <definedName name="Constraint_372_RHS" localSheetId="0" hidden="1">monday_model.lp!$EDI$378</definedName>
    <definedName name="Constraint_372_Sense" localSheetId="0" hidden="1">monday_model.lp!$EDH$378</definedName>
    <definedName name="Constraint_373" localSheetId="0" hidden="1">monday_model.lp!$C$379:$EDE$379</definedName>
    <definedName name="Constraint_373_LHS" localSheetId="0" hidden="1">monday_model.lp!$EDG$379</definedName>
    <definedName name="Constraint_373_RHS" localSheetId="0" hidden="1">monday_model.lp!$EDI$379</definedName>
    <definedName name="Constraint_373_Sense" localSheetId="0" hidden="1">monday_model.lp!$EDH$379</definedName>
    <definedName name="Constraint_374" localSheetId="0" hidden="1">monday_model.lp!$C$380:$EDE$380</definedName>
    <definedName name="Constraint_374_LHS" localSheetId="0" hidden="1">monday_model.lp!$EDG$380</definedName>
    <definedName name="Constraint_374_RHS" localSheetId="0" hidden="1">monday_model.lp!$EDI$380</definedName>
    <definedName name="Constraint_374_Sense" localSheetId="0" hidden="1">monday_model.lp!$EDH$380</definedName>
    <definedName name="Constraint_375" localSheetId="0" hidden="1">monday_model.lp!$C$381:$EDE$381</definedName>
    <definedName name="Constraint_375_LHS" localSheetId="0" hidden="1">monday_model.lp!$EDG$381</definedName>
    <definedName name="Constraint_375_RHS" localSheetId="0" hidden="1">monday_model.lp!$EDI$381</definedName>
    <definedName name="Constraint_375_Sense" localSheetId="0" hidden="1">monday_model.lp!$EDH$381</definedName>
    <definedName name="Constraint_376" localSheetId="0" hidden="1">monday_model.lp!$C$382:$EDE$382</definedName>
    <definedName name="Constraint_376_LHS" localSheetId="0" hidden="1">monday_model.lp!$EDG$382</definedName>
    <definedName name="Constraint_376_RHS" localSheetId="0" hidden="1">monday_model.lp!$EDI$382</definedName>
    <definedName name="Constraint_376_Sense" localSheetId="0" hidden="1">monday_model.lp!$EDH$382</definedName>
    <definedName name="Constraint_377" localSheetId="0" hidden="1">monday_model.lp!$C$383:$EDE$383</definedName>
    <definedName name="Constraint_377_LHS" localSheetId="0" hidden="1">monday_model.lp!$EDG$383</definedName>
    <definedName name="Constraint_377_RHS" localSheetId="0" hidden="1">monday_model.lp!$EDI$383</definedName>
    <definedName name="Constraint_377_Sense" localSheetId="0" hidden="1">monday_model.lp!$EDH$383</definedName>
    <definedName name="Constraint_378" localSheetId="0" hidden="1">monday_model.lp!$C$384:$EDE$384</definedName>
    <definedName name="Constraint_378_LHS" localSheetId="0" hidden="1">monday_model.lp!$EDG$384</definedName>
    <definedName name="Constraint_378_RHS" localSheetId="0" hidden="1">monday_model.lp!$EDI$384</definedName>
    <definedName name="Constraint_378_Sense" localSheetId="0" hidden="1">monday_model.lp!$EDH$384</definedName>
    <definedName name="Constraint_379" localSheetId="0" hidden="1">monday_model.lp!$C$385:$EDE$385</definedName>
    <definedName name="Constraint_379_LHS" localSheetId="0" hidden="1">monday_model.lp!$EDG$385</definedName>
    <definedName name="Constraint_379_RHS" localSheetId="0" hidden="1">monday_model.lp!$EDI$385</definedName>
    <definedName name="Constraint_379_Sense" localSheetId="0" hidden="1">monday_model.lp!$EDH$385</definedName>
    <definedName name="Constraint_38" localSheetId="0" hidden="1">monday_model.lp!$C$44:$EDE$44</definedName>
    <definedName name="Constraint_38_LHS" localSheetId="0" hidden="1">monday_model.lp!$EDG$44</definedName>
    <definedName name="Constraint_38_RHS" localSheetId="0" hidden="1">monday_model.lp!$EDI$44</definedName>
    <definedName name="Constraint_38_Sense" localSheetId="0" hidden="1">monday_model.lp!$EDH$44</definedName>
    <definedName name="Constraint_380" localSheetId="0" hidden="1">monday_model.lp!$C$386:$EDE$386</definedName>
    <definedName name="Constraint_380_LHS" localSheetId="0" hidden="1">monday_model.lp!$EDG$386</definedName>
    <definedName name="Constraint_380_RHS" localSheetId="0" hidden="1">monday_model.lp!$EDI$386</definedName>
    <definedName name="Constraint_380_Sense" localSheetId="0" hidden="1">monday_model.lp!$EDH$386</definedName>
    <definedName name="Constraint_381" localSheetId="0" hidden="1">monday_model.lp!$C$387:$EDE$387</definedName>
    <definedName name="Constraint_381_LHS" localSheetId="0" hidden="1">monday_model.lp!$EDG$387</definedName>
    <definedName name="Constraint_381_RHS" localSheetId="0" hidden="1">monday_model.lp!$EDI$387</definedName>
    <definedName name="Constraint_381_Sense" localSheetId="0" hidden="1">monday_model.lp!$EDH$387</definedName>
    <definedName name="Constraint_382" localSheetId="0" hidden="1">monday_model.lp!$C$388:$EDE$388</definedName>
    <definedName name="Constraint_382_LHS" localSheetId="0" hidden="1">monday_model.lp!$EDG$388</definedName>
    <definedName name="Constraint_382_RHS" localSheetId="0" hidden="1">monday_model.lp!$EDI$388</definedName>
    <definedName name="Constraint_382_Sense" localSheetId="0" hidden="1">monday_model.lp!$EDH$388</definedName>
    <definedName name="Constraint_383" localSheetId="0" hidden="1">monday_model.lp!$C$389:$EDE$389</definedName>
    <definedName name="Constraint_383_LHS" localSheetId="0" hidden="1">monday_model.lp!$EDG$389</definedName>
    <definedName name="Constraint_383_RHS" localSheetId="0" hidden="1">monday_model.lp!$EDI$389</definedName>
    <definedName name="Constraint_383_Sense" localSheetId="0" hidden="1">monday_model.lp!$EDH$389</definedName>
    <definedName name="Constraint_384" localSheetId="0" hidden="1">monday_model.lp!$C$390:$EDE$390</definedName>
    <definedName name="Constraint_384_LHS" localSheetId="0" hidden="1">monday_model.lp!$EDG$390</definedName>
    <definedName name="Constraint_384_RHS" localSheetId="0" hidden="1">monday_model.lp!$EDI$390</definedName>
    <definedName name="Constraint_384_Sense" localSheetId="0" hidden="1">monday_model.lp!$EDH$390</definedName>
    <definedName name="Constraint_385" localSheetId="0" hidden="1">monday_model.lp!$C$391:$EDE$391</definedName>
    <definedName name="Constraint_385_LHS" localSheetId="0" hidden="1">monday_model.lp!$EDG$391</definedName>
    <definedName name="Constraint_385_RHS" localSheetId="0" hidden="1">monday_model.lp!$EDI$391</definedName>
    <definedName name="Constraint_385_Sense" localSheetId="0" hidden="1">monday_model.lp!$EDH$391</definedName>
    <definedName name="Constraint_386" localSheetId="0" hidden="1">monday_model.lp!$C$392:$EDE$392</definedName>
    <definedName name="Constraint_386_LHS" localSheetId="0" hidden="1">monday_model.lp!$EDG$392</definedName>
    <definedName name="Constraint_386_RHS" localSheetId="0" hidden="1">monday_model.lp!$EDI$392</definedName>
    <definedName name="Constraint_386_Sense" localSheetId="0" hidden="1">monday_model.lp!$EDH$392</definedName>
    <definedName name="Constraint_387" localSheetId="0" hidden="1">monday_model.lp!$C$393:$EDE$393</definedName>
    <definedName name="Constraint_387_LHS" localSheetId="0" hidden="1">monday_model.lp!$EDG$393</definedName>
    <definedName name="Constraint_387_RHS" localSheetId="0" hidden="1">monday_model.lp!$EDI$393</definedName>
    <definedName name="Constraint_387_Sense" localSheetId="0" hidden="1">monday_model.lp!$EDH$393</definedName>
    <definedName name="Constraint_388" localSheetId="0" hidden="1">monday_model.lp!$C$394:$EDE$394</definedName>
    <definedName name="Constraint_388_LHS" localSheetId="0" hidden="1">monday_model.lp!$EDG$394</definedName>
    <definedName name="Constraint_388_RHS" localSheetId="0" hidden="1">monday_model.lp!$EDI$394</definedName>
    <definedName name="Constraint_388_Sense" localSheetId="0" hidden="1">monday_model.lp!$EDH$394</definedName>
    <definedName name="Constraint_389" localSheetId="0" hidden="1">monday_model.lp!$C$395:$EDE$395</definedName>
    <definedName name="Constraint_389_LHS" localSheetId="0" hidden="1">monday_model.lp!$EDG$395</definedName>
    <definedName name="Constraint_389_RHS" localSheetId="0" hidden="1">monday_model.lp!$EDI$395</definedName>
    <definedName name="Constraint_389_Sense" localSheetId="0" hidden="1">monday_model.lp!$EDH$395</definedName>
    <definedName name="Constraint_39" localSheetId="0" hidden="1">monday_model.lp!$C$45:$EDE$45</definedName>
    <definedName name="Constraint_39_LHS" localSheetId="0" hidden="1">monday_model.lp!$EDG$45</definedName>
    <definedName name="Constraint_39_RHS" localSheetId="0" hidden="1">monday_model.lp!$EDI$45</definedName>
    <definedName name="Constraint_39_Sense" localSheetId="0" hidden="1">monday_model.lp!$EDH$45</definedName>
    <definedName name="Constraint_390" localSheetId="0" hidden="1">monday_model.lp!$C$396:$EDE$396</definedName>
    <definedName name="Constraint_390_LHS" localSheetId="0" hidden="1">monday_model.lp!$EDG$396</definedName>
    <definedName name="Constraint_390_RHS" localSheetId="0" hidden="1">monday_model.lp!$EDI$396</definedName>
    <definedName name="Constraint_390_Sense" localSheetId="0" hidden="1">monday_model.lp!$EDH$396</definedName>
    <definedName name="Constraint_391" localSheetId="0" hidden="1">monday_model.lp!$C$397:$EDE$397</definedName>
    <definedName name="Constraint_391_LHS" localSheetId="0" hidden="1">monday_model.lp!$EDG$397</definedName>
    <definedName name="Constraint_391_RHS" localSheetId="0" hidden="1">monday_model.lp!$EDI$397</definedName>
    <definedName name="Constraint_391_Sense" localSheetId="0" hidden="1">monday_model.lp!$EDH$397</definedName>
    <definedName name="Constraint_392" localSheetId="0" hidden="1">monday_model.lp!$C$398:$EDE$398</definedName>
    <definedName name="Constraint_392_LHS" localSheetId="0" hidden="1">monday_model.lp!$EDG$398</definedName>
    <definedName name="Constraint_392_RHS" localSheetId="0" hidden="1">monday_model.lp!$EDI$398</definedName>
    <definedName name="Constraint_392_Sense" localSheetId="0" hidden="1">monday_model.lp!$EDH$398</definedName>
    <definedName name="Constraint_393" localSheetId="0" hidden="1">monday_model.lp!$C$399:$EDE$399</definedName>
    <definedName name="Constraint_393_LHS" localSheetId="0" hidden="1">monday_model.lp!$EDG$399</definedName>
    <definedName name="Constraint_393_RHS" localSheetId="0" hidden="1">monday_model.lp!$EDI$399</definedName>
    <definedName name="Constraint_393_Sense" localSheetId="0" hidden="1">monday_model.lp!$EDH$399</definedName>
    <definedName name="Constraint_394" localSheetId="0" hidden="1">monday_model.lp!$C$400:$EDE$400</definedName>
    <definedName name="Constraint_394_LHS" localSheetId="0" hidden="1">monday_model.lp!$EDG$400</definedName>
    <definedName name="Constraint_394_RHS" localSheetId="0" hidden="1">monday_model.lp!$EDI$400</definedName>
    <definedName name="Constraint_394_Sense" localSheetId="0" hidden="1">monday_model.lp!$EDH$400</definedName>
    <definedName name="Constraint_395" localSheetId="0" hidden="1">monday_model.lp!$C$401:$EDE$401</definedName>
    <definedName name="Constraint_395_LHS" localSheetId="0" hidden="1">monday_model.lp!$EDG$401</definedName>
    <definedName name="Constraint_395_RHS" localSheetId="0" hidden="1">monday_model.lp!$EDI$401</definedName>
    <definedName name="Constraint_395_Sense" localSheetId="0" hidden="1">monday_model.lp!$EDH$401</definedName>
    <definedName name="Constraint_396" localSheetId="0" hidden="1">monday_model.lp!$C$402:$EDE$402</definedName>
    <definedName name="Constraint_396_LHS" localSheetId="0" hidden="1">monday_model.lp!$EDG$402</definedName>
    <definedName name="Constraint_396_RHS" localSheetId="0" hidden="1">monday_model.lp!$EDI$402</definedName>
    <definedName name="Constraint_396_Sense" localSheetId="0" hidden="1">monday_model.lp!$EDH$402</definedName>
    <definedName name="Constraint_397" localSheetId="0" hidden="1">monday_model.lp!$C$403:$EDE$403</definedName>
    <definedName name="Constraint_397_LHS" localSheetId="0" hidden="1">monday_model.lp!$EDG$403</definedName>
    <definedName name="Constraint_397_RHS" localSheetId="0" hidden="1">monday_model.lp!$EDI$403</definedName>
    <definedName name="Constraint_397_Sense" localSheetId="0" hidden="1">monday_model.lp!$EDH$403</definedName>
    <definedName name="Constraint_398" localSheetId="0" hidden="1">monday_model.lp!$C$404:$EDE$404</definedName>
    <definedName name="Constraint_398_LHS" localSheetId="0" hidden="1">monday_model.lp!$EDG$404</definedName>
    <definedName name="Constraint_398_RHS" localSheetId="0" hidden="1">monday_model.lp!$EDI$404</definedName>
    <definedName name="Constraint_398_Sense" localSheetId="0" hidden="1">monday_model.lp!$EDH$404</definedName>
    <definedName name="Constraint_399" localSheetId="0" hidden="1">monday_model.lp!$C$405:$EDE$405</definedName>
    <definedName name="Constraint_399_LHS" localSheetId="0" hidden="1">monday_model.lp!$EDG$405</definedName>
    <definedName name="Constraint_399_RHS" localSheetId="0" hidden="1">monday_model.lp!$EDI$405</definedName>
    <definedName name="Constraint_399_Sense" localSheetId="0" hidden="1">monday_model.lp!$EDH$405</definedName>
    <definedName name="Constraint_4" localSheetId="0" hidden="1">monday_model.lp!$C$10:$EDE$10</definedName>
    <definedName name="Constraint_4_LHS" localSheetId="0" hidden="1">monday_model.lp!$EDG$10</definedName>
    <definedName name="Constraint_4_RHS" localSheetId="0" hidden="1">monday_model.lp!$EDI$10</definedName>
    <definedName name="Constraint_4_Sense" localSheetId="0" hidden="1">monday_model.lp!$EDH$10</definedName>
    <definedName name="Constraint_40" localSheetId="0" hidden="1">monday_model.lp!$C$46:$EDE$46</definedName>
    <definedName name="Constraint_40_LHS" localSheetId="0" hidden="1">monday_model.lp!$EDG$46</definedName>
    <definedName name="Constraint_40_RHS" localSheetId="0" hidden="1">monday_model.lp!$EDI$46</definedName>
    <definedName name="Constraint_40_Sense" localSheetId="0" hidden="1">monday_model.lp!$EDH$46</definedName>
    <definedName name="Constraint_400" localSheetId="0" hidden="1">monday_model.lp!$C$406:$EDE$406</definedName>
    <definedName name="Constraint_400_LHS" localSheetId="0" hidden="1">monday_model.lp!$EDG$406</definedName>
    <definedName name="Constraint_400_RHS" localSheetId="0" hidden="1">monday_model.lp!$EDI$406</definedName>
    <definedName name="Constraint_400_Sense" localSheetId="0" hidden="1">monday_model.lp!$EDH$406</definedName>
    <definedName name="Constraint_401" localSheetId="0" hidden="1">monday_model.lp!$C$407:$EDE$407</definedName>
    <definedName name="Constraint_401_LHS" localSheetId="0" hidden="1">monday_model.lp!$EDG$407</definedName>
    <definedName name="Constraint_401_RHS" localSheetId="0" hidden="1">monday_model.lp!$EDI$407</definedName>
    <definedName name="Constraint_401_Sense" localSheetId="0" hidden="1">monday_model.lp!$EDH$407</definedName>
    <definedName name="Constraint_402" localSheetId="0" hidden="1">monday_model.lp!$C$408:$EDE$408</definedName>
    <definedName name="Constraint_402_LHS" localSheetId="0" hidden="1">monday_model.lp!$EDG$408</definedName>
    <definedName name="Constraint_402_RHS" localSheetId="0" hidden="1">monday_model.lp!$EDI$408</definedName>
    <definedName name="Constraint_402_Sense" localSheetId="0" hidden="1">monday_model.lp!$EDH$408</definedName>
    <definedName name="Constraint_403" localSheetId="0" hidden="1">monday_model.lp!$C$409:$EDE$409</definedName>
    <definedName name="Constraint_403_LHS" localSheetId="0" hidden="1">monday_model.lp!$EDG$409</definedName>
    <definedName name="Constraint_403_RHS" localSheetId="0" hidden="1">monday_model.lp!$EDI$409</definedName>
    <definedName name="Constraint_403_Sense" localSheetId="0" hidden="1">monday_model.lp!$EDH$409</definedName>
    <definedName name="Constraint_404" localSheetId="0" hidden="1">monday_model.lp!$C$410:$EDE$410</definedName>
    <definedName name="Constraint_404_LHS" localSheetId="0" hidden="1">monday_model.lp!$EDG$410</definedName>
    <definedName name="Constraint_404_RHS" localSheetId="0" hidden="1">monday_model.lp!$EDI$410</definedName>
    <definedName name="Constraint_404_Sense" localSheetId="0" hidden="1">monday_model.lp!$EDH$410</definedName>
    <definedName name="Constraint_405" localSheetId="0" hidden="1">monday_model.lp!$C$411:$EDE$411</definedName>
    <definedName name="Constraint_405_LHS" localSheetId="0" hidden="1">monday_model.lp!$EDG$411</definedName>
    <definedName name="Constraint_405_RHS" localSheetId="0" hidden="1">monday_model.lp!$EDI$411</definedName>
    <definedName name="Constraint_405_Sense" localSheetId="0" hidden="1">monday_model.lp!$EDH$411</definedName>
    <definedName name="Constraint_406" localSheetId="0" hidden="1">monday_model.lp!$C$412:$EDE$412</definedName>
    <definedName name="Constraint_406_LHS" localSheetId="0" hidden="1">monday_model.lp!$EDG$412</definedName>
    <definedName name="Constraint_406_RHS" localSheetId="0" hidden="1">monday_model.lp!$EDI$412</definedName>
    <definedName name="Constraint_406_Sense" localSheetId="0" hidden="1">monday_model.lp!$EDH$412</definedName>
    <definedName name="Constraint_407" localSheetId="0" hidden="1">monday_model.lp!$C$413:$EDE$413</definedName>
    <definedName name="Constraint_407_LHS" localSheetId="0" hidden="1">monday_model.lp!$EDG$413</definedName>
    <definedName name="Constraint_407_RHS" localSheetId="0" hidden="1">monday_model.lp!$EDI$413</definedName>
    <definedName name="Constraint_407_Sense" localSheetId="0" hidden="1">monday_model.lp!$EDH$413</definedName>
    <definedName name="Constraint_408" localSheetId="0" hidden="1">monday_model.lp!$C$414:$EDE$414</definedName>
    <definedName name="Constraint_408_LHS" localSheetId="0" hidden="1">monday_model.lp!$EDG$414</definedName>
    <definedName name="Constraint_408_RHS" localSheetId="0" hidden="1">monday_model.lp!$EDI$414</definedName>
    <definedName name="Constraint_408_Sense" localSheetId="0" hidden="1">monday_model.lp!$EDH$414</definedName>
    <definedName name="Constraint_409" localSheetId="0" hidden="1">monday_model.lp!$C$415:$EDE$415</definedName>
    <definedName name="Constraint_409_LHS" localSheetId="0" hidden="1">monday_model.lp!$EDG$415</definedName>
    <definedName name="Constraint_409_RHS" localSheetId="0" hidden="1">monday_model.lp!$EDI$415</definedName>
    <definedName name="Constraint_409_Sense" localSheetId="0" hidden="1">monday_model.lp!$EDH$415</definedName>
    <definedName name="Constraint_41" localSheetId="0" hidden="1">monday_model.lp!$C$47:$EDE$47</definedName>
    <definedName name="Constraint_41_LHS" localSheetId="0" hidden="1">monday_model.lp!$EDG$47</definedName>
    <definedName name="Constraint_41_RHS" localSheetId="0" hidden="1">monday_model.lp!$EDI$47</definedName>
    <definedName name="Constraint_41_Sense" localSheetId="0" hidden="1">monday_model.lp!$EDH$47</definedName>
    <definedName name="Constraint_410" localSheetId="0" hidden="1">monday_model.lp!$C$416:$EDE$416</definedName>
    <definedName name="Constraint_410_LHS" localSheetId="0" hidden="1">monday_model.lp!$EDG$416</definedName>
    <definedName name="Constraint_410_RHS" localSheetId="0" hidden="1">monday_model.lp!$EDI$416</definedName>
    <definedName name="Constraint_410_Sense" localSheetId="0" hidden="1">monday_model.lp!$EDH$416</definedName>
    <definedName name="Constraint_411" localSheetId="0" hidden="1">monday_model.lp!$C$417:$EDE$417</definedName>
    <definedName name="Constraint_411_LHS" localSheetId="0" hidden="1">monday_model.lp!$EDG$417</definedName>
    <definedName name="Constraint_411_RHS" localSheetId="0" hidden="1">monday_model.lp!$EDI$417</definedName>
    <definedName name="Constraint_411_Sense" localSheetId="0" hidden="1">monday_model.lp!$EDH$417</definedName>
    <definedName name="Constraint_412" localSheetId="0" hidden="1">monday_model.lp!$C$418:$EDE$418</definedName>
    <definedName name="Constraint_412_LHS" localSheetId="0" hidden="1">monday_model.lp!$EDG$418</definedName>
    <definedName name="Constraint_412_RHS" localSheetId="0" hidden="1">monday_model.lp!$EDI$418</definedName>
    <definedName name="Constraint_412_Sense" localSheetId="0" hidden="1">monday_model.lp!$EDH$418</definedName>
    <definedName name="Constraint_413" localSheetId="0" hidden="1">monday_model.lp!$C$419:$EDE$419</definedName>
    <definedName name="Constraint_413_LHS" localSheetId="0" hidden="1">monday_model.lp!$EDG$419</definedName>
    <definedName name="Constraint_413_RHS" localSheetId="0" hidden="1">monday_model.lp!$EDI$419</definedName>
    <definedName name="Constraint_413_Sense" localSheetId="0" hidden="1">monday_model.lp!$EDH$419</definedName>
    <definedName name="Constraint_414" localSheetId="0" hidden="1">monday_model.lp!$C$420:$EDE$420</definedName>
    <definedName name="Constraint_414_LHS" localSheetId="0" hidden="1">monday_model.lp!$EDG$420</definedName>
    <definedName name="Constraint_414_RHS" localSheetId="0" hidden="1">monday_model.lp!$EDI$420</definedName>
    <definedName name="Constraint_414_Sense" localSheetId="0" hidden="1">monday_model.lp!$EDH$420</definedName>
    <definedName name="Constraint_415" localSheetId="0" hidden="1">monday_model.lp!$C$421:$EDE$421</definedName>
    <definedName name="Constraint_415_LHS" localSheetId="0" hidden="1">monday_model.lp!$EDG$421</definedName>
    <definedName name="Constraint_415_RHS" localSheetId="0" hidden="1">monday_model.lp!$EDI$421</definedName>
    <definedName name="Constraint_415_Sense" localSheetId="0" hidden="1">monday_model.lp!$EDH$421</definedName>
    <definedName name="Constraint_416" localSheetId="0" hidden="1">monday_model.lp!$C$422:$EDE$422</definedName>
    <definedName name="Constraint_416_LHS" localSheetId="0" hidden="1">monday_model.lp!$EDG$422</definedName>
    <definedName name="Constraint_416_RHS" localSheetId="0" hidden="1">monday_model.lp!$EDI$422</definedName>
    <definedName name="Constraint_416_Sense" localSheetId="0" hidden="1">monday_model.lp!$EDH$422</definedName>
    <definedName name="Constraint_417" localSheetId="0" hidden="1">monday_model.lp!$C$423:$EDE$423</definedName>
    <definedName name="Constraint_417_LHS" localSheetId="0" hidden="1">monday_model.lp!$EDG$423</definedName>
    <definedName name="Constraint_417_RHS" localSheetId="0" hidden="1">monday_model.lp!$EDI$423</definedName>
    <definedName name="Constraint_417_Sense" localSheetId="0" hidden="1">monday_model.lp!$EDH$423</definedName>
    <definedName name="Constraint_418" localSheetId="0" hidden="1">monday_model.lp!$C$424:$EDE$424</definedName>
    <definedName name="Constraint_418_LHS" localSheetId="0" hidden="1">monday_model.lp!$EDG$424</definedName>
    <definedName name="Constraint_418_RHS" localSheetId="0" hidden="1">monday_model.lp!$EDI$424</definedName>
    <definedName name="Constraint_418_Sense" localSheetId="0" hidden="1">monday_model.lp!$EDH$424</definedName>
    <definedName name="Constraint_419" localSheetId="0" hidden="1">monday_model.lp!$C$425:$EDE$425</definedName>
    <definedName name="Constraint_419_LHS" localSheetId="0" hidden="1">monday_model.lp!$EDG$425</definedName>
    <definedName name="Constraint_419_RHS" localSheetId="0" hidden="1">monday_model.lp!$EDI$425</definedName>
    <definedName name="Constraint_419_Sense" localSheetId="0" hidden="1">monday_model.lp!$EDH$425</definedName>
    <definedName name="Constraint_42" localSheetId="0" hidden="1">monday_model.lp!$C$48:$EDE$48</definedName>
    <definedName name="Constraint_42_LHS" localSheetId="0" hidden="1">monday_model.lp!$EDG$48</definedName>
    <definedName name="Constraint_42_RHS" localSheetId="0" hidden="1">monday_model.lp!$EDI$48</definedName>
    <definedName name="Constraint_42_Sense" localSheetId="0" hidden="1">monday_model.lp!$EDH$48</definedName>
    <definedName name="Constraint_420" localSheetId="0" hidden="1">monday_model.lp!$C$426:$EDE$426</definedName>
    <definedName name="Constraint_420_LHS" localSheetId="0" hidden="1">monday_model.lp!$EDG$426</definedName>
    <definedName name="Constraint_420_RHS" localSheetId="0" hidden="1">monday_model.lp!$EDI$426</definedName>
    <definedName name="Constraint_420_Sense" localSheetId="0" hidden="1">monday_model.lp!$EDH$426</definedName>
    <definedName name="Constraint_421" localSheetId="0" hidden="1">monday_model.lp!$C$427:$EDE$427</definedName>
    <definedName name="Constraint_421_LHS" localSheetId="0" hidden="1">monday_model.lp!$EDG$427</definedName>
    <definedName name="Constraint_421_RHS" localSheetId="0" hidden="1">monday_model.lp!$EDI$427</definedName>
    <definedName name="Constraint_421_Sense" localSheetId="0" hidden="1">monday_model.lp!$EDH$427</definedName>
    <definedName name="Constraint_422" localSheetId="0" hidden="1">monday_model.lp!$C$428:$EDE$428</definedName>
    <definedName name="Constraint_422_LHS" localSheetId="0" hidden="1">monday_model.lp!$EDG$428</definedName>
    <definedName name="Constraint_422_RHS" localSheetId="0" hidden="1">monday_model.lp!$EDI$428</definedName>
    <definedName name="Constraint_422_Sense" localSheetId="0" hidden="1">monday_model.lp!$EDH$428</definedName>
    <definedName name="Constraint_423" localSheetId="0" hidden="1">monday_model.lp!$C$429:$EDE$429</definedName>
    <definedName name="Constraint_423_LHS" localSheetId="0" hidden="1">monday_model.lp!$EDG$429</definedName>
    <definedName name="Constraint_423_RHS" localSheetId="0" hidden="1">monday_model.lp!$EDI$429</definedName>
    <definedName name="Constraint_423_Sense" localSheetId="0" hidden="1">monday_model.lp!$EDH$429</definedName>
    <definedName name="Constraint_424" localSheetId="0" hidden="1">monday_model.lp!$C$430:$EDE$430</definedName>
    <definedName name="Constraint_424_LHS" localSheetId="0" hidden="1">monday_model.lp!$EDG$430</definedName>
    <definedName name="Constraint_424_RHS" localSheetId="0" hidden="1">monday_model.lp!$EDI$430</definedName>
    <definedName name="Constraint_424_Sense" localSheetId="0" hidden="1">monday_model.lp!$EDH$430</definedName>
    <definedName name="Constraint_425" localSheetId="0" hidden="1">monday_model.lp!$C$431:$EDE$431</definedName>
    <definedName name="Constraint_425_LHS" localSheetId="0" hidden="1">monday_model.lp!$EDG$431</definedName>
    <definedName name="Constraint_425_RHS" localSheetId="0" hidden="1">monday_model.lp!$EDI$431</definedName>
    <definedName name="Constraint_425_Sense" localSheetId="0" hidden="1">monday_model.lp!$EDH$431</definedName>
    <definedName name="Constraint_426" localSheetId="0" hidden="1">monday_model.lp!$C$432:$EDE$432</definedName>
    <definedName name="Constraint_426_LHS" localSheetId="0" hidden="1">monday_model.lp!$EDG$432</definedName>
    <definedName name="Constraint_426_RHS" localSheetId="0" hidden="1">monday_model.lp!$EDI$432</definedName>
    <definedName name="Constraint_426_Sense" localSheetId="0" hidden="1">monday_model.lp!$EDH$432</definedName>
    <definedName name="Constraint_427" localSheetId="0" hidden="1">monday_model.lp!$C$433:$EDE$433</definedName>
    <definedName name="Constraint_427_LHS" localSheetId="0" hidden="1">monday_model.lp!$EDG$433</definedName>
    <definedName name="Constraint_427_RHS" localSheetId="0" hidden="1">monday_model.lp!$EDI$433</definedName>
    <definedName name="Constraint_427_Sense" localSheetId="0" hidden="1">monday_model.lp!$EDH$433</definedName>
    <definedName name="Constraint_428" localSheetId="0" hidden="1">monday_model.lp!$C$434:$EDE$434</definedName>
    <definedName name="Constraint_428_LHS" localSheetId="0" hidden="1">monday_model.lp!$EDG$434</definedName>
    <definedName name="Constraint_428_RHS" localSheetId="0" hidden="1">monday_model.lp!$EDI$434</definedName>
    <definedName name="Constraint_428_Sense" localSheetId="0" hidden="1">monday_model.lp!$EDH$434</definedName>
    <definedName name="Constraint_429" localSheetId="0" hidden="1">monday_model.lp!$C$435:$EDE$435</definedName>
    <definedName name="Constraint_429_LHS" localSheetId="0" hidden="1">monday_model.lp!$EDG$435</definedName>
    <definedName name="Constraint_429_RHS" localSheetId="0" hidden="1">monday_model.lp!$EDI$435</definedName>
    <definedName name="Constraint_429_Sense" localSheetId="0" hidden="1">monday_model.lp!$EDH$435</definedName>
    <definedName name="Constraint_43" localSheetId="0" hidden="1">monday_model.lp!$C$49:$EDE$49</definedName>
    <definedName name="Constraint_43_LHS" localSheetId="0" hidden="1">monday_model.lp!$EDG$49</definedName>
    <definedName name="Constraint_43_RHS" localSheetId="0" hidden="1">monday_model.lp!$EDI$49</definedName>
    <definedName name="Constraint_43_Sense" localSheetId="0" hidden="1">monday_model.lp!$EDH$49</definedName>
    <definedName name="Constraint_430" localSheetId="0" hidden="1">monday_model.lp!$C$436:$EDE$436</definedName>
    <definedName name="Constraint_430_LHS" localSheetId="0" hidden="1">monday_model.lp!$EDG$436</definedName>
    <definedName name="Constraint_430_RHS" localSheetId="0" hidden="1">monday_model.lp!$EDI$436</definedName>
    <definedName name="Constraint_430_Sense" localSheetId="0" hidden="1">monday_model.lp!$EDH$436</definedName>
    <definedName name="Constraint_431" localSheetId="0" hidden="1">monday_model.lp!$C$437:$EDE$437</definedName>
    <definedName name="Constraint_431_LHS" localSheetId="0" hidden="1">monday_model.lp!$EDG$437</definedName>
    <definedName name="Constraint_431_RHS" localSheetId="0" hidden="1">monday_model.lp!$EDI$437</definedName>
    <definedName name="Constraint_431_Sense" localSheetId="0" hidden="1">monday_model.lp!$EDH$437</definedName>
    <definedName name="Constraint_432" localSheetId="0" hidden="1">monday_model.lp!$C$438:$EDE$438</definedName>
    <definedName name="Constraint_432_LHS" localSheetId="0" hidden="1">monday_model.lp!$EDG$438</definedName>
    <definedName name="Constraint_432_RHS" localSheetId="0" hidden="1">monday_model.lp!$EDI$438</definedName>
    <definedName name="Constraint_432_Sense" localSheetId="0" hidden="1">monday_model.lp!$EDH$438</definedName>
    <definedName name="Constraint_433" localSheetId="0" hidden="1">monday_model.lp!$C$439:$EDE$439</definedName>
    <definedName name="Constraint_433_LHS" localSheetId="0" hidden="1">monday_model.lp!$EDG$439</definedName>
    <definedName name="Constraint_433_RHS" localSheetId="0" hidden="1">monday_model.lp!$EDI$439</definedName>
    <definedName name="Constraint_433_Sense" localSheetId="0" hidden="1">monday_model.lp!$EDH$439</definedName>
    <definedName name="Constraint_434" localSheetId="0" hidden="1">monday_model.lp!$C$440:$EDE$440</definedName>
    <definedName name="Constraint_434_LHS" localSheetId="0" hidden="1">monday_model.lp!$EDG$440</definedName>
    <definedName name="Constraint_434_RHS" localSheetId="0" hidden="1">monday_model.lp!$EDI$440</definedName>
    <definedName name="Constraint_434_Sense" localSheetId="0" hidden="1">monday_model.lp!$EDH$440</definedName>
    <definedName name="Constraint_435" localSheetId="0" hidden="1">monday_model.lp!$C$441:$EDE$441</definedName>
    <definedName name="Constraint_435_LHS" localSheetId="0" hidden="1">monday_model.lp!$EDG$441</definedName>
    <definedName name="Constraint_435_RHS" localSheetId="0" hidden="1">monday_model.lp!$EDI$441</definedName>
    <definedName name="Constraint_435_Sense" localSheetId="0" hidden="1">monday_model.lp!$EDH$441</definedName>
    <definedName name="Constraint_436" localSheetId="0" hidden="1">monday_model.lp!$C$442:$EDE$442</definedName>
    <definedName name="Constraint_436_LHS" localSheetId="0" hidden="1">monday_model.lp!$EDG$442</definedName>
    <definedName name="Constraint_436_RHS" localSheetId="0" hidden="1">monday_model.lp!$EDI$442</definedName>
    <definedName name="Constraint_436_Sense" localSheetId="0" hidden="1">monday_model.lp!$EDH$442</definedName>
    <definedName name="Constraint_437" localSheetId="0" hidden="1">monday_model.lp!$C$443:$EDE$443</definedName>
    <definedName name="Constraint_437_LHS" localSheetId="0" hidden="1">monday_model.lp!$EDG$443</definedName>
    <definedName name="Constraint_437_RHS" localSheetId="0" hidden="1">monday_model.lp!$EDI$443</definedName>
    <definedName name="Constraint_437_Sense" localSheetId="0" hidden="1">monday_model.lp!$EDH$443</definedName>
    <definedName name="Constraint_438" localSheetId="0" hidden="1">monday_model.lp!$C$444:$EDE$444</definedName>
    <definedName name="Constraint_438_LHS" localSheetId="0" hidden="1">monday_model.lp!$EDG$444</definedName>
    <definedName name="Constraint_438_RHS" localSheetId="0" hidden="1">monday_model.lp!$EDI$444</definedName>
    <definedName name="Constraint_438_Sense" localSheetId="0" hidden="1">monday_model.lp!$EDH$444</definedName>
    <definedName name="Constraint_439" localSheetId="0" hidden="1">monday_model.lp!$C$445:$EDE$445</definedName>
    <definedName name="Constraint_439_LHS" localSheetId="0" hidden="1">monday_model.lp!$EDG$445</definedName>
    <definedName name="Constraint_439_RHS" localSheetId="0" hidden="1">monday_model.lp!$EDI$445</definedName>
    <definedName name="Constraint_439_Sense" localSheetId="0" hidden="1">monday_model.lp!$EDH$445</definedName>
    <definedName name="Constraint_44" localSheetId="0" hidden="1">monday_model.lp!$C$50:$EDE$50</definedName>
    <definedName name="Constraint_44_LHS" localSheetId="0" hidden="1">monday_model.lp!$EDG$50</definedName>
    <definedName name="Constraint_44_RHS" localSheetId="0" hidden="1">monday_model.lp!$EDI$50</definedName>
    <definedName name="Constraint_44_Sense" localSheetId="0" hidden="1">monday_model.lp!$EDH$50</definedName>
    <definedName name="Constraint_440" localSheetId="0" hidden="1">monday_model.lp!$C$446:$EDE$446</definedName>
    <definedName name="Constraint_440_LHS" localSheetId="0" hidden="1">monday_model.lp!$EDG$446</definedName>
    <definedName name="Constraint_440_RHS" localSheetId="0" hidden="1">monday_model.lp!$EDI$446</definedName>
    <definedName name="Constraint_440_Sense" localSheetId="0" hidden="1">monday_model.lp!$EDH$446</definedName>
    <definedName name="Constraint_441" localSheetId="0" hidden="1">monday_model.lp!$C$447:$EDE$447</definedName>
    <definedName name="Constraint_441_LHS" localSheetId="0" hidden="1">monday_model.lp!$EDG$447</definedName>
    <definedName name="Constraint_441_RHS" localSheetId="0" hidden="1">monday_model.lp!$EDI$447</definedName>
    <definedName name="Constraint_441_Sense" localSheetId="0" hidden="1">monday_model.lp!$EDH$447</definedName>
    <definedName name="Constraint_442" localSheetId="0" hidden="1">monday_model.lp!$C$448:$EDE$448</definedName>
    <definedName name="Constraint_442_LHS" localSheetId="0" hidden="1">monday_model.lp!$EDG$448</definedName>
    <definedName name="Constraint_442_RHS" localSheetId="0" hidden="1">monday_model.lp!$EDI$448</definedName>
    <definedName name="Constraint_442_Sense" localSheetId="0" hidden="1">monday_model.lp!$EDH$448</definedName>
    <definedName name="Constraint_443" localSheetId="0" hidden="1">monday_model.lp!$C$449:$EDE$449</definedName>
    <definedName name="Constraint_443_LHS" localSheetId="0" hidden="1">monday_model.lp!$EDG$449</definedName>
    <definedName name="Constraint_443_RHS" localSheetId="0" hidden="1">monday_model.lp!$EDI$449</definedName>
    <definedName name="Constraint_443_Sense" localSheetId="0" hidden="1">monday_model.lp!$EDH$449</definedName>
    <definedName name="Constraint_444" localSheetId="0" hidden="1">monday_model.lp!$C$450:$EDE$450</definedName>
    <definedName name="Constraint_444_LHS" localSheetId="0" hidden="1">monday_model.lp!$EDG$450</definedName>
    <definedName name="Constraint_444_RHS" localSheetId="0" hidden="1">monday_model.lp!$EDI$450</definedName>
    <definedName name="Constraint_444_Sense" localSheetId="0" hidden="1">monday_model.lp!$EDH$450</definedName>
    <definedName name="Constraint_445" localSheetId="0" hidden="1">monday_model.lp!$C$451:$EDE$451</definedName>
    <definedName name="Constraint_445_LHS" localSheetId="0" hidden="1">monday_model.lp!$EDG$451</definedName>
    <definedName name="Constraint_445_RHS" localSheetId="0" hidden="1">monday_model.lp!$EDI$451</definedName>
    <definedName name="Constraint_445_Sense" localSheetId="0" hidden="1">monday_model.lp!$EDH$451</definedName>
    <definedName name="Constraint_446" localSheetId="0" hidden="1">monday_model.lp!$C$452:$EDE$452</definedName>
    <definedName name="Constraint_446_LHS" localSheetId="0" hidden="1">monday_model.lp!$EDG$452</definedName>
    <definedName name="Constraint_446_RHS" localSheetId="0" hidden="1">monday_model.lp!$EDI$452</definedName>
    <definedName name="Constraint_446_Sense" localSheetId="0" hidden="1">monday_model.lp!$EDH$452</definedName>
    <definedName name="Constraint_447" localSheetId="0" hidden="1">monday_model.lp!$C$453:$EDE$453</definedName>
    <definedName name="Constraint_447_LHS" localSheetId="0" hidden="1">monday_model.lp!$EDG$453</definedName>
    <definedName name="Constraint_447_RHS" localSheetId="0" hidden="1">monday_model.lp!$EDI$453</definedName>
    <definedName name="Constraint_447_Sense" localSheetId="0" hidden="1">monday_model.lp!$EDH$453</definedName>
    <definedName name="Constraint_448" localSheetId="0" hidden="1">monday_model.lp!$C$454:$EDE$454</definedName>
    <definedName name="Constraint_448_LHS" localSheetId="0" hidden="1">monday_model.lp!$EDG$454</definedName>
    <definedName name="Constraint_448_RHS" localSheetId="0" hidden="1">monday_model.lp!$EDI$454</definedName>
    <definedName name="Constraint_448_Sense" localSheetId="0" hidden="1">monday_model.lp!$EDH$454</definedName>
    <definedName name="Constraint_449" localSheetId="0" hidden="1">monday_model.lp!$C$455:$EDE$455</definedName>
    <definedName name="Constraint_449_LHS" localSheetId="0" hidden="1">monday_model.lp!$EDG$455</definedName>
    <definedName name="Constraint_449_RHS" localSheetId="0" hidden="1">monday_model.lp!$EDI$455</definedName>
    <definedName name="Constraint_449_Sense" localSheetId="0" hidden="1">monday_model.lp!$EDH$455</definedName>
    <definedName name="Constraint_45" localSheetId="0" hidden="1">monday_model.lp!$C$51:$EDE$51</definedName>
    <definedName name="Constraint_45_LHS" localSheetId="0" hidden="1">monday_model.lp!$EDG$51</definedName>
    <definedName name="Constraint_45_RHS" localSheetId="0" hidden="1">monday_model.lp!$EDI$51</definedName>
    <definedName name="Constraint_45_Sense" localSheetId="0" hidden="1">monday_model.lp!$EDH$51</definedName>
    <definedName name="Constraint_450" localSheetId="0" hidden="1">monday_model.lp!$C$456:$EDE$456</definedName>
    <definedName name="Constraint_450_LHS" localSheetId="0" hidden="1">monday_model.lp!$EDG$456</definedName>
    <definedName name="Constraint_450_RHS" localSheetId="0" hidden="1">monday_model.lp!$EDI$456</definedName>
    <definedName name="Constraint_450_Sense" localSheetId="0" hidden="1">monday_model.lp!$EDH$456</definedName>
    <definedName name="Constraint_451" localSheetId="0" hidden="1">monday_model.lp!$C$457:$EDE$457</definedName>
    <definedName name="Constraint_451_LHS" localSheetId="0" hidden="1">monday_model.lp!$EDG$457</definedName>
    <definedName name="Constraint_451_RHS" localSheetId="0" hidden="1">monday_model.lp!$EDI$457</definedName>
    <definedName name="Constraint_451_Sense" localSheetId="0" hidden="1">monday_model.lp!$EDH$457</definedName>
    <definedName name="Constraint_452" localSheetId="0" hidden="1">monday_model.lp!$C$458:$EDE$458</definedName>
    <definedName name="Constraint_452_LHS" localSheetId="0" hidden="1">monday_model.lp!$EDG$458</definedName>
    <definedName name="Constraint_452_RHS" localSheetId="0" hidden="1">monday_model.lp!$EDI$458</definedName>
    <definedName name="Constraint_452_Sense" localSheetId="0" hidden="1">monday_model.lp!$EDH$458</definedName>
    <definedName name="Constraint_453" localSheetId="0" hidden="1">monday_model.lp!$C$459:$EDE$459</definedName>
    <definedName name="Constraint_453_LHS" localSheetId="0" hidden="1">monday_model.lp!$EDG$459</definedName>
    <definedName name="Constraint_453_RHS" localSheetId="0" hidden="1">monday_model.lp!$EDI$459</definedName>
    <definedName name="Constraint_453_Sense" localSheetId="0" hidden="1">monday_model.lp!$EDH$459</definedName>
    <definedName name="Constraint_454" localSheetId="0" hidden="1">monday_model.lp!$C$460:$EDE$460</definedName>
    <definedName name="Constraint_454_LHS" localSheetId="0" hidden="1">monday_model.lp!$EDG$460</definedName>
    <definedName name="Constraint_454_RHS" localSheetId="0" hidden="1">monday_model.lp!$EDI$460</definedName>
    <definedName name="Constraint_454_Sense" localSheetId="0" hidden="1">monday_model.lp!$EDH$460</definedName>
    <definedName name="Constraint_455" localSheetId="0" hidden="1">monday_model.lp!$C$461:$EDE$461</definedName>
    <definedName name="Constraint_455_LHS" localSheetId="0" hidden="1">monday_model.lp!$EDG$461</definedName>
    <definedName name="Constraint_455_RHS" localSheetId="0" hidden="1">monday_model.lp!$EDI$461</definedName>
    <definedName name="Constraint_455_Sense" localSheetId="0" hidden="1">monday_model.lp!$EDH$461</definedName>
    <definedName name="Constraint_456" localSheetId="0" hidden="1">monday_model.lp!$C$462:$EDE$462</definedName>
    <definedName name="Constraint_456_LHS" localSheetId="0" hidden="1">monday_model.lp!$EDG$462</definedName>
    <definedName name="Constraint_456_RHS" localSheetId="0" hidden="1">monday_model.lp!$EDI$462</definedName>
    <definedName name="Constraint_456_Sense" localSheetId="0" hidden="1">monday_model.lp!$EDH$462</definedName>
    <definedName name="Constraint_457" localSheetId="0" hidden="1">monday_model.lp!$C$463:$EDE$463</definedName>
    <definedName name="Constraint_457_LHS" localSheetId="0" hidden="1">monday_model.lp!$EDG$463</definedName>
    <definedName name="Constraint_457_RHS" localSheetId="0" hidden="1">monday_model.lp!$EDI$463</definedName>
    <definedName name="Constraint_457_Sense" localSheetId="0" hidden="1">monday_model.lp!$EDH$463</definedName>
    <definedName name="Constraint_458" localSheetId="0" hidden="1">monday_model.lp!$C$464:$EDE$464</definedName>
    <definedName name="Constraint_458_LHS" localSheetId="0" hidden="1">monday_model.lp!$EDG$464</definedName>
    <definedName name="Constraint_458_RHS" localSheetId="0" hidden="1">monday_model.lp!$EDI$464</definedName>
    <definedName name="Constraint_458_Sense" localSheetId="0" hidden="1">monday_model.lp!$EDH$464</definedName>
    <definedName name="Constraint_459" localSheetId="0" hidden="1">monday_model.lp!$C$465:$EDE$465</definedName>
    <definedName name="Constraint_459_LHS" localSheetId="0" hidden="1">monday_model.lp!$EDG$465</definedName>
    <definedName name="Constraint_459_RHS" localSheetId="0" hidden="1">monday_model.lp!$EDI$465</definedName>
    <definedName name="Constraint_459_Sense" localSheetId="0" hidden="1">monday_model.lp!$EDH$465</definedName>
    <definedName name="Constraint_46" localSheetId="0" hidden="1">monday_model.lp!$C$52:$EDE$52</definedName>
    <definedName name="Constraint_46_LHS" localSheetId="0" hidden="1">monday_model.lp!$EDG$52</definedName>
    <definedName name="Constraint_46_RHS" localSheetId="0" hidden="1">monday_model.lp!$EDI$52</definedName>
    <definedName name="Constraint_46_Sense" localSheetId="0" hidden="1">monday_model.lp!$EDH$52</definedName>
    <definedName name="Constraint_460" localSheetId="0" hidden="1">monday_model.lp!$C$466:$EDE$466</definedName>
    <definedName name="Constraint_460_LHS" localSheetId="0" hidden="1">monday_model.lp!$EDG$466</definedName>
    <definedName name="Constraint_460_RHS" localSheetId="0" hidden="1">monday_model.lp!$EDI$466</definedName>
    <definedName name="Constraint_460_Sense" localSheetId="0" hidden="1">monday_model.lp!$EDH$466</definedName>
    <definedName name="Constraint_461" localSheetId="0" hidden="1">monday_model.lp!$C$467:$EDE$467</definedName>
    <definedName name="Constraint_461_LHS" localSheetId="0" hidden="1">monday_model.lp!$EDG$467</definedName>
    <definedName name="Constraint_461_RHS" localSheetId="0" hidden="1">monday_model.lp!$EDI$467</definedName>
    <definedName name="Constraint_461_Sense" localSheetId="0" hidden="1">monday_model.lp!$EDH$467</definedName>
    <definedName name="Constraint_462" localSheetId="0" hidden="1">monday_model.lp!$C$468:$EDE$468</definedName>
    <definedName name="Constraint_462_LHS" localSheetId="0" hidden="1">monday_model.lp!$EDG$468</definedName>
    <definedName name="Constraint_462_RHS" localSheetId="0" hidden="1">monday_model.lp!$EDI$468</definedName>
    <definedName name="Constraint_462_Sense" localSheetId="0" hidden="1">monday_model.lp!$EDH$468</definedName>
    <definedName name="Constraint_463" localSheetId="0" hidden="1">monday_model.lp!$C$469:$EDE$469</definedName>
    <definedName name="Constraint_463_LHS" localSheetId="0" hidden="1">monday_model.lp!$EDG$469</definedName>
    <definedName name="Constraint_463_RHS" localSheetId="0" hidden="1">monday_model.lp!$EDI$469</definedName>
    <definedName name="Constraint_463_Sense" localSheetId="0" hidden="1">monday_model.lp!$EDH$469</definedName>
    <definedName name="Constraint_464" localSheetId="0" hidden="1">monday_model.lp!$C$470:$EDE$470</definedName>
    <definedName name="Constraint_464_LHS" localSheetId="0" hidden="1">monday_model.lp!$EDG$470</definedName>
    <definedName name="Constraint_464_RHS" localSheetId="0" hidden="1">monday_model.lp!$EDI$470</definedName>
    <definedName name="Constraint_464_Sense" localSheetId="0" hidden="1">monday_model.lp!$EDH$470</definedName>
    <definedName name="Constraint_465" localSheetId="0" hidden="1">monday_model.lp!$C$471:$EDE$471</definedName>
    <definedName name="Constraint_465_LHS" localSheetId="0" hidden="1">monday_model.lp!$EDG$471</definedName>
    <definedName name="Constraint_465_RHS" localSheetId="0" hidden="1">monday_model.lp!$EDI$471</definedName>
    <definedName name="Constraint_465_Sense" localSheetId="0" hidden="1">monday_model.lp!$EDH$471</definedName>
    <definedName name="Constraint_466" localSheetId="0" hidden="1">monday_model.lp!$C$472:$EDE$472</definedName>
    <definedName name="Constraint_466_LHS" localSheetId="0" hidden="1">monday_model.lp!$EDG$472</definedName>
    <definedName name="Constraint_466_RHS" localSheetId="0" hidden="1">monday_model.lp!$EDI$472</definedName>
    <definedName name="Constraint_466_Sense" localSheetId="0" hidden="1">monday_model.lp!$EDH$472</definedName>
    <definedName name="Constraint_467" localSheetId="0" hidden="1">monday_model.lp!$C$473:$EDE$473</definedName>
    <definedName name="Constraint_467_LHS" localSheetId="0" hidden="1">monday_model.lp!$EDG$473</definedName>
    <definedName name="Constraint_467_RHS" localSheetId="0" hidden="1">monday_model.lp!$EDI$473</definedName>
    <definedName name="Constraint_467_Sense" localSheetId="0" hidden="1">monday_model.lp!$EDH$473</definedName>
    <definedName name="Constraint_468" localSheetId="0" hidden="1">monday_model.lp!$C$474:$EDE$474</definedName>
    <definedName name="Constraint_468_LHS" localSheetId="0" hidden="1">monday_model.lp!$EDG$474</definedName>
    <definedName name="Constraint_468_RHS" localSheetId="0" hidden="1">monday_model.lp!$EDI$474</definedName>
    <definedName name="Constraint_468_Sense" localSheetId="0" hidden="1">monday_model.lp!$EDH$474</definedName>
    <definedName name="Constraint_469" localSheetId="0" hidden="1">monday_model.lp!$C$475:$EDE$475</definedName>
    <definedName name="Constraint_469_LHS" localSheetId="0" hidden="1">monday_model.lp!$EDG$475</definedName>
    <definedName name="Constraint_469_RHS" localSheetId="0" hidden="1">monday_model.lp!$EDI$475</definedName>
    <definedName name="Constraint_469_Sense" localSheetId="0" hidden="1">monday_model.lp!$EDH$475</definedName>
    <definedName name="Constraint_47" localSheetId="0" hidden="1">monday_model.lp!$C$53:$EDE$53</definedName>
    <definedName name="Constraint_47_LHS" localSheetId="0" hidden="1">monday_model.lp!$EDG$53</definedName>
    <definedName name="Constraint_47_RHS" localSheetId="0" hidden="1">monday_model.lp!$EDI$53</definedName>
    <definedName name="Constraint_47_Sense" localSheetId="0" hidden="1">monday_model.lp!$EDH$53</definedName>
    <definedName name="Constraint_470" localSheetId="0" hidden="1">monday_model.lp!$C$476:$EDE$476</definedName>
    <definedName name="Constraint_470_LHS" localSheetId="0" hidden="1">monday_model.lp!$EDG$476</definedName>
    <definedName name="Constraint_470_RHS" localSheetId="0" hidden="1">monday_model.lp!$EDI$476</definedName>
    <definedName name="Constraint_470_Sense" localSheetId="0" hidden="1">monday_model.lp!$EDH$476</definedName>
    <definedName name="Constraint_471" localSheetId="0" hidden="1">monday_model.lp!$C$477:$EDE$477</definedName>
    <definedName name="Constraint_471_LHS" localSheetId="0" hidden="1">monday_model.lp!$EDG$477</definedName>
    <definedName name="Constraint_471_RHS" localSheetId="0" hidden="1">monday_model.lp!$EDI$477</definedName>
    <definedName name="Constraint_471_Sense" localSheetId="0" hidden="1">monday_model.lp!$EDH$477</definedName>
    <definedName name="Constraint_472" localSheetId="0" hidden="1">monday_model.lp!$C$478:$EDE$478</definedName>
    <definedName name="Constraint_472_LHS" localSheetId="0" hidden="1">monday_model.lp!$EDG$478</definedName>
    <definedName name="Constraint_472_RHS" localSheetId="0" hidden="1">monday_model.lp!$EDI$478</definedName>
    <definedName name="Constraint_472_Sense" localSheetId="0" hidden="1">monday_model.lp!$EDH$478</definedName>
    <definedName name="Constraint_473" localSheetId="0" hidden="1">monday_model.lp!$C$479:$EDE$479</definedName>
    <definedName name="Constraint_473_LHS" localSheetId="0" hidden="1">monday_model.lp!$EDG$479</definedName>
    <definedName name="Constraint_473_RHS" localSheetId="0" hidden="1">monday_model.lp!$EDI$479</definedName>
    <definedName name="Constraint_473_Sense" localSheetId="0" hidden="1">monday_model.lp!$EDH$479</definedName>
    <definedName name="Constraint_474" localSheetId="0" hidden="1">monday_model.lp!$C$480:$EDE$480</definedName>
    <definedName name="Constraint_474_LHS" localSheetId="0" hidden="1">monday_model.lp!$EDG$480</definedName>
    <definedName name="Constraint_474_RHS" localSheetId="0" hidden="1">monday_model.lp!$EDI$480</definedName>
    <definedName name="Constraint_474_Sense" localSheetId="0" hidden="1">monday_model.lp!$EDH$480</definedName>
    <definedName name="Constraint_475" localSheetId="0" hidden="1">monday_model.lp!$C$481:$EDE$481</definedName>
    <definedName name="Constraint_475_LHS" localSheetId="0" hidden="1">monday_model.lp!$EDG$481</definedName>
    <definedName name="Constraint_475_RHS" localSheetId="0" hidden="1">monday_model.lp!$EDI$481</definedName>
    <definedName name="Constraint_475_Sense" localSheetId="0" hidden="1">monday_model.lp!$EDH$481</definedName>
    <definedName name="Constraint_476" localSheetId="0" hidden="1">monday_model.lp!$C$482:$EDE$482</definedName>
    <definedName name="Constraint_476_LHS" localSheetId="0" hidden="1">monday_model.lp!$EDG$482</definedName>
    <definedName name="Constraint_476_RHS" localSheetId="0" hidden="1">monday_model.lp!$EDI$482</definedName>
    <definedName name="Constraint_476_Sense" localSheetId="0" hidden="1">monday_model.lp!$EDH$482</definedName>
    <definedName name="Constraint_477" localSheetId="0" hidden="1">monday_model.lp!$C$483:$EDE$483</definedName>
    <definedName name="Constraint_477_LHS" localSheetId="0" hidden="1">monday_model.lp!$EDG$483</definedName>
    <definedName name="Constraint_477_RHS" localSheetId="0" hidden="1">monday_model.lp!$EDI$483</definedName>
    <definedName name="Constraint_477_Sense" localSheetId="0" hidden="1">monday_model.lp!$EDH$483</definedName>
    <definedName name="Constraint_478" localSheetId="0" hidden="1">monday_model.lp!$C$484:$EDE$484</definedName>
    <definedName name="Constraint_478_LHS" localSheetId="0" hidden="1">monday_model.lp!$EDG$484</definedName>
    <definedName name="Constraint_478_RHS" localSheetId="0" hidden="1">monday_model.lp!$EDI$484</definedName>
    <definedName name="Constraint_478_Sense" localSheetId="0" hidden="1">monday_model.lp!$EDH$484</definedName>
    <definedName name="Constraint_479" localSheetId="0" hidden="1">monday_model.lp!$C$485:$EDE$485</definedName>
    <definedName name="Constraint_479_LHS" localSheetId="0" hidden="1">monday_model.lp!$EDG$485</definedName>
    <definedName name="Constraint_479_RHS" localSheetId="0" hidden="1">monday_model.lp!$EDI$485</definedName>
    <definedName name="Constraint_479_Sense" localSheetId="0" hidden="1">monday_model.lp!$EDH$485</definedName>
    <definedName name="Constraint_48" localSheetId="0" hidden="1">monday_model.lp!$C$54:$EDE$54</definedName>
    <definedName name="Constraint_48_LHS" localSheetId="0" hidden="1">monday_model.lp!$EDG$54</definedName>
    <definedName name="Constraint_48_RHS" localSheetId="0" hidden="1">monday_model.lp!$EDI$54</definedName>
    <definedName name="Constraint_48_Sense" localSheetId="0" hidden="1">monday_model.lp!$EDH$54</definedName>
    <definedName name="Constraint_480" localSheetId="0" hidden="1">monday_model.lp!$C$486:$EDE$486</definedName>
    <definedName name="Constraint_480_LHS" localSheetId="0" hidden="1">monday_model.lp!$EDG$486</definedName>
    <definedName name="Constraint_480_RHS" localSheetId="0" hidden="1">monday_model.lp!$EDI$486</definedName>
    <definedName name="Constraint_480_Sense" localSheetId="0" hidden="1">monday_model.lp!$EDH$486</definedName>
    <definedName name="Constraint_481" localSheetId="0" hidden="1">monday_model.lp!$C$487:$EDE$487</definedName>
    <definedName name="Constraint_481_LHS" localSheetId="0" hidden="1">monday_model.lp!$EDG$487</definedName>
    <definedName name="Constraint_481_RHS" localSheetId="0" hidden="1">monday_model.lp!$EDI$487</definedName>
    <definedName name="Constraint_481_Sense" localSheetId="0" hidden="1">monday_model.lp!$EDH$487</definedName>
    <definedName name="Constraint_482" localSheetId="0" hidden="1">monday_model.lp!$C$488:$EDE$488</definedName>
    <definedName name="Constraint_482_LHS" localSheetId="0" hidden="1">monday_model.lp!$EDG$488</definedName>
    <definedName name="Constraint_482_RHS" localSheetId="0" hidden="1">monday_model.lp!$EDI$488</definedName>
    <definedName name="Constraint_482_Sense" localSheetId="0" hidden="1">monday_model.lp!$EDH$488</definedName>
    <definedName name="Constraint_483" localSheetId="0" hidden="1">monday_model.lp!$C$489:$EDE$489</definedName>
    <definedName name="Constraint_483_LHS" localSheetId="0" hidden="1">monday_model.lp!$EDG$489</definedName>
    <definedName name="Constraint_483_RHS" localSheetId="0" hidden="1">monday_model.lp!$EDI$489</definedName>
    <definedName name="Constraint_483_Sense" localSheetId="0" hidden="1">monday_model.lp!$EDH$489</definedName>
    <definedName name="Constraint_484" localSheetId="0" hidden="1">monday_model.lp!$C$490:$EDE$490</definedName>
    <definedName name="Constraint_484_LHS" localSheetId="0" hidden="1">monday_model.lp!$EDG$490</definedName>
    <definedName name="Constraint_484_RHS" localSheetId="0" hidden="1">monday_model.lp!$EDI$490</definedName>
    <definedName name="Constraint_484_Sense" localSheetId="0" hidden="1">monday_model.lp!$EDH$490</definedName>
    <definedName name="Constraint_485" localSheetId="0" hidden="1">monday_model.lp!$C$491:$EDE$491</definedName>
    <definedName name="Constraint_485_LHS" localSheetId="0" hidden="1">monday_model.lp!$EDG$491</definedName>
    <definedName name="Constraint_485_RHS" localSheetId="0" hidden="1">monday_model.lp!$EDI$491</definedName>
    <definedName name="Constraint_485_Sense" localSheetId="0" hidden="1">monday_model.lp!$EDH$491</definedName>
    <definedName name="Constraint_486" localSheetId="0" hidden="1">monday_model.lp!$C$492:$EDE$492</definedName>
    <definedName name="Constraint_486_LHS" localSheetId="0" hidden="1">monday_model.lp!$EDG$492</definedName>
    <definedName name="Constraint_486_RHS" localSheetId="0" hidden="1">monday_model.lp!$EDI$492</definedName>
    <definedName name="Constraint_486_Sense" localSheetId="0" hidden="1">monday_model.lp!$EDH$492</definedName>
    <definedName name="Constraint_487" localSheetId="0" hidden="1">monday_model.lp!$C$493:$EDE$493</definedName>
    <definedName name="Constraint_487_LHS" localSheetId="0" hidden="1">monday_model.lp!$EDG$493</definedName>
    <definedName name="Constraint_487_RHS" localSheetId="0" hidden="1">monday_model.lp!$EDI$493</definedName>
    <definedName name="Constraint_487_Sense" localSheetId="0" hidden="1">monday_model.lp!$EDH$493</definedName>
    <definedName name="Constraint_488" localSheetId="0" hidden="1">monday_model.lp!$C$494:$EDE$494</definedName>
    <definedName name="Constraint_488_LHS" localSheetId="0" hidden="1">monday_model.lp!$EDG$494</definedName>
    <definedName name="Constraint_488_RHS" localSheetId="0" hidden="1">monday_model.lp!$EDI$494</definedName>
    <definedName name="Constraint_488_Sense" localSheetId="0" hidden="1">monday_model.lp!$EDH$494</definedName>
    <definedName name="Constraint_489" localSheetId="0" hidden="1">monday_model.lp!$C$495:$EDE$495</definedName>
    <definedName name="Constraint_489_LHS" localSheetId="0" hidden="1">monday_model.lp!$EDG$495</definedName>
    <definedName name="Constraint_489_RHS" localSheetId="0" hidden="1">monday_model.lp!$EDI$495</definedName>
    <definedName name="Constraint_489_Sense" localSheetId="0" hidden="1">monday_model.lp!$EDH$495</definedName>
    <definedName name="Constraint_49" localSheetId="0" hidden="1">monday_model.lp!$C$55:$EDE$55</definedName>
    <definedName name="Constraint_49_LHS" localSheetId="0" hidden="1">monday_model.lp!$EDG$55</definedName>
    <definedName name="Constraint_49_RHS" localSheetId="0" hidden="1">monday_model.lp!$EDI$55</definedName>
    <definedName name="Constraint_49_Sense" localSheetId="0" hidden="1">monday_model.lp!$EDH$55</definedName>
    <definedName name="Constraint_490" localSheetId="0" hidden="1">monday_model.lp!$C$496:$EDE$496</definedName>
    <definedName name="Constraint_490_LHS" localSheetId="0" hidden="1">monday_model.lp!$EDG$496</definedName>
    <definedName name="Constraint_490_RHS" localSheetId="0" hidden="1">monday_model.lp!$EDI$496</definedName>
    <definedName name="Constraint_490_Sense" localSheetId="0" hidden="1">monday_model.lp!$EDH$496</definedName>
    <definedName name="Constraint_491" localSheetId="0" hidden="1">monday_model.lp!$C$497:$EDE$497</definedName>
    <definedName name="Constraint_491_LHS" localSheetId="0" hidden="1">monday_model.lp!$EDG$497</definedName>
    <definedName name="Constraint_491_RHS" localSheetId="0" hidden="1">monday_model.lp!$EDI$497</definedName>
    <definedName name="Constraint_491_Sense" localSheetId="0" hidden="1">monday_model.lp!$EDH$497</definedName>
    <definedName name="Constraint_492" localSheetId="0" hidden="1">monday_model.lp!$C$498:$EDE$498</definedName>
    <definedName name="Constraint_492_LHS" localSheetId="0" hidden="1">monday_model.lp!$EDG$498</definedName>
    <definedName name="Constraint_492_RHS" localSheetId="0" hidden="1">monday_model.lp!$EDI$498</definedName>
    <definedName name="Constraint_492_Sense" localSheetId="0" hidden="1">monday_model.lp!$EDH$498</definedName>
    <definedName name="Constraint_493" localSheetId="0" hidden="1">monday_model.lp!$C$499:$EDE$499</definedName>
    <definedName name="Constraint_493_LHS" localSheetId="0" hidden="1">monday_model.lp!$EDG$499</definedName>
    <definedName name="Constraint_493_RHS" localSheetId="0" hidden="1">monday_model.lp!$EDI$499</definedName>
    <definedName name="Constraint_493_Sense" localSheetId="0" hidden="1">monday_model.lp!$EDH$499</definedName>
    <definedName name="Constraint_494" localSheetId="0" hidden="1">monday_model.lp!$C$500:$EDE$500</definedName>
    <definedName name="Constraint_494_LHS" localSheetId="0" hidden="1">monday_model.lp!$EDG$500</definedName>
    <definedName name="Constraint_494_RHS" localSheetId="0" hidden="1">monday_model.lp!$EDI$500</definedName>
    <definedName name="Constraint_494_Sense" localSheetId="0" hidden="1">monday_model.lp!$EDH$500</definedName>
    <definedName name="Constraint_495" localSheetId="0" hidden="1">monday_model.lp!$C$501:$EDE$501</definedName>
    <definedName name="Constraint_495_LHS" localSheetId="0" hidden="1">monday_model.lp!$EDG$501</definedName>
    <definedName name="Constraint_495_RHS" localSheetId="0" hidden="1">monday_model.lp!$EDI$501</definedName>
    <definedName name="Constraint_495_Sense" localSheetId="0" hidden="1">monday_model.lp!$EDH$501</definedName>
    <definedName name="Constraint_496" localSheetId="0" hidden="1">monday_model.lp!$C$502:$EDE$502</definedName>
    <definedName name="Constraint_496_LHS" localSheetId="0" hidden="1">monday_model.lp!$EDG$502</definedName>
    <definedName name="Constraint_496_RHS" localSheetId="0" hidden="1">monday_model.lp!$EDI$502</definedName>
    <definedName name="Constraint_496_Sense" localSheetId="0" hidden="1">monday_model.lp!$EDH$502</definedName>
    <definedName name="Constraint_497" localSheetId="0" hidden="1">monday_model.lp!$C$503:$EDE$503</definedName>
    <definedName name="Constraint_497_LHS" localSheetId="0" hidden="1">monday_model.lp!$EDG$503</definedName>
    <definedName name="Constraint_497_RHS" localSheetId="0" hidden="1">monday_model.lp!$EDI$503</definedName>
    <definedName name="Constraint_497_Sense" localSheetId="0" hidden="1">monday_model.lp!$EDH$503</definedName>
    <definedName name="Constraint_498" localSheetId="0" hidden="1">monday_model.lp!$C$504:$EDE$504</definedName>
    <definedName name="Constraint_498_LHS" localSheetId="0" hidden="1">monday_model.lp!$EDG$504</definedName>
    <definedName name="Constraint_498_RHS" localSheetId="0" hidden="1">monday_model.lp!$EDI$504</definedName>
    <definedName name="Constraint_498_Sense" localSheetId="0" hidden="1">monday_model.lp!$EDH$504</definedName>
    <definedName name="Constraint_499" localSheetId="0" hidden="1">monday_model.lp!$C$505:$EDE$505</definedName>
    <definedName name="Constraint_499_LHS" localSheetId="0" hidden="1">monday_model.lp!$EDG$505</definedName>
    <definedName name="Constraint_499_RHS" localSheetId="0" hidden="1">monday_model.lp!$EDI$505</definedName>
    <definedName name="Constraint_499_Sense" localSheetId="0" hidden="1">monday_model.lp!$EDH$505</definedName>
    <definedName name="Constraint_5" localSheetId="0" hidden="1">monday_model.lp!$C$11:$EDE$11</definedName>
    <definedName name="Constraint_5_LHS" localSheetId="0" hidden="1">monday_model.lp!$EDG$11</definedName>
    <definedName name="Constraint_5_RHS" localSheetId="0" hidden="1">monday_model.lp!$EDI$11</definedName>
    <definedName name="Constraint_5_Sense" localSheetId="0" hidden="1">monday_model.lp!$EDH$11</definedName>
    <definedName name="Constraint_50" localSheetId="0" hidden="1">monday_model.lp!$C$56:$EDE$56</definedName>
    <definedName name="Constraint_50_LHS" localSheetId="0" hidden="1">monday_model.lp!$EDG$56</definedName>
    <definedName name="Constraint_50_RHS" localSheetId="0" hidden="1">monday_model.lp!$EDI$56</definedName>
    <definedName name="Constraint_50_Sense" localSheetId="0" hidden="1">monday_model.lp!$EDH$56</definedName>
    <definedName name="Constraint_500" localSheetId="0" hidden="1">monday_model.lp!$C$506:$EDE$506</definedName>
    <definedName name="Constraint_500_LHS" localSheetId="0" hidden="1">monday_model.lp!$EDG$506</definedName>
    <definedName name="Constraint_500_RHS" localSheetId="0" hidden="1">monday_model.lp!$EDI$506</definedName>
    <definedName name="Constraint_500_Sense" localSheetId="0" hidden="1">monday_model.lp!$EDH$506</definedName>
    <definedName name="Constraint_501" localSheetId="0" hidden="1">monday_model.lp!$C$507:$EDE$507</definedName>
    <definedName name="Constraint_501_LHS" localSheetId="0" hidden="1">monday_model.lp!$EDG$507</definedName>
    <definedName name="Constraint_501_RHS" localSheetId="0" hidden="1">monday_model.lp!$EDI$507</definedName>
    <definedName name="Constraint_501_Sense" localSheetId="0" hidden="1">monday_model.lp!$EDH$507</definedName>
    <definedName name="Constraint_502" localSheetId="0" hidden="1">monday_model.lp!$C$508:$EDE$508</definedName>
    <definedName name="Constraint_502_LHS" localSheetId="0" hidden="1">monday_model.lp!$EDG$508</definedName>
    <definedName name="Constraint_502_RHS" localSheetId="0" hidden="1">monday_model.lp!$EDI$508</definedName>
    <definedName name="Constraint_502_Sense" localSheetId="0" hidden="1">monday_model.lp!$EDH$508</definedName>
    <definedName name="Constraint_503" localSheetId="0" hidden="1">monday_model.lp!$C$509:$EDE$509</definedName>
    <definedName name="Constraint_503_LHS" localSheetId="0" hidden="1">monday_model.lp!$EDG$509</definedName>
    <definedName name="Constraint_503_RHS" localSheetId="0" hidden="1">monday_model.lp!$EDI$509</definedName>
    <definedName name="Constraint_503_Sense" localSheetId="0" hidden="1">monday_model.lp!$EDH$509</definedName>
    <definedName name="Constraint_504" localSheetId="0" hidden="1">monday_model.lp!$C$510:$EDE$510</definedName>
    <definedName name="Constraint_504_LHS" localSheetId="0" hidden="1">monday_model.lp!$EDG$510</definedName>
    <definedName name="Constraint_504_RHS" localSheetId="0" hidden="1">monday_model.lp!$EDI$510</definedName>
    <definedName name="Constraint_504_Sense" localSheetId="0" hidden="1">monday_model.lp!$EDH$510</definedName>
    <definedName name="Constraint_505" localSheetId="0" hidden="1">monday_model.lp!$C$511:$EDE$511</definedName>
    <definedName name="Constraint_505_LHS" localSheetId="0" hidden="1">monday_model.lp!$EDG$511</definedName>
    <definedName name="Constraint_505_RHS" localSheetId="0" hidden="1">monday_model.lp!$EDI$511</definedName>
    <definedName name="Constraint_505_Sense" localSheetId="0" hidden="1">monday_model.lp!$EDH$511</definedName>
    <definedName name="Constraint_506" localSheetId="0" hidden="1">monday_model.lp!$C$512:$EDE$512</definedName>
    <definedName name="Constraint_506_LHS" localSheetId="0" hidden="1">monday_model.lp!$EDG$512</definedName>
    <definedName name="Constraint_506_RHS" localSheetId="0" hidden="1">monday_model.lp!$EDI$512</definedName>
    <definedName name="Constraint_506_Sense" localSheetId="0" hidden="1">monday_model.lp!$EDH$512</definedName>
    <definedName name="Constraint_507" localSheetId="0" hidden="1">monday_model.lp!$C$513:$EDE$513</definedName>
    <definedName name="Constraint_507_LHS" localSheetId="0" hidden="1">monday_model.lp!$EDG$513</definedName>
    <definedName name="Constraint_507_RHS" localSheetId="0" hidden="1">monday_model.lp!$EDI$513</definedName>
    <definedName name="Constraint_507_Sense" localSheetId="0" hidden="1">monday_model.lp!$EDH$513</definedName>
    <definedName name="Constraint_508" localSheetId="0" hidden="1">monday_model.lp!$C$514:$EDE$514</definedName>
    <definedName name="Constraint_508_LHS" localSheetId="0" hidden="1">monday_model.lp!$EDG$514</definedName>
    <definedName name="Constraint_508_RHS" localSheetId="0" hidden="1">monday_model.lp!$EDI$514</definedName>
    <definedName name="Constraint_508_Sense" localSheetId="0" hidden="1">monday_model.lp!$EDH$514</definedName>
    <definedName name="Constraint_509" localSheetId="0" hidden="1">monday_model.lp!$C$515:$EDE$515</definedName>
    <definedName name="Constraint_509_LHS" localSheetId="0" hidden="1">monday_model.lp!$EDG$515</definedName>
    <definedName name="Constraint_509_RHS" localSheetId="0" hidden="1">monday_model.lp!$EDI$515</definedName>
    <definedName name="Constraint_509_Sense" localSheetId="0" hidden="1">monday_model.lp!$EDH$515</definedName>
    <definedName name="Constraint_51" localSheetId="0" hidden="1">monday_model.lp!$C$57:$EDE$57</definedName>
    <definedName name="Constraint_51_LHS" localSheetId="0" hidden="1">monday_model.lp!$EDG$57</definedName>
    <definedName name="Constraint_51_RHS" localSheetId="0" hidden="1">monday_model.lp!$EDI$57</definedName>
    <definedName name="Constraint_51_Sense" localSheetId="0" hidden="1">monday_model.lp!$EDH$57</definedName>
    <definedName name="Constraint_510" localSheetId="0" hidden="1">monday_model.lp!$C$516:$EDE$516</definedName>
    <definedName name="Constraint_510_LHS" localSheetId="0" hidden="1">monday_model.lp!$EDG$516</definedName>
    <definedName name="Constraint_510_RHS" localSheetId="0" hidden="1">monday_model.lp!$EDI$516</definedName>
    <definedName name="Constraint_510_Sense" localSheetId="0" hidden="1">monday_model.lp!$EDH$516</definedName>
    <definedName name="Constraint_511" localSheetId="0" hidden="1">monday_model.lp!$C$517:$EDE$517</definedName>
    <definedName name="Constraint_511_LHS" localSheetId="0" hidden="1">monday_model.lp!$EDG$517</definedName>
    <definedName name="Constraint_511_RHS" localSheetId="0" hidden="1">monday_model.lp!$EDI$517</definedName>
    <definedName name="Constraint_511_Sense" localSheetId="0" hidden="1">monday_model.lp!$EDH$517</definedName>
    <definedName name="Constraint_512" localSheetId="0" hidden="1">monday_model.lp!$C$518:$EDE$518</definedName>
    <definedName name="Constraint_512_LHS" localSheetId="0" hidden="1">monday_model.lp!$EDG$518</definedName>
    <definedName name="Constraint_512_RHS" localSheetId="0" hidden="1">monday_model.lp!$EDI$518</definedName>
    <definedName name="Constraint_512_Sense" localSheetId="0" hidden="1">monday_model.lp!$EDH$518</definedName>
    <definedName name="Constraint_513" localSheetId="0" hidden="1">monday_model.lp!$C$519:$EDE$519</definedName>
    <definedName name="Constraint_513_LHS" localSheetId="0" hidden="1">monday_model.lp!$EDG$519</definedName>
    <definedName name="Constraint_513_RHS" localSheetId="0" hidden="1">monday_model.lp!$EDI$519</definedName>
    <definedName name="Constraint_513_Sense" localSheetId="0" hidden="1">monday_model.lp!$EDH$519</definedName>
    <definedName name="Constraint_514" localSheetId="0" hidden="1">monday_model.lp!$C$520:$EDE$520</definedName>
    <definedName name="Constraint_514_LHS" localSheetId="0" hidden="1">monday_model.lp!$EDG$520</definedName>
    <definedName name="Constraint_514_RHS" localSheetId="0" hidden="1">monday_model.lp!$EDI$520</definedName>
    <definedName name="Constraint_514_Sense" localSheetId="0" hidden="1">monday_model.lp!$EDH$520</definedName>
    <definedName name="Constraint_515" localSheetId="0" hidden="1">monday_model.lp!$C$521:$EDE$521</definedName>
    <definedName name="Constraint_515_LHS" localSheetId="0" hidden="1">monday_model.lp!$EDG$521</definedName>
    <definedName name="Constraint_515_RHS" localSheetId="0" hidden="1">monday_model.lp!$EDI$521</definedName>
    <definedName name="Constraint_515_Sense" localSheetId="0" hidden="1">monday_model.lp!$EDH$521</definedName>
    <definedName name="Constraint_516" localSheetId="0" hidden="1">monday_model.lp!$C$522:$EDE$522</definedName>
    <definedName name="Constraint_516_LHS" localSheetId="0" hidden="1">monday_model.lp!$EDG$522</definedName>
    <definedName name="Constraint_516_RHS" localSheetId="0" hidden="1">monday_model.lp!$EDI$522</definedName>
    <definedName name="Constraint_516_Sense" localSheetId="0" hidden="1">monday_model.lp!$EDH$522</definedName>
    <definedName name="Constraint_517" localSheetId="0" hidden="1">monday_model.lp!$C$523:$EDE$523</definedName>
    <definedName name="Constraint_517_LHS" localSheetId="0" hidden="1">monday_model.lp!$EDG$523</definedName>
    <definedName name="Constraint_517_RHS" localSheetId="0" hidden="1">monday_model.lp!$EDI$523</definedName>
    <definedName name="Constraint_517_Sense" localSheetId="0" hidden="1">monday_model.lp!$EDH$523</definedName>
    <definedName name="Constraint_518" localSheetId="0" hidden="1">monday_model.lp!$C$524:$EDE$524</definedName>
    <definedName name="Constraint_518_LHS" localSheetId="0" hidden="1">monday_model.lp!$EDG$524</definedName>
    <definedName name="Constraint_518_RHS" localSheetId="0" hidden="1">monday_model.lp!$EDI$524</definedName>
    <definedName name="Constraint_518_Sense" localSheetId="0" hidden="1">monday_model.lp!$EDH$524</definedName>
    <definedName name="Constraint_519" localSheetId="0" hidden="1">monday_model.lp!$C$525:$EDE$525</definedName>
    <definedName name="Constraint_519_LHS" localSheetId="0" hidden="1">monday_model.lp!$EDG$525</definedName>
    <definedName name="Constraint_519_RHS" localSheetId="0" hidden="1">monday_model.lp!$EDI$525</definedName>
    <definedName name="Constraint_519_Sense" localSheetId="0" hidden="1">monday_model.lp!$EDH$525</definedName>
    <definedName name="Constraint_52" localSheetId="0" hidden="1">monday_model.lp!$C$58:$EDE$58</definedName>
    <definedName name="Constraint_52_LHS" localSheetId="0" hidden="1">monday_model.lp!$EDG$58</definedName>
    <definedName name="Constraint_52_RHS" localSheetId="0" hidden="1">monday_model.lp!$EDI$58</definedName>
    <definedName name="Constraint_52_Sense" localSheetId="0" hidden="1">monday_model.lp!$EDH$58</definedName>
    <definedName name="Constraint_520" localSheetId="0" hidden="1">monday_model.lp!$C$526:$EDE$526</definedName>
    <definedName name="Constraint_520_LHS" localSheetId="0" hidden="1">monday_model.lp!$EDG$526</definedName>
    <definedName name="Constraint_520_RHS" localSheetId="0" hidden="1">monday_model.lp!$EDI$526</definedName>
    <definedName name="Constraint_520_Sense" localSheetId="0" hidden="1">monday_model.lp!$EDH$526</definedName>
    <definedName name="Constraint_521" localSheetId="0" hidden="1">monday_model.lp!$C$527:$EDE$527</definedName>
    <definedName name="Constraint_521_LHS" localSheetId="0" hidden="1">monday_model.lp!$EDG$527</definedName>
    <definedName name="Constraint_521_RHS" localSheetId="0" hidden="1">monday_model.lp!$EDI$527</definedName>
    <definedName name="Constraint_521_Sense" localSheetId="0" hidden="1">monday_model.lp!$EDH$527</definedName>
    <definedName name="Constraint_522" localSheetId="0" hidden="1">monday_model.lp!$C$528:$EDE$528</definedName>
    <definedName name="Constraint_522_LHS" localSheetId="0" hidden="1">monday_model.lp!$EDG$528</definedName>
    <definedName name="Constraint_522_RHS" localSheetId="0" hidden="1">monday_model.lp!$EDI$528</definedName>
    <definedName name="Constraint_522_Sense" localSheetId="0" hidden="1">monday_model.lp!$EDH$528</definedName>
    <definedName name="Constraint_523" localSheetId="0" hidden="1">monday_model.lp!$C$529:$EDE$529</definedName>
    <definedName name="Constraint_523_LHS" localSheetId="0" hidden="1">monday_model.lp!$EDG$529</definedName>
    <definedName name="Constraint_523_RHS" localSheetId="0" hidden="1">monday_model.lp!$EDI$529</definedName>
    <definedName name="Constraint_523_Sense" localSheetId="0" hidden="1">monday_model.lp!$EDH$529</definedName>
    <definedName name="Constraint_524" localSheetId="0" hidden="1">monday_model.lp!$C$530:$EDE$530</definedName>
    <definedName name="Constraint_524_LHS" localSheetId="0" hidden="1">monday_model.lp!$EDG$530</definedName>
    <definedName name="Constraint_524_RHS" localSheetId="0" hidden="1">monday_model.lp!$EDI$530</definedName>
    <definedName name="Constraint_524_Sense" localSheetId="0" hidden="1">monday_model.lp!$EDH$530</definedName>
    <definedName name="Constraint_525" localSheetId="0" hidden="1">monday_model.lp!$C$531:$EDE$531</definedName>
    <definedName name="Constraint_525_LHS" localSheetId="0" hidden="1">monday_model.lp!$EDG$531</definedName>
    <definedName name="Constraint_525_RHS" localSheetId="0" hidden="1">monday_model.lp!$EDI$531</definedName>
    <definedName name="Constraint_525_Sense" localSheetId="0" hidden="1">monday_model.lp!$EDH$531</definedName>
    <definedName name="Constraint_526" localSheetId="0" hidden="1">monday_model.lp!$C$532:$EDE$532</definedName>
    <definedName name="Constraint_526_LHS" localSheetId="0" hidden="1">monday_model.lp!$EDG$532</definedName>
    <definedName name="Constraint_526_RHS" localSheetId="0" hidden="1">monday_model.lp!$EDI$532</definedName>
    <definedName name="Constraint_526_Sense" localSheetId="0" hidden="1">monday_model.lp!$EDH$532</definedName>
    <definedName name="Constraint_527" localSheetId="0" hidden="1">monday_model.lp!$C$533:$EDE$533</definedName>
    <definedName name="Constraint_527_LHS" localSheetId="0" hidden="1">monday_model.lp!$EDG$533</definedName>
    <definedName name="Constraint_527_RHS" localSheetId="0" hidden="1">monday_model.lp!$EDI$533</definedName>
    <definedName name="Constraint_527_Sense" localSheetId="0" hidden="1">monday_model.lp!$EDH$533</definedName>
    <definedName name="Constraint_528" localSheetId="0" hidden="1">monday_model.lp!$C$534:$EDE$534</definedName>
    <definedName name="Constraint_528_LHS" localSheetId="0" hidden="1">monday_model.lp!$EDG$534</definedName>
    <definedName name="Constraint_528_RHS" localSheetId="0" hidden="1">monday_model.lp!$EDI$534</definedName>
    <definedName name="Constraint_528_Sense" localSheetId="0" hidden="1">monday_model.lp!$EDH$534</definedName>
    <definedName name="Constraint_529" localSheetId="0" hidden="1">monday_model.lp!$C$535:$EDE$535</definedName>
    <definedName name="Constraint_529_LHS" localSheetId="0" hidden="1">monday_model.lp!$EDG$535</definedName>
    <definedName name="Constraint_529_RHS" localSheetId="0" hidden="1">monday_model.lp!$EDI$535</definedName>
    <definedName name="Constraint_529_Sense" localSheetId="0" hidden="1">monday_model.lp!$EDH$535</definedName>
    <definedName name="Constraint_53" localSheetId="0" hidden="1">monday_model.lp!$C$59:$EDE$59</definedName>
    <definedName name="Constraint_53_LHS" localSheetId="0" hidden="1">monday_model.lp!$EDG$59</definedName>
    <definedName name="Constraint_53_RHS" localSheetId="0" hidden="1">monday_model.lp!$EDI$59</definedName>
    <definedName name="Constraint_53_Sense" localSheetId="0" hidden="1">monday_model.lp!$EDH$59</definedName>
    <definedName name="Constraint_530" localSheetId="0" hidden="1">monday_model.lp!$C$536:$EDE$536</definedName>
    <definedName name="Constraint_530_LHS" localSheetId="0" hidden="1">monday_model.lp!$EDG$536</definedName>
    <definedName name="Constraint_530_RHS" localSheetId="0" hidden="1">monday_model.lp!$EDI$536</definedName>
    <definedName name="Constraint_530_Sense" localSheetId="0" hidden="1">monday_model.lp!$EDH$536</definedName>
    <definedName name="Constraint_531" localSheetId="0" hidden="1">monday_model.lp!$C$537:$EDE$537</definedName>
    <definedName name="Constraint_531_LHS" localSheetId="0" hidden="1">monday_model.lp!$EDG$537</definedName>
    <definedName name="Constraint_531_RHS" localSheetId="0" hidden="1">monday_model.lp!$EDI$537</definedName>
    <definedName name="Constraint_531_Sense" localSheetId="0" hidden="1">monday_model.lp!$EDH$537</definedName>
    <definedName name="Constraint_532" localSheetId="0" hidden="1">monday_model.lp!$C$538:$EDE$538</definedName>
    <definedName name="Constraint_532_LHS" localSheetId="0" hidden="1">monday_model.lp!$EDG$538</definedName>
    <definedName name="Constraint_532_RHS" localSheetId="0" hidden="1">monday_model.lp!$EDI$538</definedName>
    <definedName name="Constraint_532_Sense" localSheetId="0" hidden="1">monday_model.lp!$EDH$538</definedName>
    <definedName name="Constraint_533" localSheetId="0" hidden="1">monday_model.lp!$C$539:$EDE$539</definedName>
    <definedName name="Constraint_533_LHS" localSheetId="0" hidden="1">monday_model.lp!$EDG$539</definedName>
    <definedName name="Constraint_533_RHS" localSheetId="0" hidden="1">monday_model.lp!$EDI$539</definedName>
    <definedName name="Constraint_533_Sense" localSheetId="0" hidden="1">monday_model.lp!$EDH$539</definedName>
    <definedName name="Constraint_534" localSheetId="0" hidden="1">monday_model.lp!$C$540:$EDE$540</definedName>
    <definedName name="Constraint_534_LHS" localSheetId="0" hidden="1">monday_model.lp!$EDG$540</definedName>
    <definedName name="Constraint_534_RHS" localSheetId="0" hidden="1">monday_model.lp!$EDI$540</definedName>
    <definedName name="Constraint_534_Sense" localSheetId="0" hidden="1">monday_model.lp!$EDH$540</definedName>
    <definedName name="Constraint_535" localSheetId="0" hidden="1">monday_model.lp!$C$541:$EDE$541</definedName>
    <definedName name="Constraint_535_LHS" localSheetId="0" hidden="1">monday_model.lp!$EDG$541</definedName>
    <definedName name="Constraint_535_RHS" localSheetId="0" hidden="1">monday_model.lp!$EDI$541</definedName>
    <definedName name="Constraint_535_Sense" localSheetId="0" hidden="1">monday_model.lp!$EDH$541</definedName>
    <definedName name="Constraint_536" localSheetId="0" hidden="1">monday_model.lp!$C$542:$EDE$542</definedName>
    <definedName name="Constraint_536_LHS" localSheetId="0" hidden="1">monday_model.lp!$EDG$542</definedName>
    <definedName name="Constraint_536_RHS" localSheetId="0" hidden="1">monday_model.lp!$EDI$542</definedName>
    <definedName name="Constraint_536_Sense" localSheetId="0" hidden="1">monday_model.lp!$EDH$542</definedName>
    <definedName name="Constraint_537" localSheetId="0" hidden="1">monday_model.lp!$C$543:$EDE$543</definedName>
    <definedName name="Constraint_537_LHS" localSheetId="0" hidden="1">monday_model.lp!$EDG$543</definedName>
    <definedName name="Constraint_537_RHS" localSheetId="0" hidden="1">monday_model.lp!$EDI$543</definedName>
    <definedName name="Constraint_537_Sense" localSheetId="0" hidden="1">monday_model.lp!$EDH$543</definedName>
    <definedName name="Constraint_538" localSheetId="0" hidden="1">monday_model.lp!$C$544:$EDE$544</definedName>
    <definedName name="Constraint_538_LHS" localSheetId="0" hidden="1">monday_model.lp!$EDG$544</definedName>
    <definedName name="Constraint_538_RHS" localSheetId="0" hidden="1">monday_model.lp!$EDI$544</definedName>
    <definedName name="Constraint_538_Sense" localSheetId="0" hidden="1">monday_model.lp!$EDH$544</definedName>
    <definedName name="Constraint_539" localSheetId="0" hidden="1">monday_model.lp!$C$545:$EDE$545</definedName>
    <definedName name="Constraint_539_LHS" localSheetId="0" hidden="1">monday_model.lp!$EDG$545</definedName>
    <definedName name="Constraint_539_RHS" localSheetId="0" hidden="1">monday_model.lp!$EDI$545</definedName>
    <definedName name="Constraint_539_Sense" localSheetId="0" hidden="1">monday_model.lp!$EDH$545</definedName>
    <definedName name="Constraint_54" localSheetId="0" hidden="1">monday_model.lp!$C$60:$EDE$60</definedName>
    <definedName name="Constraint_54_LHS" localSheetId="0" hidden="1">monday_model.lp!$EDG$60</definedName>
    <definedName name="Constraint_54_RHS" localSheetId="0" hidden="1">monday_model.lp!$EDI$60</definedName>
    <definedName name="Constraint_54_Sense" localSheetId="0" hidden="1">monday_model.lp!$EDH$60</definedName>
    <definedName name="Constraint_540" localSheetId="0" hidden="1">monday_model.lp!$C$546:$EDE$546</definedName>
    <definedName name="Constraint_540_LHS" localSheetId="0" hidden="1">monday_model.lp!$EDG$546</definedName>
    <definedName name="Constraint_540_RHS" localSheetId="0" hidden="1">monday_model.lp!$EDI$546</definedName>
    <definedName name="Constraint_540_Sense" localSheetId="0" hidden="1">monday_model.lp!$EDH$546</definedName>
    <definedName name="Constraint_541" localSheetId="0" hidden="1">monday_model.lp!$C$547:$EDE$547</definedName>
    <definedName name="Constraint_541_LHS" localSheetId="0" hidden="1">monday_model.lp!$EDG$547</definedName>
    <definedName name="Constraint_541_RHS" localSheetId="0" hidden="1">monday_model.lp!$EDI$547</definedName>
    <definedName name="Constraint_541_Sense" localSheetId="0" hidden="1">monday_model.lp!$EDH$547</definedName>
    <definedName name="Constraint_542" localSheetId="0" hidden="1">monday_model.lp!$C$548:$EDE$548</definedName>
    <definedName name="Constraint_542_LHS" localSheetId="0" hidden="1">monday_model.lp!$EDG$548</definedName>
    <definedName name="Constraint_542_RHS" localSheetId="0" hidden="1">monday_model.lp!$EDI$548</definedName>
    <definedName name="Constraint_542_Sense" localSheetId="0" hidden="1">monday_model.lp!$EDH$548</definedName>
    <definedName name="Constraint_543" localSheetId="0" hidden="1">monday_model.lp!$C$549:$EDE$549</definedName>
    <definedName name="Constraint_543_LHS" localSheetId="0" hidden="1">monday_model.lp!$EDG$549</definedName>
    <definedName name="Constraint_543_RHS" localSheetId="0" hidden="1">monday_model.lp!$EDI$549</definedName>
    <definedName name="Constraint_543_Sense" localSheetId="0" hidden="1">monday_model.lp!$EDH$549</definedName>
    <definedName name="Constraint_544" localSheetId="0" hidden="1">monday_model.lp!$C$550:$EDE$550</definedName>
    <definedName name="Constraint_544_LHS" localSheetId="0" hidden="1">monday_model.lp!$EDG$550</definedName>
    <definedName name="Constraint_544_RHS" localSheetId="0" hidden="1">monday_model.lp!$EDI$550</definedName>
    <definedName name="Constraint_544_Sense" localSheetId="0" hidden="1">monday_model.lp!$EDH$550</definedName>
    <definedName name="Constraint_545" localSheetId="0" hidden="1">monday_model.lp!$C$551:$EDE$551</definedName>
    <definedName name="Constraint_545_LHS" localSheetId="0" hidden="1">monday_model.lp!$EDG$551</definedName>
    <definedName name="Constraint_545_RHS" localSheetId="0" hidden="1">monday_model.lp!$EDI$551</definedName>
    <definedName name="Constraint_545_Sense" localSheetId="0" hidden="1">monday_model.lp!$EDH$551</definedName>
    <definedName name="Constraint_546" localSheetId="0" hidden="1">monday_model.lp!$C$552:$EDE$552</definedName>
    <definedName name="Constraint_546_LHS" localSheetId="0" hidden="1">monday_model.lp!$EDG$552</definedName>
    <definedName name="Constraint_546_RHS" localSheetId="0" hidden="1">monday_model.lp!$EDI$552</definedName>
    <definedName name="Constraint_546_Sense" localSheetId="0" hidden="1">monday_model.lp!$EDH$552</definedName>
    <definedName name="Constraint_547" localSheetId="0" hidden="1">monday_model.lp!$C$553:$EDE$553</definedName>
    <definedName name="Constraint_547_LHS" localSheetId="0" hidden="1">monday_model.lp!$EDG$553</definedName>
    <definedName name="Constraint_547_RHS" localSheetId="0" hidden="1">monday_model.lp!$EDI$553</definedName>
    <definedName name="Constraint_547_Sense" localSheetId="0" hidden="1">monday_model.lp!$EDH$553</definedName>
    <definedName name="Constraint_548" localSheetId="0" hidden="1">monday_model.lp!$C$554:$EDE$554</definedName>
    <definedName name="Constraint_548_LHS" localSheetId="0" hidden="1">monday_model.lp!$EDG$554</definedName>
    <definedName name="Constraint_548_RHS" localSheetId="0" hidden="1">monday_model.lp!$EDI$554</definedName>
    <definedName name="Constraint_548_Sense" localSheetId="0" hidden="1">monday_model.lp!$EDH$554</definedName>
    <definedName name="Constraint_549" localSheetId="0" hidden="1">monday_model.lp!$C$555:$EDE$555</definedName>
    <definedName name="Constraint_549_LHS" localSheetId="0" hidden="1">monday_model.lp!$EDG$555</definedName>
    <definedName name="Constraint_549_RHS" localSheetId="0" hidden="1">monday_model.lp!$EDI$555</definedName>
    <definedName name="Constraint_549_Sense" localSheetId="0" hidden="1">monday_model.lp!$EDH$555</definedName>
    <definedName name="Constraint_55" localSheetId="0" hidden="1">monday_model.lp!$C$61:$EDE$61</definedName>
    <definedName name="Constraint_55_LHS" localSheetId="0" hidden="1">monday_model.lp!$EDG$61</definedName>
    <definedName name="Constraint_55_RHS" localSheetId="0" hidden="1">monday_model.lp!$EDI$61</definedName>
    <definedName name="Constraint_55_Sense" localSheetId="0" hidden="1">monday_model.lp!$EDH$61</definedName>
    <definedName name="Constraint_550" localSheetId="0" hidden="1">monday_model.lp!$C$556:$EDE$556</definedName>
    <definedName name="Constraint_550_LHS" localSheetId="0" hidden="1">monday_model.lp!$EDG$556</definedName>
    <definedName name="Constraint_550_RHS" localSheetId="0" hidden="1">monday_model.lp!$EDI$556</definedName>
    <definedName name="Constraint_550_Sense" localSheetId="0" hidden="1">monday_model.lp!$EDH$556</definedName>
    <definedName name="Constraint_551" localSheetId="0" hidden="1">monday_model.lp!$C$557:$EDE$557</definedName>
    <definedName name="Constraint_551_LHS" localSheetId="0" hidden="1">monday_model.lp!$EDG$557</definedName>
    <definedName name="Constraint_551_RHS" localSheetId="0" hidden="1">monday_model.lp!$EDI$557</definedName>
    <definedName name="Constraint_551_Sense" localSheetId="0" hidden="1">monday_model.lp!$EDH$557</definedName>
    <definedName name="Constraint_552" localSheetId="0" hidden="1">monday_model.lp!$C$558:$EDE$558</definedName>
    <definedName name="Constraint_552_LHS" localSheetId="0" hidden="1">monday_model.lp!$EDG$558</definedName>
    <definedName name="Constraint_552_RHS" localSheetId="0" hidden="1">monday_model.lp!$EDI$558</definedName>
    <definedName name="Constraint_552_Sense" localSheetId="0" hidden="1">monday_model.lp!$EDH$558</definedName>
    <definedName name="Constraint_553" localSheetId="0" hidden="1">monday_model.lp!$C$559:$EDE$559</definedName>
    <definedName name="Constraint_553_LHS" localSheetId="0" hidden="1">monday_model.lp!$EDG$559</definedName>
    <definedName name="Constraint_553_RHS" localSheetId="0" hidden="1">monday_model.lp!$EDI$559</definedName>
    <definedName name="Constraint_553_Sense" localSheetId="0" hidden="1">monday_model.lp!$EDH$559</definedName>
    <definedName name="Constraint_554" localSheetId="0" hidden="1">monday_model.lp!$C$560:$EDE$560</definedName>
    <definedName name="Constraint_554_LHS" localSheetId="0" hidden="1">monday_model.lp!$EDG$560</definedName>
    <definedName name="Constraint_554_RHS" localSheetId="0" hidden="1">monday_model.lp!$EDI$560</definedName>
    <definedName name="Constraint_554_Sense" localSheetId="0" hidden="1">monday_model.lp!$EDH$560</definedName>
    <definedName name="Constraint_555" localSheetId="0" hidden="1">monday_model.lp!$C$561:$EDE$561</definedName>
    <definedName name="Constraint_555_LHS" localSheetId="0" hidden="1">monday_model.lp!$EDG$561</definedName>
    <definedName name="Constraint_555_RHS" localSheetId="0" hidden="1">monday_model.lp!$EDI$561</definedName>
    <definedName name="Constraint_555_Sense" localSheetId="0" hidden="1">monday_model.lp!$EDH$561</definedName>
    <definedName name="Constraint_556" localSheetId="0" hidden="1">monday_model.lp!$C$562:$EDE$562</definedName>
    <definedName name="Constraint_556_LHS" localSheetId="0" hidden="1">monday_model.lp!$EDG$562</definedName>
    <definedName name="Constraint_556_RHS" localSheetId="0" hidden="1">monday_model.lp!$EDI$562</definedName>
    <definedName name="Constraint_556_Sense" localSheetId="0" hidden="1">monday_model.lp!$EDH$562</definedName>
    <definedName name="Constraint_557" localSheetId="0" hidden="1">monday_model.lp!$C$563:$EDE$563</definedName>
    <definedName name="Constraint_557_LHS" localSheetId="0" hidden="1">monday_model.lp!$EDG$563</definedName>
    <definedName name="Constraint_557_RHS" localSheetId="0" hidden="1">monday_model.lp!$EDI$563</definedName>
    <definedName name="Constraint_557_Sense" localSheetId="0" hidden="1">monday_model.lp!$EDH$563</definedName>
    <definedName name="Constraint_558" localSheetId="0" hidden="1">monday_model.lp!$C$564:$EDE$564</definedName>
    <definedName name="Constraint_558_LHS" localSheetId="0" hidden="1">monday_model.lp!$EDG$564</definedName>
    <definedName name="Constraint_558_RHS" localSheetId="0" hidden="1">monday_model.lp!$EDI$564</definedName>
    <definedName name="Constraint_558_Sense" localSheetId="0" hidden="1">monday_model.lp!$EDH$564</definedName>
    <definedName name="Constraint_559" localSheetId="0" hidden="1">monday_model.lp!$C$565:$EDE$565</definedName>
    <definedName name="Constraint_559_LHS" localSheetId="0" hidden="1">monday_model.lp!$EDG$565</definedName>
    <definedName name="Constraint_559_RHS" localSheetId="0" hidden="1">monday_model.lp!$EDI$565</definedName>
    <definedName name="Constraint_559_Sense" localSheetId="0" hidden="1">monday_model.lp!$EDH$565</definedName>
    <definedName name="Constraint_56" localSheetId="0" hidden="1">monday_model.lp!$C$62:$EDE$62</definedName>
    <definedName name="Constraint_56_LHS" localSheetId="0" hidden="1">monday_model.lp!$EDG$62</definedName>
    <definedName name="Constraint_56_RHS" localSheetId="0" hidden="1">monday_model.lp!$EDI$62</definedName>
    <definedName name="Constraint_56_Sense" localSheetId="0" hidden="1">monday_model.lp!$EDH$62</definedName>
    <definedName name="Constraint_560" localSheetId="0" hidden="1">monday_model.lp!$C$566:$EDE$566</definedName>
    <definedName name="Constraint_560_LHS" localSheetId="0" hidden="1">monday_model.lp!$EDG$566</definedName>
    <definedName name="Constraint_560_RHS" localSheetId="0" hidden="1">monday_model.lp!$EDI$566</definedName>
    <definedName name="Constraint_560_Sense" localSheetId="0" hidden="1">monday_model.lp!$EDH$566</definedName>
    <definedName name="Constraint_561" localSheetId="0" hidden="1">monday_model.lp!$C$567:$EDE$567</definedName>
    <definedName name="Constraint_561_LHS" localSheetId="0" hidden="1">monday_model.lp!$EDG$567</definedName>
    <definedName name="Constraint_561_RHS" localSheetId="0" hidden="1">monday_model.lp!$EDI$567</definedName>
    <definedName name="Constraint_561_Sense" localSheetId="0" hidden="1">monday_model.lp!$EDH$567</definedName>
    <definedName name="Constraint_562" localSheetId="0" hidden="1">monday_model.lp!$C$568:$EDE$568</definedName>
    <definedName name="Constraint_562_LHS" localSheetId="0" hidden="1">monday_model.lp!$EDG$568</definedName>
    <definedName name="Constraint_562_RHS" localSheetId="0" hidden="1">monday_model.lp!$EDI$568</definedName>
    <definedName name="Constraint_562_Sense" localSheetId="0" hidden="1">monday_model.lp!$EDH$568</definedName>
    <definedName name="Constraint_563" localSheetId="0" hidden="1">monday_model.lp!$C$569:$EDE$569</definedName>
    <definedName name="Constraint_563_LHS" localSheetId="0" hidden="1">monday_model.lp!$EDG$569</definedName>
    <definedName name="Constraint_563_RHS" localSheetId="0" hidden="1">monday_model.lp!$EDI$569</definedName>
    <definedName name="Constraint_563_Sense" localSheetId="0" hidden="1">monday_model.lp!$EDH$569</definedName>
    <definedName name="Constraint_564" localSheetId="0" hidden="1">monday_model.lp!$C$570:$EDE$570</definedName>
    <definedName name="Constraint_564_LHS" localSheetId="0" hidden="1">monday_model.lp!$EDG$570</definedName>
    <definedName name="Constraint_564_RHS" localSheetId="0" hidden="1">monday_model.lp!$EDI$570</definedName>
    <definedName name="Constraint_564_Sense" localSheetId="0" hidden="1">monday_model.lp!$EDH$570</definedName>
    <definedName name="Constraint_565" localSheetId="0" hidden="1">monday_model.lp!$C$571:$EDE$571</definedName>
    <definedName name="Constraint_565_LHS" localSheetId="0" hidden="1">monday_model.lp!$EDG$571</definedName>
    <definedName name="Constraint_565_RHS" localSheetId="0" hidden="1">monday_model.lp!$EDI$571</definedName>
    <definedName name="Constraint_565_Sense" localSheetId="0" hidden="1">monday_model.lp!$EDH$571</definedName>
    <definedName name="Constraint_566" localSheetId="0" hidden="1">monday_model.lp!$C$572:$EDE$572</definedName>
    <definedName name="Constraint_566_LHS" localSheetId="0" hidden="1">monday_model.lp!$EDG$572</definedName>
    <definedName name="Constraint_566_RHS" localSheetId="0" hidden="1">monday_model.lp!$EDI$572</definedName>
    <definedName name="Constraint_566_Sense" localSheetId="0" hidden="1">monday_model.lp!$EDH$572</definedName>
    <definedName name="Constraint_567" localSheetId="0" hidden="1">monday_model.lp!$C$573:$EDE$573</definedName>
    <definedName name="Constraint_567_LHS" localSheetId="0" hidden="1">monday_model.lp!$EDG$573</definedName>
    <definedName name="Constraint_567_RHS" localSheetId="0" hidden="1">monday_model.lp!$EDI$573</definedName>
    <definedName name="Constraint_567_Sense" localSheetId="0" hidden="1">monday_model.lp!$EDH$573</definedName>
    <definedName name="Constraint_568" localSheetId="0" hidden="1">monday_model.lp!$C$574:$EDE$574</definedName>
    <definedName name="Constraint_568_LHS" localSheetId="0" hidden="1">monday_model.lp!$EDG$574</definedName>
    <definedName name="Constraint_568_RHS" localSheetId="0" hidden="1">monday_model.lp!$EDI$574</definedName>
    <definedName name="Constraint_568_Sense" localSheetId="0" hidden="1">monday_model.lp!$EDH$574</definedName>
    <definedName name="Constraint_569" localSheetId="0" hidden="1">monday_model.lp!$C$575:$EDE$575</definedName>
    <definedName name="Constraint_569_LHS" localSheetId="0" hidden="1">monday_model.lp!$EDG$575</definedName>
    <definedName name="Constraint_569_RHS" localSheetId="0" hidden="1">monday_model.lp!$EDI$575</definedName>
    <definedName name="Constraint_569_Sense" localSheetId="0" hidden="1">monday_model.lp!$EDH$575</definedName>
    <definedName name="Constraint_57" localSheetId="0" hidden="1">monday_model.lp!$C$63:$EDE$63</definedName>
    <definedName name="Constraint_57_LHS" localSheetId="0" hidden="1">monday_model.lp!$EDG$63</definedName>
    <definedName name="Constraint_57_RHS" localSheetId="0" hidden="1">monday_model.lp!$EDI$63</definedName>
    <definedName name="Constraint_57_Sense" localSheetId="0" hidden="1">monday_model.lp!$EDH$63</definedName>
    <definedName name="Constraint_570" localSheetId="0" hidden="1">monday_model.lp!$C$576:$EDE$576</definedName>
    <definedName name="Constraint_570_LHS" localSheetId="0" hidden="1">monday_model.lp!$EDG$576</definedName>
    <definedName name="Constraint_570_RHS" localSheetId="0" hidden="1">monday_model.lp!$EDI$576</definedName>
    <definedName name="Constraint_570_Sense" localSheetId="0" hidden="1">monday_model.lp!$EDH$576</definedName>
    <definedName name="Constraint_571" localSheetId="0" hidden="1">monday_model.lp!$C$577:$EDE$577</definedName>
    <definedName name="Constraint_571_LHS" localSheetId="0" hidden="1">monday_model.lp!$EDG$577</definedName>
    <definedName name="Constraint_571_RHS" localSheetId="0" hidden="1">monday_model.lp!$EDI$577</definedName>
    <definedName name="Constraint_571_Sense" localSheetId="0" hidden="1">monday_model.lp!$EDH$577</definedName>
    <definedName name="Constraint_572" localSheetId="0" hidden="1">monday_model.lp!$C$578:$EDE$578</definedName>
    <definedName name="Constraint_572_LHS" localSheetId="0" hidden="1">monday_model.lp!$EDG$578</definedName>
    <definedName name="Constraint_572_RHS" localSheetId="0" hidden="1">monday_model.lp!$EDI$578</definedName>
    <definedName name="Constraint_572_Sense" localSheetId="0" hidden="1">monday_model.lp!$EDH$578</definedName>
    <definedName name="Constraint_573" localSheetId="0" hidden="1">monday_model.lp!$C$579:$EDE$579</definedName>
    <definedName name="Constraint_573_LHS" localSheetId="0" hidden="1">monday_model.lp!$EDG$579</definedName>
    <definedName name="Constraint_573_RHS" localSheetId="0" hidden="1">monday_model.lp!$EDI$579</definedName>
    <definedName name="Constraint_573_Sense" localSheetId="0" hidden="1">monday_model.lp!$EDH$579</definedName>
    <definedName name="Constraint_574" localSheetId="0" hidden="1">monday_model.lp!$C$580:$EDE$580</definedName>
    <definedName name="Constraint_574_LHS" localSheetId="0" hidden="1">monday_model.lp!$EDG$580</definedName>
    <definedName name="Constraint_574_RHS" localSheetId="0" hidden="1">monday_model.lp!$EDI$580</definedName>
    <definedName name="Constraint_574_Sense" localSheetId="0" hidden="1">monday_model.lp!$EDH$580</definedName>
    <definedName name="Constraint_575" localSheetId="0" hidden="1">monday_model.lp!$C$581:$EDE$581</definedName>
    <definedName name="Constraint_575_LHS" localSheetId="0" hidden="1">monday_model.lp!$EDG$581</definedName>
    <definedName name="Constraint_575_RHS" localSheetId="0" hidden="1">monday_model.lp!$EDI$581</definedName>
    <definedName name="Constraint_575_Sense" localSheetId="0" hidden="1">monday_model.lp!$EDH$581</definedName>
    <definedName name="Constraint_576" localSheetId="0" hidden="1">monday_model.lp!$C$582:$EDE$582</definedName>
    <definedName name="Constraint_576_LHS" localSheetId="0" hidden="1">monday_model.lp!$EDG$582</definedName>
    <definedName name="Constraint_576_RHS" localSheetId="0" hidden="1">monday_model.lp!$EDI$582</definedName>
    <definedName name="Constraint_576_Sense" localSheetId="0" hidden="1">monday_model.lp!$EDH$582</definedName>
    <definedName name="Constraint_577" localSheetId="0" hidden="1">monday_model.lp!$C$583:$EDE$583</definedName>
    <definedName name="Constraint_577_LHS" localSheetId="0" hidden="1">monday_model.lp!$EDG$583</definedName>
    <definedName name="Constraint_577_RHS" localSheetId="0" hidden="1">monday_model.lp!$EDI$583</definedName>
    <definedName name="Constraint_577_Sense" localSheetId="0" hidden="1">monday_model.lp!$EDH$583</definedName>
    <definedName name="Constraint_578" localSheetId="0" hidden="1">monday_model.lp!$C$584:$EDE$584</definedName>
    <definedName name="Constraint_578_LHS" localSheetId="0" hidden="1">monday_model.lp!$EDG$584</definedName>
    <definedName name="Constraint_578_RHS" localSheetId="0" hidden="1">monday_model.lp!$EDI$584</definedName>
    <definedName name="Constraint_578_Sense" localSheetId="0" hidden="1">monday_model.lp!$EDH$584</definedName>
    <definedName name="Constraint_579" localSheetId="0" hidden="1">monday_model.lp!$C$585:$EDE$585</definedName>
    <definedName name="Constraint_579_LHS" localSheetId="0" hidden="1">monday_model.lp!$EDG$585</definedName>
    <definedName name="Constraint_579_RHS" localSheetId="0" hidden="1">monday_model.lp!$EDI$585</definedName>
    <definedName name="Constraint_579_Sense" localSheetId="0" hidden="1">monday_model.lp!$EDH$585</definedName>
    <definedName name="Constraint_58" localSheetId="0" hidden="1">monday_model.lp!$C$64:$EDE$64</definedName>
    <definedName name="Constraint_58_LHS" localSheetId="0" hidden="1">monday_model.lp!$EDG$64</definedName>
    <definedName name="Constraint_58_RHS" localSheetId="0" hidden="1">monday_model.lp!$EDI$64</definedName>
    <definedName name="Constraint_58_Sense" localSheetId="0" hidden="1">monday_model.lp!$EDH$64</definedName>
    <definedName name="Constraint_580" localSheetId="0" hidden="1">monday_model.lp!$C$586:$EDE$586</definedName>
    <definedName name="Constraint_580_LHS" localSheetId="0" hidden="1">monday_model.lp!$EDG$586</definedName>
    <definedName name="Constraint_580_RHS" localSheetId="0" hidden="1">monday_model.lp!$EDI$586</definedName>
    <definedName name="Constraint_580_Sense" localSheetId="0" hidden="1">monday_model.lp!$EDH$586</definedName>
    <definedName name="Constraint_581" localSheetId="0" hidden="1">monday_model.lp!$C$587:$EDE$587</definedName>
    <definedName name="Constraint_581_LHS" localSheetId="0" hidden="1">monday_model.lp!$EDG$587</definedName>
    <definedName name="Constraint_581_RHS" localSheetId="0" hidden="1">monday_model.lp!$EDI$587</definedName>
    <definedName name="Constraint_581_Sense" localSheetId="0" hidden="1">monday_model.lp!$EDH$587</definedName>
    <definedName name="Constraint_582" localSheetId="0" hidden="1">monday_model.lp!$C$588:$EDE$588</definedName>
    <definedName name="Constraint_582_LHS" localSheetId="0" hidden="1">monday_model.lp!$EDG$588</definedName>
    <definedName name="Constraint_582_RHS" localSheetId="0" hidden="1">monday_model.lp!$EDI$588</definedName>
    <definedName name="Constraint_582_Sense" localSheetId="0" hidden="1">monday_model.lp!$EDH$588</definedName>
    <definedName name="Constraint_583" localSheetId="0" hidden="1">monday_model.lp!$C$589:$EDE$589</definedName>
    <definedName name="Constraint_583_LHS" localSheetId="0" hidden="1">monday_model.lp!$EDG$589</definedName>
    <definedName name="Constraint_583_RHS" localSheetId="0" hidden="1">monday_model.lp!$EDI$589</definedName>
    <definedName name="Constraint_583_Sense" localSheetId="0" hidden="1">monday_model.lp!$EDH$589</definedName>
    <definedName name="Constraint_584" localSheetId="0" hidden="1">monday_model.lp!$C$590:$EDE$590</definedName>
    <definedName name="Constraint_584_LHS" localSheetId="0" hidden="1">monday_model.lp!$EDG$590</definedName>
    <definedName name="Constraint_584_RHS" localSheetId="0" hidden="1">monday_model.lp!$EDI$590</definedName>
    <definedName name="Constraint_584_Sense" localSheetId="0" hidden="1">monday_model.lp!$EDH$590</definedName>
    <definedName name="Constraint_585" localSheetId="0" hidden="1">monday_model.lp!$C$591:$EDE$591</definedName>
    <definedName name="Constraint_585_LHS" localSheetId="0" hidden="1">monday_model.lp!$EDG$591</definedName>
    <definedName name="Constraint_585_RHS" localSheetId="0" hidden="1">monday_model.lp!$EDI$591</definedName>
    <definedName name="Constraint_585_Sense" localSheetId="0" hidden="1">monday_model.lp!$EDH$591</definedName>
    <definedName name="Constraint_586" localSheetId="0" hidden="1">monday_model.lp!$C$592:$EDE$592</definedName>
    <definedName name="Constraint_586_LHS" localSheetId="0" hidden="1">monday_model.lp!$EDG$592</definedName>
    <definedName name="Constraint_586_RHS" localSheetId="0" hidden="1">monday_model.lp!$EDI$592</definedName>
    <definedName name="Constraint_586_Sense" localSheetId="0" hidden="1">monday_model.lp!$EDH$592</definedName>
    <definedName name="Constraint_587" localSheetId="0" hidden="1">monday_model.lp!$C$593:$EDE$593</definedName>
    <definedName name="Constraint_587_LHS" localSheetId="0" hidden="1">monday_model.lp!$EDG$593</definedName>
    <definedName name="Constraint_587_RHS" localSheetId="0" hidden="1">monday_model.lp!$EDI$593</definedName>
    <definedName name="Constraint_587_Sense" localSheetId="0" hidden="1">monday_model.lp!$EDH$593</definedName>
    <definedName name="Constraint_588" localSheetId="0" hidden="1">monday_model.lp!$C$594:$EDE$594</definedName>
    <definedName name="Constraint_588_LHS" localSheetId="0" hidden="1">monday_model.lp!$EDG$594</definedName>
    <definedName name="Constraint_588_RHS" localSheetId="0" hidden="1">monday_model.lp!$EDI$594</definedName>
    <definedName name="Constraint_588_Sense" localSheetId="0" hidden="1">monday_model.lp!$EDH$594</definedName>
    <definedName name="Constraint_589" localSheetId="0" hidden="1">monday_model.lp!$C$595:$EDE$595</definedName>
    <definedName name="Constraint_589_LHS" localSheetId="0" hidden="1">monday_model.lp!$EDG$595</definedName>
    <definedName name="Constraint_589_RHS" localSheetId="0" hidden="1">monday_model.lp!$EDI$595</definedName>
    <definedName name="Constraint_589_Sense" localSheetId="0" hidden="1">monday_model.lp!$EDH$595</definedName>
    <definedName name="Constraint_59" localSheetId="0" hidden="1">monday_model.lp!$C$65:$EDE$65</definedName>
    <definedName name="Constraint_59_LHS" localSheetId="0" hidden="1">monday_model.lp!$EDG$65</definedName>
    <definedName name="Constraint_59_RHS" localSheetId="0" hidden="1">monday_model.lp!$EDI$65</definedName>
    <definedName name="Constraint_59_Sense" localSheetId="0" hidden="1">monday_model.lp!$EDH$65</definedName>
    <definedName name="Constraint_590" localSheetId="0" hidden="1">monday_model.lp!$C$596:$EDE$596</definedName>
    <definedName name="Constraint_590_LHS" localSheetId="0" hidden="1">monday_model.lp!$EDG$596</definedName>
    <definedName name="Constraint_590_RHS" localSheetId="0" hidden="1">monday_model.lp!$EDI$596</definedName>
    <definedName name="Constraint_590_Sense" localSheetId="0" hidden="1">monday_model.lp!$EDH$596</definedName>
    <definedName name="Constraint_591" localSheetId="0" hidden="1">monday_model.lp!$C$597:$EDE$597</definedName>
    <definedName name="Constraint_591_LHS" localSheetId="0" hidden="1">monday_model.lp!$EDG$597</definedName>
    <definedName name="Constraint_591_RHS" localSheetId="0" hidden="1">monday_model.lp!$EDI$597</definedName>
    <definedName name="Constraint_591_Sense" localSheetId="0" hidden="1">monday_model.lp!$EDH$597</definedName>
    <definedName name="Constraint_592" localSheetId="0" hidden="1">monday_model.lp!$C$598:$EDE$598</definedName>
    <definedName name="Constraint_592_LHS" localSheetId="0" hidden="1">monday_model.lp!$EDG$598</definedName>
    <definedName name="Constraint_592_RHS" localSheetId="0" hidden="1">monday_model.lp!$EDI$598</definedName>
    <definedName name="Constraint_592_Sense" localSheetId="0" hidden="1">monday_model.lp!$EDH$598</definedName>
    <definedName name="Constraint_593" localSheetId="0" hidden="1">monday_model.lp!$C$599:$EDE$599</definedName>
    <definedName name="Constraint_593_LHS" localSheetId="0" hidden="1">monday_model.lp!$EDG$599</definedName>
    <definedName name="Constraint_593_RHS" localSheetId="0" hidden="1">monday_model.lp!$EDI$599</definedName>
    <definedName name="Constraint_593_Sense" localSheetId="0" hidden="1">monday_model.lp!$EDH$599</definedName>
    <definedName name="Constraint_594" localSheetId="0" hidden="1">monday_model.lp!$C$600:$EDE$600</definedName>
    <definedName name="Constraint_594_LHS" localSheetId="0" hidden="1">monday_model.lp!$EDG$600</definedName>
    <definedName name="Constraint_594_RHS" localSheetId="0" hidden="1">monday_model.lp!$EDI$600</definedName>
    <definedName name="Constraint_594_Sense" localSheetId="0" hidden="1">monday_model.lp!$EDH$600</definedName>
    <definedName name="Constraint_595" localSheetId="0" hidden="1">monday_model.lp!$C$601:$EDE$601</definedName>
    <definedName name="Constraint_595_LHS" localSheetId="0" hidden="1">monday_model.lp!$EDG$601</definedName>
    <definedName name="Constraint_595_RHS" localSheetId="0" hidden="1">monday_model.lp!$EDI$601</definedName>
    <definedName name="Constraint_595_Sense" localSheetId="0" hidden="1">monday_model.lp!$EDH$601</definedName>
    <definedName name="Constraint_596" localSheetId="0" hidden="1">monday_model.lp!$C$602:$EDE$602</definedName>
    <definedName name="Constraint_596_LHS" localSheetId="0" hidden="1">monday_model.lp!$EDG$602</definedName>
    <definedName name="Constraint_596_RHS" localSheetId="0" hidden="1">monday_model.lp!$EDI$602</definedName>
    <definedName name="Constraint_596_Sense" localSheetId="0" hidden="1">monday_model.lp!$EDH$602</definedName>
    <definedName name="Constraint_597" localSheetId="0" hidden="1">monday_model.lp!$C$603:$EDE$603</definedName>
    <definedName name="Constraint_597_LHS" localSheetId="0" hidden="1">monday_model.lp!$EDG$603</definedName>
    <definedName name="Constraint_597_RHS" localSheetId="0" hidden="1">monday_model.lp!$EDI$603</definedName>
    <definedName name="Constraint_597_Sense" localSheetId="0" hidden="1">monday_model.lp!$EDH$603</definedName>
    <definedName name="Constraint_598" localSheetId="0" hidden="1">monday_model.lp!$C$604:$EDE$604</definedName>
    <definedName name="Constraint_598_LHS" localSheetId="0" hidden="1">monday_model.lp!$EDG$604</definedName>
    <definedName name="Constraint_598_RHS" localSheetId="0" hidden="1">monday_model.lp!$EDI$604</definedName>
    <definedName name="Constraint_598_Sense" localSheetId="0" hidden="1">monday_model.lp!$EDH$604</definedName>
    <definedName name="Constraint_599" localSheetId="0" hidden="1">monday_model.lp!$C$605:$EDE$605</definedName>
    <definedName name="Constraint_599_LHS" localSheetId="0" hidden="1">monday_model.lp!$EDG$605</definedName>
    <definedName name="Constraint_599_RHS" localSheetId="0" hidden="1">monday_model.lp!$EDI$605</definedName>
    <definedName name="Constraint_599_Sense" localSheetId="0" hidden="1">monday_model.lp!$EDH$605</definedName>
    <definedName name="Constraint_6" localSheetId="0" hidden="1">monday_model.lp!$C$12:$EDE$12</definedName>
    <definedName name="Constraint_6_LHS" localSheetId="0" hidden="1">monday_model.lp!$EDG$12</definedName>
    <definedName name="Constraint_6_RHS" localSheetId="0" hidden="1">monday_model.lp!$EDI$12</definedName>
    <definedName name="Constraint_6_Sense" localSheetId="0" hidden="1">monday_model.lp!$EDH$12</definedName>
    <definedName name="Constraint_60" localSheetId="0" hidden="1">monday_model.lp!$C$66:$EDE$66</definedName>
    <definedName name="Constraint_60_LHS" localSheetId="0" hidden="1">monday_model.lp!$EDG$66</definedName>
    <definedName name="Constraint_60_RHS" localSheetId="0" hidden="1">monday_model.lp!$EDI$66</definedName>
    <definedName name="Constraint_60_Sense" localSheetId="0" hidden="1">monday_model.lp!$EDH$66</definedName>
    <definedName name="Constraint_600" localSheetId="0" hidden="1">monday_model.lp!$C$606:$EDE$606</definedName>
    <definedName name="Constraint_600_LHS" localSheetId="0" hidden="1">monday_model.lp!$EDG$606</definedName>
    <definedName name="Constraint_600_RHS" localSheetId="0" hidden="1">monday_model.lp!$EDI$606</definedName>
    <definedName name="Constraint_600_Sense" localSheetId="0" hidden="1">monday_model.lp!$EDH$606</definedName>
    <definedName name="Constraint_601" localSheetId="0" hidden="1">monday_model.lp!$C$607:$EDE$607</definedName>
    <definedName name="Constraint_601_LHS" localSheetId="0" hidden="1">monday_model.lp!$EDG$607</definedName>
    <definedName name="Constraint_601_RHS" localSheetId="0" hidden="1">monday_model.lp!$EDI$607</definedName>
    <definedName name="Constraint_601_Sense" localSheetId="0" hidden="1">monday_model.lp!$EDH$607</definedName>
    <definedName name="Constraint_602" localSheetId="0" hidden="1">monday_model.lp!$C$608:$EDE$608</definedName>
    <definedName name="Constraint_602_LHS" localSheetId="0" hidden="1">monday_model.lp!$EDG$608</definedName>
    <definedName name="Constraint_602_RHS" localSheetId="0" hidden="1">monday_model.lp!$EDI$608</definedName>
    <definedName name="Constraint_602_Sense" localSheetId="0" hidden="1">monday_model.lp!$EDH$608</definedName>
    <definedName name="Constraint_603" localSheetId="0" hidden="1">monday_model.lp!$C$609:$EDE$609</definedName>
    <definedName name="Constraint_603_LHS" localSheetId="0" hidden="1">monday_model.lp!$EDG$609</definedName>
    <definedName name="Constraint_603_RHS" localSheetId="0" hidden="1">monday_model.lp!$EDI$609</definedName>
    <definedName name="Constraint_603_Sense" localSheetId="0" hidden="1">monday_model.lp!$EDH$609</definedName>
    <definedName name="Constraint_604" localSheetId="0" hidden="1">monday_model.lp!$C$610:$EDE$610</definedName>
    <definedName name="Constraint_604_LHS" localSheetId="0" hidden="1">monday_model.lp!$EDG$610</definedName>
    <definedName name="Constraint_604_RHS" localSheetId="0" hidden="1">monday_model.lp!$EDI$610</definedName>
    <definedName name="Constraint_604_Sense" localSheetId="0" hidden="1">monday_model.lp!$EDH$610</definedName>
    <definedName name="Constraint_605" localSheetId="0" hidden="1">monday_model.lp!$C$611:$EDE$611</definedName>
    <definedName name="Constraint_605_LHS" localSheetId="0" hidden="1">monday_model.lp!$EDG$611</definedName>
    <definedName name="Constraint_605_RHS" localSheetId="0" hidden="1">monday_model.lp!$EDI$611</definedName>
    <definedName name="Constraint_605_Sense" localSheetId="0" hidden="1">monday_model.lp!$EDH$611</definedName>
    <definedName name="Constraint_606" localSheetId="0" hidden="1">monday_model.lp!$C$612:$EDE$612</definedName>
    <definedName name="Constraint_606_LHS" localSheetId="0" hidden="1">monday_model.lp!$EDG$612</definedName>
    <definedName name="Constraint_606_RHS" localSheetId="0" hidden="1">monday_model.lp!$EDI$612</definedName>
    <definedName name="Constraint_606_Sense" localSheetId="0" hidden="1">monday_model.lp!$EDH$612</definedName>
    <definedName name="Constraint_607" localSheetId="0" hidden="1">monday_model.lp!$C$613:$EDE$613</definedName>
    <definedName name="Constraint_607_LHS" localSheetId="0" hidden="1">monday_model.lp!$EDG$613</definedName>
    <definedName name="Constraint_607_RHS" localSheetId="0" hidden="1">monday_model.lp!$EDI$613</definedName>
    <definedName name="Constraint_607_Sense" localSheetId="0" hidden="1">monday_model.lp!$EDH$613</definedName>
    <definedName name="Constraint_608" localSheetId="0" hidden="1">monday_model.lp!$C$614:$EDE$614</definedName>
    <definedName name="Constraint_608_LHS" localSheetId="0" hidden="1">monday_model.lp!$EDG$614</definedName>
    <definedName name="Constraint_608_RHS" localSheetId="0" hidden="1">monday_model.lp!$EDI$614</definedName>
    <definedName name="Constraint_608_Sense" localSheetId="0" hidden="1">monday_model.lp!$EDH$614</definedName>
    <definedName name="Constraint_609" localSheetId="0" hidden="1">monday_model.lp!$C$615:$EDE$615</definedName>
    <definedName name="Constraint_609_LHS" localSheetId="0" hidden="1">monday_model.lp!$EDG$615</definedName>
    <definedName name="Constraint_609_RHS" localSheetId="0" hidden="1">monday_model.lp!$EDI$615</definedName>
    <definedName name="Constraint_609_Sense" localSheetId="0" hidden="1">monday_model.lp!$EDH$615</definedName>
    <definedName name="Constraint_61" localSheetId="0" hidden="1">monday_model.lp!$C$67:$EDE$67</definedName>
    <definedName name="Constraint_61_LHS" localSheetId="0" hidden="1">monday_model.lp!$EDG$67</definedName>
    <definedName name="Constraint_61_RHS" localSheetId="0" hidden="1">monday_model.lp!$EDI$67</definedName>
    <definedName name="Constraint_61_Sense" localSheetId="0" hidden="1">monday_model.lp!$EDH$67</definedName>
    <definedName name="Constraint_610" localSheetId="0" hidden="1">monday_model.lp!$C$616:$EDE$616</definedName>
    <definedName name="Constraint_610_LHS" localSheetId="0" hidden="1">monday_model.lp!$EDG$616</definedName>
    <definedName name="Constraint_610_RHS" localSheetId="0" hidden="1">monday_model.lp!$EDI$616</definedName>
    <definedName name="Constraint_610_Sense" localSheetId="0" hidden="1">monday_model.lp!$EDH$616</definedName>
    <definedName name="Constraint_611" localSheetId="0" hidden="1">monday_model.lp!$C$617:$EDE$617</definedName>
    <definedName name="Constraint_611_LHS" localSheetId="0" hidden="1">monday_model.lp!$EDG$617</definedName>
    <definedName name="Constraint_611_RHS" localSheetId="0" hidden="1">monday_model.lp!$EDI$617</definedName>
    <definedName name="Constraint_611_Sense" localSheetId="0" hidden="1">monday_model.lp!$EDH$617</definedName>
    <definedName name="Constraint_612" localSheetId="0" hidden="1">monday_model.lp!$C$618:$EDE$618</definedName>
    <definedName name="Constraint_612_LHS" localSheetId="0" hidden="1">monday_model.lp!$EDG$618</definedName>
    <definedName name="Constraint_612_RHS" localSheetId="0" hidden="1">monday_model.lp!$EDI$618</definedName>
    <definedName name="Constraint_612_Sense" localSheetId="0" hidden="1">monday_model.lp!$EDH$618</definedName>
    <definedName name="Constraint_613" localSheetId="0" hidden="1">monday_model.lp!$C$619:$EDE$619</definedName>
    <definedName name="Constraint_613_LHS" localSheetId="0" hidden="1">monday_model.lp!$EDG$619</definedName>
    <definedName name="Constraint_613_RHS" localSheetId="0" hidden="1">monday_model.lp!$EDI$619</definedName>
    <definedName name="Constraint_613_Sense" localSheetId="0" hidden="1">monday_model.lp!$EDH$619</definedName>
    <definedName name="Constraint_614" localSheetId="0" hidden="1">monday_model.lp!$C$620:$EDE$620</definedName>
    <definedName name="Constraint_614_LHS" localSheetId="0" hidden="1">monday_model.lp!$EDG$620</definedName>
    <definedName name="Constraint_614_RHS" localSheetId="0" hidden="1">monday_model.lp!$EDI$620</definedName>
    <definedName name="Constraint_614_Sense" localSheetId="0" hidden="1">monday_model.lp!$EDH$620</definedName>
    <definedName name="Constraint_615" localSheetId="0" hidden="1">monday_model.lp!$C$621:$EDE$621</definedName>
    <definedName name="Constraint_615_LHS" localSheetId="0" hidden="1">monday_model.lp!$EDG$621</definedName>
    <definedName name="Constraint_615_RHS" localSheetId="0" hidden="1">monday_model.lp!$EDI$621</definedName>
    <definedName name="Constraint_615_Sense" localSheetId="0" hidden="1">monday_model.lp!$EDH$621</definedName>
    <definedName name="Constraint_616" localSheetId="0" hidden="1">monday_model.lp!$C$622:$EDE$622</definedName>
    <definedName name="Constraint_616_LHS" localSheetId="0" hidden="1">monday_model.lp!$EDG$622</definedName>
    <definedName name="Constraint_616_RHS" localSheetId="0" hidden="1">monday_model.lp!$EDI$622</definedName>
    <definedName name="Constraint_616_Sense" localSheetId="0" hidden="1">monday_model.lp!$EDH$622</definedName>
    <definedName name="Constraint_617" localSheetId="0" hidden="1">monday_model.lp!$C$623:$EDE$623</definedName>
    <definedName name="Constraint_617_LHS" localSheetId="0" hidden="1">monday_model.lp!$EDG$623</definedName>
    <definedName name="Constraint_617_RHS" localSheetId="0" hidden="1">monday_model.lp!$EDI$623</definedName>
    <definedName name="Constraint_617_Sense" localSheetId="0" hidden="1">monday_model.lp!$EDH$623</definedName>
    <definedName name="Constraint_618" localSheetId="0" hidden="1">monday_model.lp!$C$624:$EDE$624</definedName>
    <definedName name="Constraint_618_LHS" localSheetId="0" hidden="1">monday_model.lp!$EDG$624</definedName>
    <definedName name="Constraint_618_RHS" localSheetId="0" hidden="1">monday_model.lp!$EDI$624</definedName>
    <definedName name="Constraint_618_Sense" localSheetId="0" hidden="1">monday_model.lp!$EDH$624</definedName>
    <definedName name="Constraint_619" localSheetId="0" hidden="1">monday_model.lp!$C$625:$EDE$625</definedName>
    <definedName name="Constraint_619_LHS" localSheetId="0" hidden="1">monday_model.lp!$EDG$625</definedName>
    <definedName name="Constraint_619_RHS" localSheetId="0" hidden="1">monday_model.lp!$EDI$625</definedName>
    <definedName name="Constraint_619_Sense" localSheetId="0" hidden="1">monday_model.lp!$EDH$625</definedName>
    <definedName name="Constraint_62" localSheetId="0" hidden="1">monday_model.lp!$C$68:$EDE$68</definedName>
    <definedName name="Constraint_62_LHS" localSheetId="0" hidden="1">monday_model.lp!$EDG$68</definedName>
    <definedName name="Constraint_62_RHS" localSheetId="0" hidden="1">monday_model.lp!$EDI$68</definedName>
    <definedName name="Constraint_62_Sense" localSheetId="0" hidden="1">monday_model.lp!$EDH$68</definedName>
    <definedName name="Constraint_620" localSheetId="0" hidden="1">monday_model.lp!$C$626:$EDE$626</definedName>
    <definedName name="Constraint_620_LHS" localSheetId="0" hidden="1">monday_model.lp!$EDG$626</definedName>
    <definedName name="Constraint_620_RHS" localSheetId="0" hidden="1">monday_model.lp!$EDI$626</definedName>
    <definedName name="Constraint_620_Sense" localSheetId="0" hidden="1">monday_model.lp!$EDH$626</definedName>
    <definedName name="Constraint_621" localSheetId="0" hidden="1">monday_model.lp!$C$627:$EDE$627</definedName>
    <definedName name="Constraint_621_LHS" localSheetId="0" hidden="1">monday_model.lp!$EDG$627</definedName>
    <definedName name="Constraint_621_RHS" localSheetId="0" hidden="1">monday_model.lp!$EDI$627</definedName>
    <definedName name="Constraint_621_Sense" localSheetId="0" hidden="1">monday_model.lp!$EDH$627</definedName>
    <definedName name="Constraint_622" localSheetId="0" hidden="1">monday_model.lp!$C$628:$EDE$628</definedName>
    <definedName name="Constraint_622_LHS" localSheetId="0" hidden="1">monday_model.lp!$EDG$628</definedName>
    <definedName name="Constraint_622_RHS" localSheetId="0" hidden="1">monday_model.lp!$EDI$628</definedName>
    <definedName name="Constraint_622_Sense" localSheetId="0" hidden="1">monday_model.lp!$EDH$628</definedName>
    <definedName name="Constraint_623" localSheetId="0" hidden="1">monday_model.lp!$C$629:$EDE$629</definedName>
    <definedName name="Constraint_623_LHS" localSheetId="0" hidden="1">monday_model.lp!$EDG$629</definedName>
    <definedName name="Constraint_623_RHS" localSheetId="0" hidden="1">monday_model.lp!$EDI$629</definedName>
    <definedName name="Constraint_623_Sense" localSheetId="0" hidden="1">monday_model.lp!$EDH$629</definedName>
    <definedName name="Constraint_624" localSheetId="0" hidden="1">monday_model.lp!$C$630:$EDE$630</definedName>
    <definedName name="Constraint_624_LHS" localSheetId="0" hidden="1">monday_model.lp!$EDG$630</definedName>
    <definedName name="Constraint_624_RHS" localSheetId="0" hidden="1">monday_model.lp!$EDI$630</definedName>
    <definedName name="Constraint_624_Sense" localSheetId="0" hidden="1">monday_model.lp!$EDH$630</definedName>
    <definedName name="Constraint_625" localSheetId="0" hidden="1">monday_model.lp!$C$631:$EDE$631</definedName>
    <definedName name="Constraint_625_LHS" localSheetId="0" hidden="1">monday_model.lp!$EDG$631</definedName>
    <definedName name="Constraint_625_RHS" localSheetId="0" hidden="1">monday_model.lp!$EDI$631</definedName>
    <definedName name="Constraint_625_Sense" localSheetId="0" hidden="1">monday_model.lp!$EDH$631</definedName>
    <definedName name="Constraint_626" localSheetId="0" hidden="1">monday_model.lp!$C$632:$EDE$632</definedName>
    <definedName name="Constraint_626_LHS" localSheetId="0" hidden="1">monday_model.lp!$EDG$632</definedName>
    <definedName name="Constraint_626_RHS" localSheetId="0" hidden="1">monday_model.lp!$EDI$632</definedName>
    <definedName name="Constraint_626_Sense" localSheetId="0" hidden="1">monday_model.lp!$EDH$632</definedName>
    <definedName name="Constraint_627" localSheetId="0" hidden="1">monday_model.lp!$C$633:$EDE$633</definedName>
    <definedName name="Constraint_627_LHS" localSheetId="0" hidden="1">monday_model.lp!$EDG$633</definedName>
    <definedName name="Constraint_627_RHS" localSheetId="0" hidden="1">monday_model.lp!$EDI$633</definedName>
    <definedName name="Constraint_627_Sense" localSheetId="0" hidden="1">monday_model.lp!$EDH$633</definedName>
    <definedName name="Constraint_628" localSheetId="0" hidden="1">monday_model.lp!$C$634:$EDE$634</definedName>
    <definedName name="Constraint_628_LHS" localSheetId="0" hidden="1">monday_model.lp!$EDG$634</definedName>
    <definedName name="Constraint_628_RHS" localSheetId="0" hidden="1">monday_model.lp!$EDI$634</definedName>
    <definedName name="Constraint_628_Sense" localSheetId="0" hidden="1">monday_model.lp!$EDH$634</definedName>
    <definedName name="Constraint_629" localSheetId="0" hidden="1">monday_model.lp!$C$635:$EDE$635</definedName>
    <definedName name="Constraint_629_LHS" localSheetId="0" hidden="1">monday_model.lp!$EDG$635</definedName>
    <definedName name="Constraint_629_RHS" localSheetId="0" hidden="1">monday_model.lp!$EDI$635</definedName>
    <definedName name="Constraint_629_Sense" localSheetId="0" hidden="1">monday_model.lp!$EDH$635</definedName>
    <definedName name="Constraint_63" localSheetId="0" hidden="1">monday_model.lp!$C$69:$EDE$69</definedName>
    <definedName name="Constraint_63_LHS" localSheetId="0" hidden="1">monday_model.lp!$EDG$69</definedName>
    <definedName name="Constraint_63_RHS" localSheetId="0" hidden="1">monday_model.lp!$EDI$69</definedName>
    <definedName name="Constraint_63_Sense" localSheetId="0" hidden="1">monday_model.lp!$EDH$69</definedName>
    <definedName name="Constraint_630" localSheetId="0" hidden="1">monday_model.lp!$C$636:$EDE$636</definedName>
    <definedName name="Constraint_630_LHS" localSheetId="0" hidden="1">monday_model.lp!$EDG$636</definedName>
    <definedName name="Constraint_630_RHS" localSheetId="0" hidden="1">monday_model.lp!$EDI$636</definedName>
    <definedName name="Constraint_630_Sense" localSheetId="0" hidden="1">monday_model.lp!$EDH$636</definedName>
    <definedName name="Constraint_631" localSheetId="0" hidden="1">monday_model.lp!$C$637:$EDE$637</definedName>
    <definedName name="Constraint_631_LHS" localSheetId="0" hidden="1">monday_model.lp!$EDG$637</definedName>
    <definedName name="Constraint_631_RHS" localSheetId="0" hidden="1">monday_model.lp!$EDI$637</definedName>
    <definedName name="Constraint_631_Sense" localSheetId="0" hidden="1">monday_model.lp!$EDH$637</definedName>
    <definedName name="Constraint_632" localSheetId="0" hidden="1">monday_model.lp!$C$638:$EDE$638</definedName>
    <definedName name="Constraint_632_LHS" localSheetId="0" hidden="1">monday_model.lp!$EDG$638</definedName>
    <definedName name="Constraint_632_RHS" localSheetId="0" hidden="1">monday_model.lp!$EDI$638</definedName>
    <definedName name="Constraint_632_Sense" localSheetId="0" hidden="1">monday_model.lp!$EDH$638</definedName>
    <definedName name="Constraint_633" localSheetId="0" hidden="1">monday_model.lp!$C$639:$EDE$639</definedName>
    <definedName name="Constraint_633_LHS" localSheetId="0" hidden="1">monday_model.lp!$EDG$639</definedName>
    <definedName name="Constraint_633_RHS" localSheetId="0" hidden="1">monday_model.lp!$EDI$639</definedName>
    <definedName name="Constraint_633_Sense" localSheetId="0" hidden="1">monday_model.lp!$EDH$639</definedName>
    <definedName name="Constraint_634" localSheetId="0" hidden="1">monday_model.lp!$C$640:$EDE$640</definedName>
    <definedName name="Constraint_634_LHS" localSheetId="0" hidden="1">monday_model.lp!$EDG$640</definedName>
    <definedName name="Constraint_634_RHS" localSheetId="0" hidden="1">monday_model.lp!$EDI$640</definedName>
    <definedName name="Constraint_634_Sense" localSheetId="0" hidden="1">monday_model.lp!$EDH$640</definedName>
    <definedName name="Constraint_635" localSheetId="0" hidden="1">monday_model.lp!$C$641:$EDE$641</definedName>
    <definedName name="Constraint_635_LHS" localSheetId="0" hidden="1">monday_model.lp!$EDG$641</definedName>
    <definedName name="Constraint_635_RHS" localSheetId="0" hidden="1">monday_model.lp!$EDI$641</definedName>
    <definedName name="Constraint_635_Sense" localSheetId="0" hidden="1">monday_model.lp!$EDH$641</definedName>
    <definedName name="Constraint_636" localSheetId="0" hidden="1">monday_model.lp!$C$642:$EDE$642</definedName>
    <definedName name="Constraint_636_LHS" localSheetId="0" hidden="1">monday_model.lp!$EDG$642</definedName>
    <definedName name="Constraint_636_RHS" localSheetId="0" hidden="1">monday_model.lp!$EDI$642</definedName>
    <definedName name="Constraint_636_Sense" localSheetId="0" hidden="1">monday_model.lp!$EDH$642</definedName>
    <definedName name="Constraint_637" localSheetId="0" hidden="1">monday_model.lp!$C$643:$EDE$643</definedName>
    <definedName name="Constraint_637_LHS" localSheetId="0" hidden="1">monday_model.lp!$EDG$643</definedName>
    <definedName name="Constraint_637_RHS" localSheetId="0" hidden="1">monday_model.lp!$EDI$643</definedName>
    <definedName name="Constraint_637_Sense" localSheetId="0" hidden="1">monday_model.lp!$EDH$643</definedName>
    <definedName name="Constraint_638" localSheetId="0" hidden="1">monday_model.lp!$C$644:$EDE$644</definedName>
    <definedName name="Constraint_638_LHS" localSheetId="0" hidden="1">monday_model.lp!$EDG$644</definedName>
    <definedName name="Constraint_638_RHS" localSheetId="0" hidden="1">monday_model.lp!$EDI$644</definedName>
    <definedName name="Constraint_638_Sense" localSheetId="0" hidden="1">monday_model.lp!$EDH$644</definedName>
    <definedName name="Constraint_639" localSheetId="0" hidden="1">monday_model.lp!$C$645:$EDE$645</definedName>
    <definedName name="Constraint_639_LHS" localSheetId="0" hidden="1">monday_model.lp!$EDG$645</definedName>
    <definedName name="Constraint_639_RHS" localSheetId="0" hidden="1">monday_model.lp!$EDI$645</definedName>
    <definedName name="Constraint_639_Sense" localSheetId="0" hidden="1">monday_model.lp!$EDH$645</definedName>
    <definedName name="Constraint_64" localSheetId="0" hidden="1">monday_model.lp!$C$70:$EDE$70</definedName>
    <definedName name="Constraint_64_LHS" localSheetId="0" hidden="1">monday_model.lp!$EDG$70</definedName>
    <definedName name="Constraint_64_RHS" localSheetId="0" hidden="1">monday_model.lp!$EDI$70</definedName>
    <definedName name="Constraint_64_Sense" localSheetId="0" hidden="1">monday_model.lp!$EDH$70</definedName>
    <definedName name="Constraint_640" localSheetId="0" hidden="1">monday_model.lp!$C$646:$EDE$646</definedName>
    <definedName name="Constraint_640_LHS" localSheetId="0" hidden="1">monday_model.lp!$EDG$646</definedName>
    <definedName name="Constraint_640_RHS" localSheetId="0" hidden="1">monday_model.lp!$EDI$646</definedName>
    <definedName name="Constraint_640_Sense" localSheetId="0" hidden="1">monday_model.lp!$EDH$646</definedName>
    <definedName name="Constraint_641" localSheetId="0" hidden="1">monday_model.lp!$C$647:$EDE$647</definedName>
    <definedName name="Constraint_641_LHS" localSheetId="0" hidden="1">monday_model.lp!$EDG$647</definedName>
    <definedName name="Constraint_641_RHS" localSheetId="0" hidden="1">monday_model.lp!$EDI$647</definedName>
    <definedName name="Constraint_641_Sense" localSheetId="0" hidden="1">monday_model.lp!$EDH$647</definedName>
    <definedName name="Constraint_642" localSheetId="0" hidden="1">monday_model.lp!$C$648:$EDE$648</definedName>
    <definedName name="Constraint_642_LHS" localSheetId="0" hidden="1">monday_model.lp!$EDG$648</definedName>
    <definedName name="Constraint_642_RHS" localSheetId="0" hidden="1">monday_model.lp!$EDI$648</definedName>
    <definedName name="Constraint_642_Sense" localSheetId="0" hidden="1">monday_model.lp!$EDH$648</definedName>
    <definedName name="Constraint_643" localSheetId="0" hidden="1">monday_model.lp!$C$649:$EDE$649</definedName>
    <definedName name="Constraint_643_LHS" localSheetId="0" hidden="1">monday_model.lp!$EDG$649</definedName>
    <definedName name="Constraint_643_RHS" localSheetId="0" hidden="1">monday_model.lp!$EDI$649</definedName>
    <definedName name="Constraint_643_Sense" localSheetId="0" hidden="1">monday_model.lp!$EDH$649</definedName>
    <definedName name="Constraint_644" localSheetId="0" hidden="1">monday_model.lp!$C$650:$EDE$650</definedName>
    <definedName name="Constraint_644_LHS" localSheetId="0" hidden="1">monday_model.lp!$EDG$650</definedName>
    <definedName name="Constraint_644_RHS" localSheetId="0" hidden="1">monday_model.lp!$EDI$650</definedName>
    <definedName name="Constraint_644_Sense" localSheetId="0" hidden="1">monday_model.lp!$EDH$650</definedName>
    <definedName name="Constraint_645" localSheetId="0" hidden="1">monday_model.lp!$C$651:$EDE$651</definedName>
    <definedName name="Constraint_645_LHS" localSheetId="0" hidden="1">monday_model.lp!$EDG$651</definedName>
    <definedName name="Constraint_645_RHS" localSheetId="0" hidden="1">monday_model.lp!$EDI$651</definedName>
    <definedName name="Constraint_645_Sense" localSheetId="0" hidden="1">monday_model.lp!$EDH$651</definedName>
    <definedName name="Constraint_646" localSheetId="0" hidden="1">monday_model.lp!$C$652:$EDE$652</definedName>
    <definedName name="Constraint_646_LHS" localSheetId="0" hidden="1">monday_model.lp!$EDG$652</definedName>
    <definedName name="Constraint_646_RHS" localSheetId="0" hidden="1">monday_model.lp!$EDI$652</definedName>
    <definedName name="Constraint_646_Sense" localSheetId="0" hidden="1">monday_model.lp!$EDH$652</definedName>
    <definedName name="Constraint_647" localSheetId="0" hidden="1">monday_model.lp!$C$653:$EDE$653</definedName>
    <definedName name="Constraint_647_LHS" localSheetId="0" hidden="1">monday_model.lp!$EDG$653</definedName>
    <definedName name="Constraint_647_RHS" localSheetId="0" hidden="1">monday_model.lp!$EDI$653</definedName>
    <definedName name="Constraint_647_Sense" localSheetId="0" hidden="1">monday_model.lp!$EDH$653</definedName>
    <definedName name="Constraint_648" localSheetId="0" hidden="1">monday_model.lp!$C$654:$EDE$654</definedName>
    <definedName name="Constraint_648_LHS" localSheetId="0" hidden="1">monday_model.lp!$EDG$654</definedName>
    <definedName name="Constraint_648_RHS" localSheetId="0" hidden="1">monday_model.lp!$EDI$654</definedName>
    <definedName name="Constraint_648_Sense" localSheetId="0" hidden="1">monday_model.lp!$EDH$654</definedName>
    <definedName name="Constraint_649" localSheetId="0" hidden="1">monday_model.lp!$C$655:$EDE$655</definedName>
    <definedName name="Constraint_649_LHS" localSheetId="0" hidden="1">monday_model.lp!$EDG$655</definedName>
    <definedName name="Constraint_649_RHS" localSheetId="0" hidden="1">monday_model.lp!$EDI$655</definedName>
    <definedName name="Constraint_649_Sense" localSheetId="0" hidden="1">monday_model.lp!$EDH$655</definedName>
    <definedName name="Constraint_65" localSheetId="0" hidden="1">monday_model.lp!$C$71:$EDE$71</definedName>
    <definedName name="Constraint_65_LHS" localSheetId="0" hidden="1">monday_model.lp!$EDG$71</definedName>
    <definedName name="Constraint_65_RHS" localSheetId="0" hidden="1">monday_model.lp!$EDI$71</definedName>
    <definedName name="Constraint_65_Sense" localSheetId="0" hidden="1">monday_model.lp!$EDH$71</definedName>
    <definedName name="Constraint_650" localSheetId="0" hidden="1">monday_model.lp!$C$656:$EDE$656</definedName>
    <definedName name="Constraint_650_LHS" localSheetId="0" hidden="1">monday_model.lp!$EDG$656</definedName>
    <definedName name="Constraint_650_RHS" localSheetId="0" hidden="1">monday_model.lp!$EDI$656</definedName>
    <definedName name="Constraint_650_Sense" localSheetId="0" hidden="1">monday_model.lp!$EDH$656</definedName>
    <definedName name="Constraint_651" localSheetId="0" hidden="1">monday_model.lp!$C$657:$EDE$657</definedName>
    <definedName name="Constraint_651_LHS" localSheetId="0" hidden="1">monday_model.lp!$EDG$657</definedName>
    <definedName name="Constraint_651_RHS" localSheetId="0" hidden="1">monday_model.lp!$EDI$657</definedName>
    <definedName name="Constraint_651_Sense" localSheetId="0" hidden="1">monday_model.lp!$EDH$657</definedName>
    <definedName name="Constraint_652" localSheetId="0" hidden="1">monday_model.lp!$C$658:$EDE$658</definedName>
    <definedName name="Constraint_652_LHS" localSheetId="0" hidden="1">monday_model.lp!$EDG$658</definedName>
    <definedName name="Constraint_652_RHS" localSheetId="0" hidden="1">monday_model.lp!$EDI$658</definedName>
    <definedName name="Constraint_652_Sense" localSheetId="0" hidden="1">monday_model.lp!$EDH$658</definedName>
    <definedName name="Constraint_653" localSheetId="0" hidden="1">monday_model.lp!$C$659:$EDE$659</definedName>
    <definedName name="Constraint_653_LHS" localSheetId="0" hidden="1">monday_model.lp!$EDG$659</definedName>
    <definedName name="Constraint_653_RHS" localSheetId="0" hidden="1">monday_model.lp!$EDI$659</definedName>
    <definedName name="Constraint_653_Sense" localSheetId="0" hidden="1">monday_model.lp!$EDH$659</definedName>
    <definedName name="Constraint_654" localSheetId="0" hidden="1">monday_model.lp!$C$660:$EDE$660</definedName>
    <definedName name="Constraint_654_LHS" localSheetId="0" hidden="1">monday_model.lp!$EDG$660</definedName>
    <definedName name="Constraint_654_RHS" localSheetId="0" hidden="1">monday_model.lp!$EDI$660</definedName>
    <definedName name="Constraint_654_Sense" localSheetId="0" hidden="1">monday_model.lp!$EDH$660</definedName>
    <definedName name="Constraint_655" localSheetId="0" hidden="1">monday_model.lp!$C$661:$EDE$661</definedName>
    <definedName name="Constraint_655_LHS" localSheetId="0" hidden="1">monday_model.lp!$EDG$661</definedName>
    <definedName name="Constraint_655_RHS" localSheetId="0" hidden="1">monday_model.lp!$EDI$661</definedName>
    <definedName name="Constraint_655_Sense" localSheetId="0" hidden="1">monday_model.lp!$EDH$661</definedName>
    <definedName name="Constraint_656" localSheetId="0" hidden="1">monday_model.lp!$C$662:$EDE$662</definedName>
    <definedName name="Constraint_656_LHS" localSheetId="0" hidden="1">monday_model.lp!$EDG$662</definedName>
    <definedName name="Constraint_656_RHS" localSheetId="0" hidden="1">monday_model.lp!$EDI$662</definedName>
    <definedName name="Constraint_656_Sense" localSheetId="0" hidden="1">monday_model.lp!$EDH$662</definedName>
    <definedName name="Constraint_657" localSheetId="0" hidden="1">monday_model.lp!$C$663:$EDE$663</definedName>
    <definedName name="Constraint_657_LHS" localSheetId="0" hidden="1">monday_model.lp!$EDG$663</definedName>
    <definedName name="Constraint_657_RHS" localSheetId="0" hidden="1">monday_model.lp!$EDI$663</definedName>
    <definedName name="Constraint_657_Sense" localSheetId="0" hidden="1">monday_model.lp!$EDH$663</definedName>
    <definedName name="Constraint_658" localSheetId="0" hidden="1">monday_model.lp!$C$664:$EDE$664</definedName>
    <definedName name="Constraint_658_LHS" localSheetId="0" hidden="1">monday_model.lp!$EDG$664</definedName>
    <definedName name="Constraint_658_RHS" localSheetId="0" hidden="1">monday_model.lp!$EDI$664</definedName>
    <definedName name="Constraint_658_Sense" localSheetId="0" hidden="1">monday_model.lp!$EDH$664</definedName>
    <definedName name="Constraint_659" localSheetId="0" hidden="1">monday_model.lp!$C$665:$EDE$665</definedName>
    <definedName name="Constraint_659_LHS" localSheetId="0" hidden="1">monday_model.lp!$EDG$665</definedName>
    <definedName name="Constraint_659_RHS" localSheetId="0" hidden="1">monday_model.lp!$EDI$665</definedName>
    <definedName name="Constraint_659_Sense" localSheetId="0" hidden="1">monday_model.lp!$EDH$665</definedName>
    <definedName name="Constraint_66" localSheetId="0" hidden="1">monday_model.lp!$C$72:$EDE$72</definedName>
    <definedName name="Constraint_66_LHS" localSheetId="0" hidden="1">monday_model.lp!$EDG$72</definedName>
    <definedName name="Constraint_66_RHS" localSheetId="0" hidden="1">monday_model.lp!$EDI$72</definedName>
    <definedName name="Constraint_66_Sense" localSheetId="0" hidden="1">monday_model.lp!$EDH$72</definedName>
    <definedName name="Constraint_660" localSheetId="0" hidden="1">monday_model.lp!$C$666:$EDE$666</definedName>
    <definedName name="Constraint_660_LHS" localSheetId="0" hidden="1">monday_model.lp!$EDG$666</definedName>
    <definedName name="Constraint_660_RHS" localSheetId="0" hidden="1">monday_model.lp!$EDI$666</definedName>
    <definedName name="Constraint_660_Sense" localSheetId="0" hidden="1">monday_model.lp!$EDH$666</definedName>
    <definedName name="Constraint_661" localSheetId="0" hidden="1">monday_model.lp!$C$667:$EDE$667</definedName>
    <definedName name="Constraint_661_LHS" localSheetId="0" hidden="1">monday_model.lp!$EDG$667</definedName>
    <definedName name="Constraint_661_RHS" localSheetId="0" hidden="1">monday_model.lp!$EDI$667</definedName>
    <definedName name="Constraint_661_Sense" localSheetId="0" hidden="1">monday_model.lp!$EDH$667</definedName>
    <definedName name="Constraint_662" localSheetId="0" hidden="1">monday_model.lp!$C$668:$EDE$668</definedName>
    <definedName name="Constraint_662_LHS" localSheetId="0" hidden="1">monday_model.lp!$EDG$668</definedName>
    <definedName name="Constraint_662_RHS" localSheetId="0" hidden="1">monday_model.lp!$EDI$668</definedName>
    <definedName name="Constraint_662_Sense" localSheetId="0" hidden="1">monday_model.lp!$EDH$668</definedName>
    <definedName name="Constraint_663" localSheetId="0" hidden="1">monday_model.lp!$C$669:$EDE$669</definedName>
    <definedName name="Constraint_663_LHS" localSheetId="0" hidden="1">monday_model.lp!$EDG$669</definedName>
    <definedName name="Constraint_663_RHS" localSheetId="0" hidden="1">monday_model.lp!$EDI$669</definedName>
    <definedName name="Constraint_663_Sense" localSheetId="0" hidden="1">monday_model.lp!$EDH$669</definedName>
    <definedName name="Constraint_664" localSheetId="0" hidden="1">monday_model.lp!$C$670:$EDE$670</definedName>
    <definedName name="Constraint_664_LHS" localSheetId="0" hidden="1">monday_model.lp!$EDG$670</definedName>
    <definedName name="Constraint_664_RHS" localSheetId="0" hidden="1">monday_model.lp!$EDI$670</definedName>
    <definedName name="Constraint_664_Sense" localSheetId="0" hidden="1">monday_model.lp!$EDH$670</definedName>
    <definedName name="Constraint_665" localSheetId="0" hidden="1">monday_model.lp!$C$671:$EDE$671</definedName>
    <definedName name="Constraint_665_LHS" localSheetId="0" hidden="1">monday_model.lp!$EDG$671</definedName>
    <definedName name="Constraint_665_RHS" localSheetId="0" hidden="1">monday_model.lp!$EDI$671</definedName>
    <definedName name="Constraint_665_Sense" localSheetId="0" hidden="1">monday_model.lp!$EDH$671</definedName>
    <definedName name="Constraint_666" localSheetId="0" hidden="1">monday_model.lp!$C$672:$EDE$672</definedName>
    <definedName name="Constraint_666_LHS" localSheetId="0" hidden="1">monday_model.lp!$EDG$672</definedName>
    <definedName name="Constraint_666_RHS" localSheetId="0" hidden="1">monday_model.lp!$EDI$672</definedName>
    <definedName name="Constraint_666_Sense" localSheetId="0" hidden="1">monday_model.lp!$EDH$672</definedName>
    <definedName name="Constraint_667" localSheetId="0" hidden="1">monday_model.lp!$C$673:$EDE$673</definedName>
    <definedName name="Constraint_667_LHS" localSheetId="0" hidden="1">monday_model.lp!$EDG$673</definedName>
    <definedName name="Constraint_667_RHS" localSheetId="0" hidden="1">monday_model.lp!$EDI$673</definedName>
    <definedName name="Constraint_667_Sense" localSheetId="0" hidden="1">monday_model.lp!$EDH$673</definedName>
    <definedName name="Constraint_668" localSheetId="0" hidden="1">monday_model.lp!$C$674:$EDE$674</definedName>
    <definedName name="Constraint_668_LHS" localSheetId="0" hidden="1">monday_model.lp!$EDG$674</definedName>
    <definedName name="Constraint_668_RHS" localSheetId="0" hidden="1">monday_model.lp!$EDI$674</definedName>
    <definedName name="Constraint_668_Sense" localSheetId="0" hidden="1">monday_model.lp!$EDH$674</definedName>
    <definedName name="Constraint_669" localSheetId="0" hidden="1">monday_model.lp!$C$675:$EDE$675</definedName>
    <definedName name="Constraint_669_LHS" localSheetId="0" hidden="1">monday_model.lp!$EDG$675</definedName>
    <definedName name="Constraint_669_RHS" localSheetId="0" hidden="1">monday_model.lp!$EDI$675</definedName>
    <definedName name="Constraint_669_Sense" localSheetId="0" hidden="1">monday_model.lp!$EDH$675</definedName>
    <definedName name="Constraint_67" localSheetId="0" hidden="1">monday_model.lp!$C$73:$EDE$73</definedName>
    <definedName name="Constraint_67_LHS" localSheetId="0" hidden="1">monday_model.lp!$EDG$73</definedName>
    <definedName name="Constraint_67_RHS" localSheetId="0" hidden="1">monday_model.lp!$EDI$73</definedName>
    <definedName name="Constraint_67_Sense" localSheetId="0" hidden="1">monday_model.lp!$EDH$73</definedName>
    <definedName name="Constraint_670" localSheetId="0" hidden="1">monday_model.lp!$C$676:$EDE$676</definedName>
    <definedName name="Constraint_670_LHS" localSheetId="0" hidden="1">monday_model.lp!$EDG$676</definedName>
    <definedName name="Constraint_670_RHS" localSheetId="0" hidden="1">monday_model.lp!$EDI$676</definedName>
    <definedName name="Constraint_670_Sense" localSheetId="0" hidden="1">monday_model.lp!$EDH$676</definedName>
    <definedName name="Constraint_671" localSheetId="0" hidden="1">monday_model.lp!$C$677:$EDE$677</definedName>
    <definedName name="Constraint_671_LHS" localSheetId="0" hidden="1">monday_model.lp!$EDG$677</definedName>
    <definedName name="Constraint_671_RHS" localSheetId="0" hidden="1">monday_model.lp!$EDI$677</definedName>
    <definedName name="Constraint_671_Sense" localSheetId="0" hidden="1">monday_model.lp!$EDH$677</definedName>
    <definedName name="Constraint_672" localSheetId="0" hidden="1">monday_model.lp!$C$678:$EDE$678</definedName>
    <definedName name="Constraint_672_LHS" localSheetId="0" hidden="1">monday_model.lp!$EDG$678</definedName>
    <definedName name="Constraint_672_RHS" localSheetId="0" hidden="1">monday_model.lp!$EDI$678</definedName>
    <definedName name="Constraint_672_Sense" localSheetId="0" hidden="1">monday_model.lp!$EDH$678</definedName>
    <definedName name="Constraint_673" localSheetId="0" hidden="1">monday_model.lp!$C$679:$EDE$679</definedName>
    <definedName name="Constraint_673_LHS" localSheetId="0" hidden="1">monday_model.lp!$EDG$679</definedName>
    <definedName name="Constraint_673_RHS" localSheetId="0" hidden="1">monday_model.lp!$EDI$679</definedName>
    <definedName name="Constraint_673_Sense" localSheetId="0" hidden="1">monday_model.lp!$EDH$679</definedName>
    <definedName name="Constraint_674" localSheetId="0" hidden="1">monday_model.lp!$C$680:$EDE$680</definedName>
    <definedName name="Constraint_674_LHS" localSheetId="0" hidden="1">monday_model.lp!$EDG$680</definedName>
    <definedName name="Constraint_674_RHS" localSheetId="0" hidden="1">monday_model.lp!$EDI$680</definedName>
    <definedName name="Constraint_674_Sense" localSheetId="0" hidden="1">monday_model.lp!$EDH$680</definedName>
    <definedName name="Constraint_675" localSheetId="0" hidden="1">monday_model.lp!$C$681:$EDE$681</definedName>
    <definedName name="Constraint_675_LHS" localSheetId="0" hidden="1">monday_model.lp!$EDG$681</definedName>
    <definedName name="Constraint_675_RHS" localSheetId="0" hidden="1">monday_model.lp!$EDI$681</definedName>
    <definedName name="Constraint_675_Sense" localSheetId="0" hidden="1">monday_model.lp!$EDH$681</definedName>
    <definedName name="Constraint_676" localSheetId="0" hidden="1">monday_model.lp!$C$682:$EDE$682</definedName>
    <definedName name="Constraint_676_LHS" localSheetId="0" hidden="1">monday_model.lp!$EDG$682</definedName>
    <definedName name="Constraint_676_RHS" localSheetId="0" hidden="1">monday_model.lp!$EDI$682</definedName>
    <definedName name="Constraint_676_Sense" localSheetId="0" hidden="1">monday_model.lp!$EDH$682</definedName>
    <definedName name="Constraint_677" localSheetId="0" hidden="1">monday_model.lp!$C$683:$EDE$683</definedName>
    <definedName name="Constraint_677_LHS" localSheetId="0" hidden="1">monday_model.lp!$EDG$683</definedName>
    <definedName name="Constraint_677_RHS" localSheetId="0" hidden="1">monday_model.lp!$EDI$683</definedName>
    <definedName name="Constraint_677_Sense" localSheetId="0" hidden="1">monday_model.lp!$EDH$683</definedName>
    <definedName name="Constraint_678" localSheetId="0" hidden="1">monday_model.lp!$C$684:$EDE$684</definedName>
    <definedName name="Constraint_678_LHS" localSheetId="0" hidden="1">monday_model.lp!$EDG$684</definedName>
    <definedName name="Constraint_678_RHS" localSheetId="0" hidden="1">monday_model.lp!$EDI$684</definedName>
    <definedName name="Constraint_678_Sense" localSheetId="0" hidden="1">monday_model.lp!$EDH$684</definedName>
    <definedName name="Constraint_679" localSheetId="0" hidden="1">monday_model.lp!$C$685:$EDE$685</definedName>
    <definedName name="Constraint_679_LHS" localSheetId="0" hidden="1">monday_model.lp!$EDG$685</definedName>
    <definedName name="Constraint_679_RHS" localSheetId="0" hidden="1">monday_model.lp!$EDI$685</definedName>
    <definedName name="Constraint_679_Sense" localSheetId="0" hidden="1">monday_model.lp!$EDH$685</definedName>
    <definedName name="Constraint_68" localSheetId="0" hidden="1">monday_model.lp!$C$74:$EDE$74</definedName>
    <definedName name="Constraint_68_LHS" localSheetId="0" hidden="1">monday_model.lp!$EDG$74</definedName>
    <definedName name="Constraint_68_RHS" localSheetId="0" hidden="1">monday_model.lp!$EDI$74</definedName>
    <definedName name="Constraint_68_Sense" localSheetId="0" hidden="1">monday_model.lp!$EDH$74</definedName>
    <definedName name="Constraint_680" localSheetId="0" hidden="1">monday_model.lp!$C$686:$EDE$686</definedName>
    <definedName name="Constraint_680_LHS" localSheetId="0" hidden="1">monday_model.lp!$EDG$686</definedName>
    <definedName name="Constraint_680_RHS" localSheetId="0" hidden="1">monday_model.lp!$EDI$686</definedName>
    <definedName name="Constraint_680_Sense" localSheetId="0" hidden="1">monday_model.lp!$EDH$686</definedName>
    <definedName name="Constraint_681" localSheetId="0" hidden="1">monday_model.lp!$C$687:$EDE$687</definedName>
    <definedName name="Constraint_681_LHS" localSheetId="0" hidden="1">monday_model.lp!$EDG$687</definedName>
    <definedName name="Constraint_681_RHS" localSheetId="0" hidden="1">monday_model.lp!$EDI$687</definedName>
    <definedName name="Constraint_681_Sense" localSheetId="0" hidden="1">monday_model.lp!$EDH$687</definedName>
    <definedName name="Constraint_682" localSheetId="0" hidden="1">monday_model.lp!$C$688:$EDE$688</definedName>
    <definedName name="Constraint_682_LHS" localSheetId="0" hidden="1">monday_model.lp!$EDG$688</definedName>
    <definedName name="Constraint_682_RHS" localSheetId="0" hidden="1">monday_model.lp!$EDI$688</definedName>
    <definedName name="Constraint_682_Sense" localSheetId="0" hidden="1">monday_model.lp!$EDH$688</definedName>
    <definedName name="Constraint_683" localSheetId="0" hidden="1">monday_model.lp!$C$689:$EDE$689</definedName>
    <definedName name="Constraint_683_LHS" localSheetId="0" hidden="1">monday_model.lp!$EDG$689</definedName>
    <definedName name="Constraint_683_RHS" localSheetId="0" hidden="1">monday_model.lp!$EDI$689</definedName>
    <definedName name="Constraint_683_Sense" localSheetId="0" hidden="1">monday_model.lp!$EDH$689</definedName>
    <definedName name="Constraint_684" localSheetId="0" hidden="1">monday_model.lp!$C$690:$EDE$690</definedName>
    <definedName name="Constraint_684_LHS" localSheetId="0" hidden="1">monday_model.lp!$EDG$690</definedName>
    <definedName name="Constraint_684_RHS" localSheetId="0" hidden="1">monday_model.lp!$EDI$690</definedName>
    <definedName name="Constraint_684_Sense" localSheetId="0" hidden="1">monday_model.lp!$EDH$690</definedName>
    <definedName name="Constraint_685" localSheetId="0" hidden="1">monday_model.lp!$C$691:$EDE$691</definedName>
    <definedName name="Constraint_685_LHS" localSheetId="0" hidden="1">monday_model.lp!$EDG$691</definedName>
    <definedName name="Constraint_685_RHS" localSheetId="0" hidden="1">monday_model.lp!$EDI$691</definedName>
    <definedName name="Constraint_685_Sense" localSheetId="0" hidden="1">monday_model.lp!$EDH$691</definedName>
    <definedName name="Constraint_686" localSheetId="0" hidden="1">monday_model.lp!$C$692:$EDE$692</definedName>
    <definedName name="Constraint_686_LHS" localSheetId="0" hidden="1">monday_model.lp!$EDG$692</definedName>
    <definedName name="Constraint_686_RHS" localSheetId="0" hidden="1">monday_model.lp!$EDI$692</definedName>
    <definedName name="Constraint_686_Sense" localSheetId="0" hidden="1">monday_model.lp!$EDH$692</definedName>
    <definedName name="Constraint_687" localSheetId="0" hidden="1">monday_model.lp!$C$693:$EDE$693</definedName>
    <definedName name="Constraint_687_LHS" localSheetId="0" hidden="1">monday_model.lp!$EDG$693</definedName>
    <definedName name="Constraint_687_RHS" localSheetId="0" hidden="1">monday_model.lp!$EDI$693</definedName>
    <definedName name="Constraint_687_Sense" localSheetId="0" hidden="1">monday_model.lp!$EDH$693</definedName>
    <definedName name="Constraint_688" localSheetId="0" hidden="1">monday_model.lp!$C$694:$EDE$694</definedName>
    <definedName name="Constraint_688_LHS" localSheetId="0" hidden="1">monday_model.lp!$EDG$694</definedName>
    <definedName name="Constraint_688_RHS" localSheetId="0" hidden="1">monday_model.lp!$EDI$694</definedName>
    <definedName name="Constraint_688_Sense" localSheetId="0" hidden="1">monday_model.lp!$EDH$694</definedName>
    <definedName name="Constraint_689" localSheetId="0" hidden="1">monday_model.lp!$C$695:$EDE$695</definedName>
    <definedName name="Constraint_689_LHS" localSheetId="0" hidden="1">monday_model.lp!$EDG$695</definedName>
    <definedName name="Constraint_689_RHS" localSheetId="0" hidden="1">monday_model.lp!$EDI$695</definedName>
    <definedName name="Constraint_689_Sense" localSheetId="0" hidden="1">monday_model.lp!$EDH$695</definedName>
    <definedName name="Constraint_69" localSheetId="0" hidden="1">monday_model.lp!$C$75:$EDE$75</definedName>
    <definedName name="Constraint_69_LHS" localSheetId="0" hidden="1">monday_model.lp!$EDG$75</definedName>
    <definedName name="Constraint_69_RHS" localSheetId="0" hidden="1">monday_model.lp!$EDI$75</definedName>
    <definedName name="Constraint_69_Sense" localSheetId="0" hidden="1">monday_model.lp!$EDH$75</definedName>
    <definedName name="Constraint_690" localSheetId="0" hidden="1">monday_model.lp!$C$696:$EDE$696</definedName>
    <definedName name="Constraint_690_LHS" localSheetId="0" hidden="1">monday_model.lp!$EDG$696</definedName>
    <definedName name="Constraint_690_RHS" localSheetId="0" hidden="1">monday_model.lp!$EDI$696</definedName>
    <definedName name="Constraint_690_Sense" localSheetId="0" hidden="1">monday_model.lp!$EDH$696</definedName>
    <definedName name="Constraint_691" localSheetId="0" hidden="1">monday_model.lp!$C$697:$EDE$697</definedName>
    <definedName name="Constraint_691_LHS" localSheetId="0" hidden="1">monday_model.lp!$EDG$697</definedName>
    <definedName name="Constraint_691_RHS" localSheetId="0" hidden="1">monday_model.lp!$EDI$697</definedName>
    <definedName name="Constraint_691_Sense" localSheetId="0" hidden="1">monday_model.lp!$EDH$697</definedName>
    <definedName name="Constraint_692" localSheetId="0" hidden="1">monday_model.lp!$C$698:$EDE$698</definedName>
    <definedName name="Constraint_692_LHS" localSheetId="0" hidden="1">monday_model.lp!$EDG$698</definedName>
    <definedName name="Constraint_692_RHS" localSheetId="0" hidden="1">monday_model.lp!$EDI$698</definedName>
    <definedName name="Constraint_692_Sense" localSheetId="0" hidden="1">monday_model.lp!$EDH$698</definedName>
    <definedName name="Constraint_693" localSheetId="0" hidden="1">monday_model.lp!$C$699:$EDE$699</definedName>
    <definedName name="Constraint_693_LHS" localSheetId="0" hidden="1">monday_model.lp!$EDG$699</definedName>
    <definedName name="Constraint_693_RHS" localSheetId="0" hidden="1">monday_model.lp!$EDI$699</definedName>
    <definedName name="Constraint_693_Sense" localSheetId="0" hidden="1">monday_model.lp!$EDH$699</definedName>
    <definedName name="Constraint_694" localSheetId="0" hidden="1">monday_model.lp!$C$700:$EDE$700</definedName>
    <definedName name="Constraint_694_LHS" localSheetId="0" hidden="1">monday_model.lp!$EDG$700</definedName>
    <definedName name="Constraint_694_RHS" localSheetId="0" hidden="1">monday_model.lp!$EDI$700</definedName>
    <definedName name="Constraint_694_Sense" localSheetId="0" hidden="1">monday_model.lp!$EDH$700</definedName>
    <definedName name="Constraint_695" localSheetId="0" hidden="1">monday_model.lp!$C$701:$EDE$701</definedName>
    <definedName name="Constraint_695_LHS" localSheetId="0" hidden="1">monday_model.lp!$EDG$701</definedName>
    <definedName name="Constraint_695_RHS" localSheetId="0" hidden="1">monday_model.lp!$EDI$701</definedName>
    <definedName name="Constraint_695_Sense" localSheetId="0" hidden="1">monday_model.lp!$EDH$701</definedName>
    <definedName name="Constraint_696" localSheetId="0" hidden="1">monday_model.lp!$C$702:$EDE$702</definedName>
    <definedName name="Constraint_696_LHS" localSheetId="0" hidden="1">monday_model.lp!$EDG$702</definedName>
    <definedName name="Constraint_696_RHS" localSheetId="0" hidden="1">monday_model.lp!$EDI$702</definedName>
    <definedName name="Constraint_696_Sense" localSheetId="0" hidden="1">monday_model.lp!$EDH$702</definedName>
    <definedName name="Constraint_697" localSheetId="0" hidden="1">monday_model.lp!$C$703:$EDE$703</definedName>
    <definedName name="Constraint_697_LHS" localSheetId="0" hidden="1">monday_model.lp!$EDG$703</definedName>
    <definedName name="Constraint_697_RHS" localSheetId="0" hidden="1">monday_model.lp!$EDI$703</definedName>
    <definedName name="Constraint_697_Sense" localSheetId="0" hidden="1">monday_model.lp!$EDH$703</definedName>
    <definedName name="Constraint_698" localSheetId="0" hidden="1">monday_model.lp!$C$704:$EDE$704</definedName>
    <definedName name="Constraint_698_LHS" localSheetId="0" hidden="1">monday_model.lp!$EDG$704</definedName>
    <definedName name="Constraint_698_RHS" localSheetId="0" hidden="1">monday_model.lp!$EDI$704</definedName>
    <definedName name="Constraint_698_Sense" localSheetId="0" hidden="1">monday_model.lp!$EDH$704</definedName>
    <definedName name="Constraint_699" localSheetId="0" hidden="1">monday_model.lp!$C$705:$EDE$705</definedName>
    <definedName name="Constraint_699_LHS" localSheetId="0" hidden="1">monday_model.lp!$EDG$705</definedName>
    <definedName name="Constraint_699_RHS" localSheetId="0" hidden="1">monday_model.lp!$EDI$705</definedName>
    <definedName name="Constraint_699_Sense" localSheetId="0" hidden="1">monday_model.lp!$EDH$705</definedName>
    <definedName name="Constraint_7" localSheetId="0" hidden="1">monday_model.lp!$C$13:$EDE$13</definedName>
    <definedName name="Constraint_7_LHS" localSheetId="0" hidden="1">monday_model.lp!$EDG$13</definedName>
    <definedName name="Constraint_7_RHS" localSheetId="0" hidden="1">monday_model.lp!$EDI$13</definedName>
    <definedName name="Constraint_7_Sense" localSheetId="0" hidden="1">monday_model.lp!$EDH$13</definedName>
    <definedName name="Constraint_70" localSheetId="0" hidden="1">monday_model.lp!$C$76:$EDE$76</definedName>
    <definedName name="Constraint_70_LHS" localSheetId="0" hidden="1">monday_model.lp!$EDG$76</definedName>
    <definedName name="Constraint_70_RHS" localSheetId="0" hidden="1">monday_model.lp!$EDI$76</definedName>
    <definedName name="Constraint_70_Sense" localSheetId="0" hidden="1">monday_model.lp!$EDH$76</definedName>
    <definedName name="Constraint_700" localSheetId="0" hidden="1">monday_model.lp!$C$706:$EDE$706</definedName>
    <definedName name="Constraint_700_LHS" localSheetId="0" hidden="1">monday_model.lp!$EDG$706</definedName>
    <definedName name="Constraint_700_RHS" localSheetId="0" hidden="1">monday_model.lp!$EDI$706</definedName>
    <definedName name="Constraint_700_Sense" localSheetId="0" hidden="1">monday_model.lp!$EDH$706</definedName>
    <definedName name="Constraint_701" localSheetId="0" hidden="1">monday_model.lp!$C$707:$EDE$707</definedName>
    <definedName name="Constraint_701_LHS" localSheetId="0" hidden="1">monday_model.lp!$EDG$707</definedName>
    <definedName name="Constraint_701_RHS" localSheetId="0" hidden="1">monday_model.lp!$EDI$707</definedName>
    <definedName name="Constraint_701_Sense" localSheetId="0" hidden="1">monday_model.lp!$EDH$707</definedName>
    <definedName name="Constraint_702" localSheetId="0" hidden="1">monday_model.lp!$C$708:$EDE$708</definedName>
    <definedName name="Constraint_702_LHS" localSheetId="0" hidden="1">monday_model.lp!$EDG$708</definedName>
    <definedName name="Constraint_702_RHS" localSheetId="0" hidden="1">monday_model.lp!$EDI$708</definedName>
    <definedName name="Constraint_702_Sense" localSheetId="0" hidden="1">monday_model.lp!$EDH$708</definedName>
    <definedName name="Constraint_703" localSheetId="0" hidden="1">monday_model.lp!$C$709:$EDE$709</definedName>
    <definedName name="Constraint_703_LHS" localSheetId="0" hidden="1">monday_model.lp!$EDG$709</definedName>
    <definedName name="Constraint_703_RHS" localSheetId="0" hidden="1">monday_model.lp!$EDI$709</definedName>
    <definedName name="Constraint_703_Sense" localSheetId="0" hidden="1">monday_model.lp!$EDH$709</definedName>
    <definedName name="Constraint_704" localSheetId="0" hidden="1">monday_model.lp!$C$710:$EDE$710</definedName>
    <definedName name="Constraint_704_LHS" localSheetId="0" hidden="1">monday_model.lp!$EDG$710</definedName>
    <definedName name="Constraint_704_RHS" localSheetId="0" hidden="1">monday_model.lp!$EDI$710</definedName>
    <definedName name="Constraint_704_Sense" localSheetId="0" hidden="1">monday_model.lp!$EDH$710</definedName>
    <definedName name="Constraint_705" localSheetId="0" hidden="1">monday_model.lp!$C$711:$EDE$711</definedName>
    <definedName name="Constraint_705_LHS" localSheetId="0" hidden="1">monday_model.lp!$EDG$711</definedName>
    <definedName name="Constraint_705_RHS" localSheetId="0" hidden="1">monday_model.lp!$EDI$711</definedName>
    <definedName name="Constraint_705_Sense" localSheetId="0" hidden="1">monday_model.lp!$EDH$711</definedName>
    <definedName name="Constraint_706" localSheetId="0" hidden="1">monday_model.lp!$C$712:$EDE$712</definedName>
    <definedName name="Constraint_706_LHS" localSheetId="0" hidden="1">monday_model.lp!$EDG$712</definedName>
    <definedName name="Constraint_706_RHS" localSheetId="0" hidden="1">monday_model.lp!$EDI$712</definedName>
    <definedName name="Constraint_706_Sense" localSheetId="0" hidden="1">monday_model.lp!$EDH$712</definedName>
    <definedName name="Constraint_707" localSheetId="0" hidden="1">monday_model.lp!$C$713:$EDE$713</definedName>
    <definedName name="Constraint_707_LHS" localSheetId="0" hidden="1">monday_model.lp!$EDG$713</definedName>
    <definedName name="Constraint_707_RHS" localSheetId="0" hidden="1">monday_model.lp!$EDI$713</definedName>
    <definedName name="Constraint_707_Sense" localSheetId="0" hidden="1">monday_model.lp!$EDH$713</definedName>
    <definedName name="Constraint_708" localSheetId="0" hidden="1">monday_model.lp!$C$714:$EDE$714</definedName>
    <definedName name="Constraint_708_LHS" localSheetId="0" hidden="1">monday_model.lp!$EDG$714</definedName>
    <definedName name="Constraint_708_RHS" localSheetId="0" hidden="1">monday_model.lp!$EDI$714</definedName>
    <definedName name="Constraint_708_Sense" localSheetId="0" hidden="1">monday_model.lp!$EDH$714</definedName>
    <definedName name="Constraint_709" localSheetId="0" hidden="1">monday_model.lp!$C$715:$EDE$715</definedName>
    <definedName name="Constraint_709_LHS" localSheetId="0" hidden="1">monday_model.lp!$EDG$715</definedName>
    <definedName name="Constraint_709_RHS" localSheetId="0" hidden="1">monday_model.lp!$EDI$715</definedName>
    <definedName name="Constraint_709_Sense" localSheetId="0" hidden="1">monday_model.lp!$EDH$715</definedName>
    <definedName name="Constraint_71" localSheetId="0" hidden="1">monday_model.lp!$C$77:$EDE$77</definedName>
    <definedName name="Constraint_71_LHS" localSheetId="0" hidden="1">monday_model.lp!$EDG$77</definedName>
    <definedName name="Constraint_71_RHS" localSheetId="0" hidden="1">monday_model.lp!$EDI$77</definedName>
    <definedName name="Constraint_71_Sense" localSheetId="0" hidden="1">monday_model.lp!$EDH$77</definedName>
    <definedName name="Constraint_710" localSheetId="0" hidden="1">monday_model.lp!$C$716:$EDE$716</definedName>
    <definedName name="Constraint_710_LHS" localSheetId="0" hidden="1">monday_model.lp!$EDG$716</definedName>
    <definedName name="Constraint_710_RHS" localSheetId="0" hidden="1">monday_model.lp!$EDI$716</definedName>
    <definedName name="Constraint_710_Sense" localSheetId="0" hidden="1">monday_model.lp!$EDH$716</definedName>
    <definedName name="Constraint_711" localSheetId="0" hidden="1">monday_model.lp!$C$717:$EDE$717</definedName>
    <definedName name="Constraint_711_LHS" localSheetId="0" hidden="1">monday_model.lp!$EDG$717</definedName>
    <definedName name="Constraint_711_RHS" localSheetId="0" hidden="1">monday_model.lp!$EDI$717</definedName>
    <definedName name="Constraint_711_Sense" localSheetId="0" hidden="1">monday_model.lp!$EDH$717</definedName>
    <definedName name="Constraint_712" localSheetId="0" hidden="1">monday_model.lp!$C$718:$EDE$718</definedName>
    <definedName name="Constraint_712_LHS" localSheetId="0" hidden="1">monday_model.lp!$EDG$718</definedName>
    <definedName name="Constraint_712_RHS" localSheetId="0" hidden="1">monday_model.lp!$EDI$718</definedName>
    <definedName name="Constraint_712_Sense" localSheetId="0" hidden="1">monday_model.lp!$EDH$718</definedName>
    <definedName name="Constraint_713" localSheetId="0" hidden="1">monday_model.lp!$C$719:$EDE$719</definedName>
    <definedName name="Constraint_713_LHS" localSheetId="0" hidden="1">monday_model.lp!$EDG$719</definedName>
    <definedName name="Constraint_713_RHS" localSheetId="0" hidden="1">monday_model.lp!$EDI$719</definedName>
    <definedName name="Constraint_713_Sense" localSheetId="0" hidden="1">monday_model.lp!$EDH$719</definedName>
    <definedName name="Constraint_714" localSheetId="0" hidden="1">monday_model.lp!$C$720:$EDE$720</definedName>
    <definedName name="Constraint_714_LHS" localSheetId="0" hidden="1">monday_model.lp!$EDG$720</definedName>
    <definedName name="Constraint_714_RHS" localSheetId="0" hidden="1">monday_model.lp!$EDI$720</definedName>
    <definedName name="Constraint_714_Sense" localSheetId="0" hidden="1">monday_model.lp!$EDH$720</definedName>
    <definedName name="Constraint_715" localSheetId="0" hidden="1">monday_model.lp!$C$721:$EDE$721</definedName>
    <definedName name="Constraint_715_LHS" localSheetId="0" hidden="1">monday_model.lp!$EDG$721</definedName>
    <definedName name="Constraint_715_RHS" localSheetId="0" hidden="1">monday_model.lp!$EDI$721</definedName>
    <definedName name="Constraint_715_Sense" localSheetId="0" hidden="1">monday_model.lp!$EDH$721</definedName>
    <definedName name="Constraint_716" localSheetId="0" hidden="1">monday_model.lp!$C$722:$EDE$722</definedName>
    <definedName name="Constraint_716_LHS" localSheetId="0" hidden="1">monday_model.lp!$EDG$722</definedName>
    <definedName name="Constraint_716_RHS" localSheetId="0" hidden="1">monday_model.lp!$EDI$722</definedName>
    <definedName name="Constraint_716_Sense" localSheetId="0" hidden="1">monday_model.lp!$EDH$722</definedName>
    <definedName name="Constraint_717" localSheetId="0" hidden="1">monday_model.lp!$C$723:$EDE$723</definedName>
    <definedName name="Constraint_717_LHS" localSheetId="0" hidden="1">monday_model.lp!$EDG$723</definedName>
    <definedName name="Constraint_717_RHS" localSheetId="0" hidden="1">monday_model.lp!$EDI$723</definedName>
    <definedName name="Constraint_717_Sense" localSheetId="0" hidden="1">monday_model.lp!$EDH$723</definedName>
    <definedName name="Constraint_718" localSheetId="0" hidden="1">monday_model.lp!$C$724:$EDE$724</definedName>
    <definedName name="Constraint_718_LHS" localSheetId="0" hidden="1">monday_model.lp!$EDG$724</definedName>
    <definedName name="Constraint_718_RHS" localSheetId="0" hidden="1">monday_model.lp!$EDI$724</definedName>
    <definedName name="Constraint_718_Sense" localSheetId="0" hidden="1">monday_model.lp!$EDH$724</definedName>
    <definedName name="Constraint_719" localSheetId="0" hidden="1">monday_model.lp!$C$725:$EDE$725</definedName>
    <definedName name="Constraint_719_LHS" localSheetId="0" hidden="1">monday_model.lp!$EDG$725</definedName>
    <definedName name="Constraint_719_RHS" localSheetId="0" hidden="1">monday_model.lp!$EDI$725</definedName>
    <definedName name="Constraint_719_Sense" localSheetId="0" hidden="1">monday_model.lp!$EDH$725</definedName>
    <definedName name="Constraint_72" localSheetId="0" hidden="1">monday_model.lp!$C$78:$EDE$78</definedName>
    <definedName name="Constraint_72_LHS" localSheetId="0" hidden="1">monday_model.lp!$EDG$78</definedName>
    <definedName name="Constraint_72_RHS" localSheetId="0" hidden="1">monday_model.lp!$EDI$78</definedName>
    <definedName name="Constraint_72_Sense" localSheetId="0" hidden="1">monday_model.lp!$EDH$78</definedName>
    <definedName name="Constraint_720" localSheetId="0" hidden="1">monday_model.lp!$C$726:$EDE$726</definedName>
    <definedName name="Constraint_720_LHS" localSheetId="0" hidden="1">monday_model.lp!$EDG$726</definedName>
    <definedName name="Constraint_720_RHS" localSheetId="0" hidden="1">monday_model.lp!$EDI$726</definedName>
    <definedName name="Constraint_720_Sense" localSheetId="0" hidden="1">monday_model.lp!$EDH$726</definedName>
    <definedName name="Constraint_721" localSheetId="0" hidden="1">monday_model.lp!$C$727:$EDE$727</definedName>
    <definedName name="Constraint_721_LHS" localSheetId="0" hidden="1">monday_model.lp!$EDG$727</definedName>
    <definedName name="Constraint_721_RHS" localSheetId="0" hidden="1">monday_model.lp!$EDI$727</definedName>
    <definedName name="Constraint_721_Sense" localSheetId="0" hidden="1">monday_model.lp!$EDH$727</definedName>
    <definedName name="Constraint_722" localSheetId="0" hidden="1">monday_model.lp!$C$728:$EDE$728</definedName>
    <definedName name="Constraint_722_LHS" localSheetId="0" hidden="1">monday_model.lp!$EDG$728</definedName>
    <definedName name="Constraint_722_RHS" localSheetId="0" hidden="1">monday_model.lp!$EDI$728</definedName>
    <definedName name="Constraint_722_Sense" localSheetId="0" hidden="1">monday_model.lp!$EDH$728</definedName>
    <definedName name="Constraint_723" localSheetId="0" hidden="1">monday_model.lp!$C$729:$EDE$729</definedName>
    <definedName name="Constraint_723_LHS" localSheetId="0" hidden="1">monday_model.lp!$EDG$729</definedName>
    <definedName name="Constraint_723_RHS" localSheetId="0" hidden="1">monday_model.lp!$EDI$729</definedName>
    <definedName name="Constraint_723_Sense" localSheetId="0" hidden="1">monday_model.lp!$EDH$729</definedName>
    <definedName name="Constraint_724" localSheetId="0" hidden="1">monday_model.lp!$C$730:$EDE$730</definedName>
    <definedName name="Constraint_724_LHS" localSheetId="0" hidden="1">monday_model.lp!$EDG$730</definedName>
    <definedName name="Constraint_724_RHS" localSheetId="0" hidden="1">monday_model.lp!$EDI$730</definedName>
    <definedName name="Constraint_724_Sense" localSheetId="0" hidden="1">monday_model.lp!$EDH$730</definedName>
    <definedName name="Constraint_725" localSheetId="0" hidden="1">monday_model.lp!$C$731:$EDE$731</definedName>
    <definedName name="Constraint_725_LHS" localSheetId="0" hidden="1">monday_model.lp!$EDG$731</definedName>
    <definedName name="Constraint_725_RHS" localSheetId="0" hidden="1">monday_model.lp!$EDI$731</definedName>
    <definedName name="Constraint_725_Sense" localSheetId="0" hidden="1">monday_model.lp!$EDH$731</definedName>
    <definedName name="Constraint_726" localSheetId="0" hidden="1">monday_model.lp!$C$732:$EDE$732</definedName>
    <definedName name="Constraint_726_LHS" localSheetId="0" hidden="1">monday_model.lp!$EDG$732</definedName>
    <definedName name="Constraint_726_RHS" localSheetId="0" hidden="1">monday_model.lp!$EDI$732</definedName>
    <definedName name="Constraint_726_Sense" localSheetId="0" hidden="1">monday_model.lp!$EDH$732</definedName>
    <definedName name="Constraint_727" localSheetId="0" hidden="1">monday_model.lp!$C$733:$EDE$733</definedName>
    <definedName name="Constraint_727_LHS" localSheetId="0" hidden="1">monday_model.lp!$EDG$733</definedName>
    <definedName name="Constraint_727_RHS" localSheetId="0" hidden="1">monday_model.lp!$EDI$733</definedName>
    <definedName name="Constraint_727_Sense" localSheetId="0" hidden="1">monday_model.lp!$EDH$733</definedName>
    <definedName name="Constraint_728" localSheetId="0" hidden="1">monday_model.lp!$C$734:$EDE$734</definedName>
    <definedName name="Constraint_728_LHS" localSheetId="0" hidden="1">monday_model.lp!$EDG$734</definedName>
    <definedName name="Constraint_728_RHS" localSheetId="0" hidden="1">monday_model.lp!$EDI$734</definedName>
    <definedName name="Constraint_728_Sense" localSheetId="0" hidden="1">monday_model.lp!$EDH$734</definedName>
    <definedName name="Constraint_729" localSheetId="0" hidden="1">monday_model.lp!$C$735:$EDE$735</definedName>
    <definedName name="Constraint_729_LHS" localSheetId="0" hidden="1">monday_model.lp!$EDG$735</definedName>
    <definedName name="Constraint_729_RHS" localSheetId="0" hidden="1">monday_model.lp!$EDI$735</definedName>
    <definedName name="Constraint_729_Sense" localSheetId="0" hidden="1">monday_model.lp!$EDH$735</definedName>
    <definedName name="Constraint_73" localSheetId="0" hidden="1">monday_model.lp!$C$79:$EDE$79</definedName>
    <definedName name="Constraint_73_LHS" localSheetId="0" hidden="1">monday_model.lp!$EDG$79</definedName>
    <definedName name="Constraint_73_RHS" localSheetId="0" hidden="1">monday_model.lp!$EDI$79</definedName>
    <definedName name="Constraint_73_Sense" localSheetId="0" hidden="1">monday_model.lp!$EDH$79</definedName>
    <definedName name="Constraint_730" localSheetId="0" hidden="1">monday_model.lp!$C$736:$EDE$736</definedName>
    <definedName name="Constraint_730_LHS" localSheetId="0" hidden="1">monday_model.lp!$EDG$736</definedName>
    <definedName name="Constraint_730_RHS" localSheetId="0" hidden="1">monday_model.lp!$EDI$736</definedName>
    <definedName name="Constraint_730_Sense" localSheetId="0" hidden="1">monday_model.lp!$EDH$736</definedName>
    <definedName name="Constraint_731" localSheetId="0" hidden="1">monday_model.lp!$C$737:$EDE$737</definedName>
    <definedName name="Constraint_731_LHS" localSheetId="0" hidden="1">monday_model.lp!$EDG$737</definedName>
    <definedName name="Constraint_731_RHS" localSheetId="0" hidden="1">monday_model.lp!$EDI$737</definedName>
    <definedName name="Constraint_731_Sense" localSheetId="0" hidden="1">monday_model.lp!$EDH$737</definedName>
    <definedName name="Constraint_732" localSheetId="0" hidden="1">monday_model.lp!$C$738:$EDE$738</definedName>
    <definedName name="Constraint_732_LHS" localSheetId="0" hidden="1">monday_model.lp!$EDG$738</definedName>
    <definedName name="Constraint_732_RHS" localSheetId="0" hidden="1">monday_model.lp!$EDI$738</definedName>
    <definedName name="Constraint_732_Sense" localSheetId="0" hidden="1">monday_model.lp!$EDH$738</definedName>
    <definedName name="Constraint_733" localSheetId="0" hidden="1">monday_model.lp!$C$739:$EDE$739</definedName>
    <definedName name="Constraint_733_LHS" localSheetId="0" hidden="1">monday_model.lp!$EDG$739</definedName>
    <definedName name="Constraint_733_RHS" localSheetId="0" hidden="1">monday_model.lp!$EDI$739</definedName>
    <definedName name="Constraint_733_Sense" localSheetId="0" hidden="1">monday_model.lp!$EDH$739</definedName>
    <definedName name="Constraint_734" localSheetId="0" hidden="1">monday_model.lp!$C$740:$EDE$740</definedName>
    <definedName name="Constraint_734_LHS" localSheetId="0" hidden="1">monday_model.lp!$EDG$740</definedName>
    <definedName name="Constraint_734_RHS" localSheetId="0" hidden="1">monday_model.lp!$EDI$740</definedName>
    <definedName name="Constraint_734_Sense" localSheetId="0" hidden="1">monday_model.lp!$EDH$740</definedName>
    <definedName name="Constraint_735" localSheetId="0" hidden="1">monday_model.lp!$C$741:$EDE$741</definedName>
    <definedName name="Constraint_735_LHS" localSheetId="0" hidden="1">monday_model.lp!$EDG$741</definedName>
    <definedName name="Constraint_735_RHS" localSheetId="0" hidden="1">monday_model.lp!$EDI$741</definedName>
    <definedName name="Constraint_735_Sense" localSheetId="0" hidden="1">monday_model.lp!$EDH$741</definedName>
    <definedName name="Constraint_736" localSheetId="0" hidden="1">monday_model.lp!$C$742:$EDE$742</definedName>
    <definedName name="Constraint_736_LHS" localSheetId="0" hidden="1">monday_model.lp!$EDG$742</definedName>
    <definedName name="Constraint_736_RHS" localSheetId="0" hidden="1">monday_model.lp!$EDI$742</definedName>
    <definedName name="Constraint_736_Sense" localSheetId="0" hidden="1">monday_model.lp!$EDH$742</definedName>
    <definedName name="Constraint_737" localSheetId="0" hidden="1">monday_model.lp!$C$743:$EDE$743</definedName>
    <definedName name="Constraint_737_LHS" localSheetId="0" hidden="1">monday_model.lp!$EDG$743</definedName>
    <definedName name="Constraint_737_RHS" localSheetId="0" hidden="1">monday_model.lp!$EDI$743</definedName>
    <definedName name="Constraint_737_Sense" localSheetId="0" hidden="1">monday_model.lp!$EDH$743</definedName>
    <definedName name="Constraint_738" localSheetId="0" hidden="1">monday_model.lp!$C$744:$EDE$744</definedName>
    <definedName name="Constraint_738_LHS" localSheetId="0" hidden="1">monday_model.lp!$EDG$744</definedName>
    <definedName name="Constraint_738_RHS" localSheetId="0" hidden="1">monday_model.lp!$EDI$744</definedName>
    <definedName name="Constraint_738_Sense" localSheetId="0" hidden="1">monday_model.lp!$EDH$744</definedName>
    <definedName name="Constraint_739" localSheetId="0" hidden="1">monday_model.lp!$C$745:$EDE$745</definedName>
    <definedName name="Constraint_739_LHS" localSheetId="0" hidden="1">monday_model.lp!$EDG$745</definedName>
    <definedName name="Constraint_739_RHS" localSheetId="0" hidden="1">monday_model.lp!$EDI$745</definedName>
    <definedName name="Constraint_739_Sense" localSheetId="0" hidden="1">monday_model.lp!$EDH$745</definedName>
    <definedName name="Constraint_74" localSheetId="0" hidden="1">monday_model.lp!$C$80:$EDE$80</definedName>
    <definedName name="Constraint_74_LHS" localSheetId="0" hidden="1">monday_model.lp!$EDG$80</definedName>
    <definedName name="Constraint_74_RHS" localSheetId="0" hidden="1">monday_model.lp!$EDI$80</definedName>
    <definedName name="Constraint_74_Sense" localSheetId="0" hidden="1">monday_model.lp!$EDH$80</definedName>
    <definedName name="Constraint_740" localSheetId="0" hidden="1">monday_model.lp!$C$746:$EDE$746</definedName>
    <definedName name="Constraint_740_LHS" localSheetId="0" hidden="1">monday_model.lp!$EDG$746</definedName>
    <definedName name="Constraint_740_RHS" localSheetId="0" hidden="1">monday_model.lp!$EDI$746</definedName>
    <definedName name="Constraint_740_Sense" localSheetId="0" hidden="1">monday_model.lp!$EDH$746</definedName>
    <definedName name="Constraint_741" localSheetId="0" hidden="1">monday_model.lp!$C$747:$EDE$747</definedName>
    <definedName name="Constraint_741_LHS" localSheetId="0" hidden="1">monday_model.lp!$EDG$747</definedName>
    <definedName name="Constraint_741_RHS" localSheetId="0" hidden="1">monday_model.lp!$EDI$747</definedName>
    <definedName name="Constraint_741_Sense" localSheetId="0" hidden="1">monday_model.lp!$EDH$747</definedName>
    <definedName name="Constraint_742" localSheetId="0" hidden="1">monday_model.lp!$C$748:$EDE$748</definedName>
    <definedName name="Constraint_742_LHS" localSheetId="0" hidden="1">monday_model.lp!$EDG$748</definedName>
    <definedName name="Constraint_742_RHS" localSheetId="0" hidden="1">monday_model.lp!$EDI$748</definedName>
    <definedName name="Constraint_742_Sense" localSheetId="0" hidden="1">monday_model.lp!$EDH$748</definedName>
    <definedName name="Constraint_743" localSheetId="0" hidden="1">monday_model.lp!$C$749:$EDE$749</definedName>
    <definedName name="Constraint_743_LHS" localSheetId="0" hidden="1">monday_model.lp!$EDG$749</definedName>
    <definedName name="Constraint_743_RHS" localSheetId="0" hidden="1">monday_model.lp!$EDI$749</definedName>
    <definedName name="Constraint_743_Sense" localSheetId="0" hidden="1">monday_model.lp!$EDH$749</definedName>
    <definedName name="Constraint_744" localSheetId="0" hidden="1">monday_model.lp!$C$750:$EDE$750</definedName>
    <definedName name="Constraint_744_LHS" localSheetId="0" hidden="1">monday_model.lp!$EDG$750</definedName>
    <definedName name="Constraint_744_RHS" localSheetId="0" hidden="1">monday_model.lp!$EDI$750</definedName>
    <definedName name="Constraint_744_Sense" localSheetId="0" hidden="1">monday_model.lp!$EDH$750</definedName>
    <definedName name="Constraint_745" localSheetId="0" hidden="1">monday_model.lp!$C$751:$EDE$751</definedName>
    <definedName name="Constraint_745_LHS" localSheetId="0" hidden="1">monday_model.lp!$EDG$751</definedName>
    <definedName name="Constraint_745_RHS" localSheetId="0" hidden="1">monday_model.lp!$EDI$751</definedName>
    <definedName name="Constraint_745_Sense" localSheetId="0" hidden="1">monday_model.lp!$EDH$751</definedName>
    <definedName name="Constraint_746" localSheetId="0" hidden="1">monday_model.lp!$C$752:$EDE$752</definedName>
    <definedName name="Constraint_746_LHS" localSheetId="0" hidden="1">monday_model.lp!$EDG$752</definedName>
    <definedName name="Constraint_746_RHS" localSheetId="0" hidden="1">monday_model.lp!$EDI$752</definedName>
    <definedName name="Constraint_746_Sense" localSheetId="0" hidden="1">monday_model.lp!$EDH$752</definedName>
    <definedName name="Constraint_747" localSheetId="0" hidden="1">monday_model.lp!$C$753:$EDE$753</definedName>
    <definedName name="Constraint_747_LHS" localSheetId="0" hidden="1">monday_model.lp!$EDG$753</definedName>
    <definedName name="Constraint_747_RHS" localSheetId="0" hidden="1">monday_model.lp!$EDI$753</definedName>
    <definedName name="Constraint_747_Sense" localSheetId="0" hidden="1">monday_model.lp!$EDH$753</definedName>
    <definedName name="Constraint_748" localSheetId="0" hidden="1">monday_model.lp!$C$754:$EDE$754</definedName>
    <definedName name="Constraint_748_LHS" localSheetId="0" hidden="1">monday_model.lp!$EDG$754</definedName>
    <definedName name="Constraint_748_RHS" localSheetId="0" hidden="1">monday_model.lp!$EDI$754</definedName>
    <definedName name="Constraint_748_Sense" localSheetId="0" hidden="1">monday_model.lp!$EDH$754</definedName>
    <definedName name="Constraint_749" localSheetId="0" hidden="1">monday_model.lp!$C$755:$EDE$755</definedName>
    <definedName name="Constraint_749_LHS" localSheetId="0" hidden="1">monday_model.lp!$EDG$755</definedName>
    <definedName name="Constraint_749_RHS" localSheetId="0" hidden="1">monday_model.lp!$EDI$755</definedName>
    <definedName name="Constraint_749_Sense" localSheetId="0" hidden="1">monday_model.lp!$EDH$755</definedName>
    <definedName name="Constraint_75" localSheetId="0" hidden="1">monday_model.lp!$C$81:$EDE$81</definedName>
    <definedName name="Constraint_75_LHS" localSheetId="0" hidden="1">monday_model.lp!$EDG$81</definedName>
    <definedName name="Constraint_75_RHS" localSheetId="0" hidden="1">monday_model.lp!$EDI$81</definedName>
    <definedName name="Constraint_75_Sense" localSheetId="0" hidden="1">monday_model.lp!$EDH$81</definedName>
    <definedName name="Constraint_750" localSheetId="0" hidden="1">monday_model.lp!$C$756:$EDE$756</definedName>
    <definedName name="Constraint_750_LHS" localSheetId="0" hidden="1">monday_model.lp!$EDG$756</definedName>
    <definedName name="Constraint_750_RHS" localSheetId="0" hidden="1">monday_model.lp!$EDI$756</definedName>
    <definedName name="Constraint_750_Sense" localSheetId="0" hidden="1">monday_model.lp!$EDH$756</definedName>
    <definedName name="Constraint_751" localSheetId="0" hidden="1">monday_model.lp!$C$757:$EDE$757</definedName>
    <definedName name="Constraint_751_LHS" localSheetId="0" hidden="1">monday_model.lp!$EDG$757</definedName>
    <definedName name="Constraint_751_RHS" localSheetId="0" hidden="1">monday_model.lp!$EDI$757</definedName>
    <definedName name="Constraint_751_Sense" localSheetId="0" hidden="1">monday_model.lp!$EDH$757</definedName>
    <definedName name="Constraint_752" localSheetId="0" hidden="1">monday_model.lp!$C$758:$EDE$758</definedName>
    <definedName name="Constraint_752_LHS" localSheetId="0" hidden="1">monday_model.lp!$EDG$758</definedName>
    <definedName name="Constraint_752_RHS" localSheetId="0" hidden="1">monday_model.lp!$EDI$758</definedName>
    <definedName name="Constraint_752_Sense" localSheetId="0" hidden="1">monday_model.lp!$EDH$758</definedName>
    <definedName name="Constraint_753" localSheetId="0" hidden="1">monday_model.lp!$C$759:$EDE$759</definedName>
    <definedName name="Constraint_753_LHS" localSheetId="0" hidden="1">monday_model.lp!$EDG$759</definedName>
    <definedName name="Constraint_753_RHS" localSheetId="0" hidden="1">monday_model.lp!$EDI$759</definedName>
    <definedName name="Constraint_753_Sense" localSheetId="0" hidden="1">monday_model.lp!$EDH$759</definedName>
    <definedName name="Constraint_754" localSheetId="0" hidden="1">monday_model.lp!$C$760:$EDE$760</definedName>
    <definedName name="Constraint_754_LHS" localSheetId="0" hidden="1">monday_model.lp!$EDG$760</definedName>
    <definedName name="Constraint_754_RHS" localSheetId="0" hidden="1">monday_model.lp!$EDI$760</definedName>
    <definedName name="Constraint_754_Sense" localSheetId="0" hidden="1">monday_model.lp!$EDH$760</definedName>
    <definedName name="Constraint_755" localSheetId="0" hidden="1">monday_model.lp!$C$761:$EDE$761</definedName>
    <definedName name="Constraint_755_LHS" localSheetId="0" hidden="1">monday_model.lp!$EDG$761</definedName>
    <definedName name="Constraint_755_RHS" localSheetId="0" hidden="1">monday_model.lp!$EDI$761</definedName>
    <definedName name="Constraint_755_Sense" localSheetId="0" hidden="1">monday_model.lp!$EDH$761</definedName>
    <definedName name="Constraint_756" localSheetId="0" hidden="1">monday_model.lp!$C$762:$EDE$762</definedName>
    <definedName name="Constraint_756_LHS" localSheetId="0" hidden="1">monday_model.lp!$EDG$762</definedName>
    <definedName name="Constraint_756_RHS" localSheetId="0" hidden="1">monday_model.lp!$EDI$762</definedName>
    <definedName name="Constraint_756_Sense" localSheetId="0" hidden="1">monday_model.lp!$EDH$762</definedName>
    <definedName name="Constraint_757" localSheetId="0" hidden="1">monday_model.lp!$C$763:$EDE$763</definedName>
    <definedName name="Constraint_757_LHS" localSheetId="0" hidden="1">monday_model.lp!$EDG$763</definedName>
    <definedName name="Constraint_757_RHS" localSheetId="0" hidden="1">monday_model.lp!$EDI$763</definedName>
    <definedName name="Constraint_757_Sense" localSheetId="0" hidden="1">monday_model.lp!$EDH$763</definedName>
    <definedName name="Constraint_758" localSheetId="0" hidden="1">monday_model.lp!$C$764:$EDE$764</definedName>
    <definedName name="Constraint_758_LHS" localSheetId="0" hidden="1">monday_model.lp!$EDG$764</definedName>
    <definedName name="Constraint_758_RHS" localSheetId="0" hidden="1">monday_model.lp!$EDI$764</definedName>
    <definedName name="Constraint_758_Sense" localSheetId="0" hidden="1">monday_model.lp!$EDH$764</definedName>
    <definedName name="Constraint_759" localSheetId="0" hidden="1">monday_model.lp!$C$765:$EDE$765</definedName>
    <definedName name="Constraint_759_LHS" localSheetId="0" hidden="1">monday_model.lp!$EDG$765</definedName>
    <definedName name="Constraint_759_RHS" localSheetId="0" hidden="1">monday_model.lp!$EDI$765</definedName>
    <definedName name="Constraint_759_Sense" localSheetId="0" hidden="1">monday_model.lp!$EDH$765</definedName>
    <definedName name="Constraint_76" localSheetId="0" hidden="1">monday_model.lp!$C$82:$EDE$82</definedName>
    <definedName name="Constraint_76_LHS" localSheetId="0" hidden="1">monday_model.lp!$EDG$82</definedName>
    <definedName name="Constraint_76_RHS" localSheetId="0" hidden="1">monday_model.lp!$EDI$82</definedName>
    <definedName name="Constraint_76_Sense" localSheetId="0" hidden="1">monday_model.lp!$EDH$82</definedName>
    <definedName name="Constraint_760" localSheetId="0" hidden="1">monday_model.lp!$C$766:$EDE$766</definedName>
    <definedName name="Constraint_760_LHS" localSheetId="0" hidden="1">monday_model.lp!$EDG$766</definedName>
    <definedName name="Constraint_760_RHS" localSheetId="0" hidden="1">monday_model.lp!$EDI$766</definedName>
    <definedName name="Constraint_760_Sense" localSheetId="0" hidden="1">monday_model.lp!$EDH$766</definedName>
    <definedName name="Constraint_761" localSheetId="0" hidden="1">monday_model.lp!$C$767:$EDE$767</definedName>
    <definedName name="Constraint_761_LHS" localSheetId="0" hidden="1">monday_model.lp!$EDG$767</definedName>
    <definedName name="Constraint_761_RHS" localSheetId="0" hidden="1">monday_model.lp!$EDI$767</definedName>
    <definedName name="Constraint_761_Sense" localSheetId="0" hidden="1">monday_model.lp!$EDH$767</definedName>
    <definedName name="Constraint_762" localSheetId="0" hidden="1">monday_model.lp!$C$768:$EDE$768</definedName>
    <definedName name="Constraint_762_LHS" localSheetId="0" hidden="1">monday_model.lp!$EDG$768</definedName>
    <definedName name="Constraint_762_RHS" localSheetId="0" hidden="1">monday_model.lp!$EDI$768</definedName>
    <definedName name="Constraint_762_Sense" localSheetId="0" hidden="1">monday_model.lp!$EDH$768</definedName>
    <definedName name="Constraint_763" localSheetId="0" hidden="1">monday_model.lp!$C$769:$EDE$769</definedName>
    <definedName name="Constraint_763_LHS" localSheetId="0" hidden="1">monday_model.lp!$EDG$769</definedName>
    <definedName name="Constraint_763_RHS" localSheetId="0" hidden="1">monday_model.lp!$EDI$769</definedName>
    <definedName name="Constraint_763_Sense" localSheetId="0" hidden="1">monday_model.lp!$EDH$769</definedName>
    <definedName name="Constraint_764" localSheetId="0" hidden="1">monday_model.lp!$C$770:$EDE$770</definedName>
    <definedName name="Constraint_764_LHS" localSheetId="0" hidden="1">monday_model.lp!$EDG$770</definedName>
    <definedName name="Constraint_764_RHS" localSheetId="0" hidden="1">monday_model.lp!$EDI$770</definedName>
    <definedName name="Constraint_764_Sense" localSheetId="0" hidden="1">monday_model.lp!$EDH$770</definedName>
    <definedName name="Constraint_765" localSheetId="0" hidden="1">monday_model.lp!$C$771:$EDE$771</definedName>
    <definedName name="Constraint_765_LHS" localSheetId="0" hidden="1">monday_model.lp!$EDG$771</definedName>
    <definedName name="Constraint_765_RHS" localSheetId="0" hidden="1">monday_model.lp!$EDI$771</definedName>
    <definedName name="Constraint_765_Sense" localSheetId="0" hidden="1">monday_model.lp!$EDH$771</definedName>
    <definedName name="Constraint_766" localSheetId="0" hidden="1">monday_model.lp!$C$772:$EDE$772</definedName>
    <definedName name="Constraint_766_LHS" localSheetId="0" hidden="1">monday_model.lp!$EDG$772</definedName>
    <definedName name="Constraint_766_RHS" localSheetId="0" hidden="1">monday_model.lp!$EDI$772</definedName>
    <definedName name="Constraint_766_Sense" localSheetId="0" hidden="1">monday_model.lp!$EDH$772</definedName>
    <definedName name="Constraint_767" localSheetId="0" hidden="1">monday_model.lp!$C$773:$EDE$773</definedName>
    <definedName name="Constraint_767_LHS" localSheetId="0" hidden="1">monday_model.lp!$EDG$773</definedName>
    <definedName name="Constraint_767_RHS" localSheetId="0" hidden="1">monday_model.lp!$EDI$773</definedName>
    <definedName name="Constraint_767_Sense" localSheetId="0" hidden="1">monday_model.lp!$EDH$773</definedName>
    <definedName name="Constraint_768" localSheetId="0" hidden="1">monday_model.lp!$C$774:$EDE$774</definedName>
    <definedName name="Constraint_768_LHS" localSheetId="0" hidden="1">monday_model.lp!$EDG$774</definedName>
    <definedName name="Constraint_768_RHS" localSheetId="0" hidden="1">monday_model.lp!$EDI$774</definedName>
    <definedName name="Constraint_768_Sense" localSheetId="0" hidden="1">monday_model.lp!$EDH$774</definedName>
    <definedName name="Constraint_769" localSheetId="0" hidden="1">monday_model.lp!$C$775:$EDE$775</definedName>
    <definedName name="Constraint_769_LHS" localSheetId="0" hidden="1">monday_model.lp!$EDG$775</definedName>
    <definedName name="Constraint_769_RHS" localSheetId="0" hidden="1">monday_model.lp!$EDI$775</definedName>
    <definedName name="Constraint_769_Sense" localSheetId="0" hidden="1">monday_model.lp!$EDH$775</definedName>
    <definedName name="Constraint_77" localSheetId="0" hidden="1">monday_model.lp!$C$83:$EDE$83</definedName>
    <definedName name="Constraint_77_LHS" localSheetId="0" hidden="1">monday_model.lp!$EDG$83</definedName>
    <definedName name="Constraint_77_RHS" localSheetId="0" hidden="1">monday_model.lp!$EDI$83</definedName>
    <definedName name="Constraint_77_Sense" localSheetId="0" hidden="1">monday_model.lp!$EDH$83</definedName>
    <definedName name="Constraint_770" localSheetId="0" hidden="1">monday_model.lp!$C$776:$EDE$776</definedName>
    <definedName name="Constraint_770_LHS" localSheetId="0" hidden="1">monday_model.lp!$EDG$776</definedName>
    <definedName name="Constraint_770_RHS" localSheetId="0" hidden="1">monday_model.lp!$EDI$776</definedName>
    <definedName name="Constraint_770_Sense" localSheetId="0" hidden="1">monday_model.lp!$EDH$776</definedName>
    <definedName name="Constraint_771" localSheetId="0" hidden="1">monday_model.lp!$C$777:$EDE$777</definedName>
    <definedName name="Constraint_771_LHS" localSheetId="0" hidden="1">monday_model.lp!$EDG$777</definedName>
    <definedName name="Constraint_771_RHS" localSheetId="0" hidden="1">monday_model.lp!$EDI$777</definedName>
    <definedName name="Constraint_771_Sense" localSheetId="0" hidden="1">monday_model.lp!$EDH$777</definedName>
    <definedName name="Constraint_772" localSheetId="0" hidden="1">monday_model.lp!$C$778:$EDE$778</definedName>
    <definedName name="Constraint_772_LHS" localSheetId="0" hidden="1">monday_model.lp!$EDG$778</definedName>
    <definedName name="Constraint_772_RHS" localSheetId="0" hidden="1">monday_model.lp!$EDI$778</definedName>
    <definedName name="Constraint_772_Sense" localSheetId="0" hidden="1">monday_model.lp!$EDH$778</definedName>
    <definedName name="Constraint_773" localSheetId="0" hidden="1">monday_model.lp!$C$779:$EDE$779</definedName>
    <definedName name="Constraint_773_LHS" localSheetId="0" hidden="1">monday_model.lp!$EDG$779</definedName>
    <definedName name="Constraint_773_RHS" localSheetId="0" hidden="1">monday_model.lp!$EDI$779</definedName>
    <definedName name="Constraint_773_Sense" localSheetId="0" hidden="1">monday_model.lp!$EDH$779</definedName>
    <definedName name="Constraint_774" localSheetId="0" hidden="1">monday_model.lp!$C$780:$EDE$780</definedName>
    <definedName name="Constraint_774_LHS" localSheetId="0" hidden="1">monday_model.lp!$EDG$780</definedName>
    <definedName name="Constraint_774_RHS" localSheetId="0" hidden="1">monday_model.lp!$EDI$780</definedName>
    <definedName name="Constraint_774_Sense" localSheetId="0" hidden="1">monday_model.lp!$EDH$780</definedName>
    <definedName name="Constraint_775" localSheetId="0" hidden="1">monday_model.lp!$C$781:$EDE$781</definedName>
    <definedName name="Constraint_775_LHS" localSheetId="0" hidden="1">monday_model.lp!$EDG$781</definedName>
    <definedName name="Constraint_775_RHS" localSheetId="0" hidden="1">monday_model.lp!$EDI$781</definedName>
    <definedName name="Constraint_775_Sense" localSheetId="0" hidden="1">monday_model.lp!$EDH$781</definedName>
    <definedName name="Constraint_776" localSheetId="0" hidden="1">monday_model.lp!$C$782:$EDE$782</definedName>
    <definedName name="Constraint_776_LHS" localSheetId="0" hidden="1">monday_model.lp!$EDG$782</definedName>
    <definedName name="Constraint_776_RHS" localSheetId="0" hidden="1">monday_model.lp!$EDI$782</definedName>
    <definedName name="Constraint_776_Sense" localSheetId="0" hidden="1">monday_model.lp!$EDH$782</definedName>
    <definedName name="Constraint_777" localSheetId="0" hidden="1">monday_model.lp!$C$783:$EDE$783</definedName>
    <definedName name="Constraint_777_LHS" localSheetId="0" hidden="1">monday_model.lp!$EDG$783</definedName>
    <definedName name="Constraint_777_RHS" localSheetId="0" hidden="1">monday_model.lp!$EDI$783</definedName>
    <definedName name="Constraint_777_Sense" localSheetId="0" hidden="1">monday_model.lp!$EDH$783</definedName>
    <definedName name="Constraint_778" localSheetId="0" hidden="1">monday_model.lp!$C$784:$EDE$784</definedName>
    <definedName name="Constraint_778_LHS" localSheetId="0" hidden="1">monday_model.lp!$EDG$784</definedName>
    <definedName name="Constraint_778_RHS" localSheetId="0" hidden="1">monday_model.lp!$EDI$784</definedName>
    <definedName name="Constraint_778_Sense" localSheetId="0" hidden="1">monday_model.lp!$EDH$784</definedName>
    <definedName name="Constraint_779" localSheetId="0" hidden="1">monday_model.lp!$C$785:$EDE$785</definedName>
    <definedName name="Constraint_779_LHS" localSheetId="0" hidden="1">monday_model.lp!$EDG$785</definedName>
    <definedName name="Constraint_779_RHS" localSheetId="0" hidden="1">monday_model.lp!$EDI$785</definedName>
    <definedName name="Constraint_779_Sense" localSheetId="0" hidden="1">monday_model.lp!$EDH$785</definedName>
    <definedName name="Constraint_78" localSheetId="0" hidden="1">monday_model.lp!$C$84:$EDE$84</definedName>
    <definedName name="Constraint_78_LHS" localSheetId="0" hidden="1">monday_model.lp!$EDG$84</definedName>
    <definedName name="Constraint_78_RHS" localSheetId="0" hidden="1">monday_model.lp!$EDI$84</definedName>
    <definedName name="Constraint_78_Sense" localSheetId="0" hidden="1">monday_model.lp!$EDH$84</definedName>
    <definedName name="Constraint_780" localSheetId="0" hidden="1">monday_model.lp!$C$786:$EDE$786</definedName>
    <definedName name="Constraint_780_LHS" localSheetId="0" hidden="1">monday_model.lp!$EDG$786</definedName>
    <definedName name="Constraint_780_RHS" localSheetId="0" hidden="1">monday_model.lp!$EDI$786</definedName>
    <definedName name="Constraint_780_Sense" localSheetId="0" hidden="1">monday_model.lp!$EDH$786</definedName>
    <definedName name="Constraint_781" localSheetId="0" hidden="1">monday_model.lp!$C$787:$EDE$787</definedName>
    <definedName name="Constraint_781_LHS" localSheetId="0" hidden="1">monday_model.lp!$EDG$787</definedName>
    <definedName name="Constraint_781_RHS" localSheetId="0" hidden="1">monday_model.lp!$EDI$787</definedName>
    <definedName name="Constraint_781_Sense" localSheetId="0" hidden="1">monday_model.lp!$EDH$787</definedName>
    <definedName name="Constraint_782" localSheetId="0" hidden="1">monday_model.lp!$C$788:$EDE$788</definedName>
    <definedName name="Constraint_782_LHS" localSheetId="0" hidden="1">monday_model.lp!$EDG$788</definedName>
    <definedName name="Constraint_782_RHS" localSheetId="0" hidden="1">monday_model.lp!$EDI$788</definedName>
    <definedName name="Constraint_782_Sense" localSheetId="0" hidden="1">monday_model.lp!$EDH$788</definedName>
    <definedName name="Constraint_783" localSheetId="0" hidden="1">monday_model.lp!$C$789:$EDE$789</definedName>
    <definedName name="Constraint_783_LHS" localSheetId="0" hidden="1">monday_model.lp!$EDG$789</definedName>
    <definedName name="Constraint_783_RHS" localSheetId="0" hidden="1">monday_model.lp!$EDI$789</definedName>
    <definedName name="Constraint_783_Sense" localSheetId="0" hidden="1">monday_model.lp!$EDH$789</definedName>
    <definedName name="Constraint_784" localSheetId="0" hidden="1">monday_model.lp!$C$790:$EDE$790</definedName>
    <definedName name="Constraint_784_LHS" localSheetId="0" hidden="1">monday_model.lp!$EDG$790</definedName>
    <definedName name="Constraint_784_RHS" localSheetId="0" hidden="1">monday_model.lp!$EDI$790</definedName>
    <definedName name="Constraint_784_Sense" localSheetId="0" hidden="1">monday_model.lp!$EDH$790</definedName>
    <definedName name="Constraint_785" localSheetId="0" hidden="1">monday_model.lp!$C$791:$EDE$791</definedName>
    <definedName name="Constraint_785_LHS" localSheetId="0" hidden="1">monday_model.lp!$EDG$791</definedName>
    <definedName name="Constraint_785_RHS" localSheetId="0" hidden="1">monday_model.lp!$EDI$791</definedName>
    <definedName name="Constraint_785_Sense" localSheetId="0" hidden="1">monday_model.lp!$EDH$791</definedName>
    <definedName name="Constraint_786" localSheetId="0" hidden="1">monday_model.lp!$C$792:$EDE$792</definedName>
    <definedName name="Constraint_786_LHS" localSheetId="0" hidden="1">monday_model.lp!$EDG$792</definedName>
    <definedName name="Constraint_786_RHS" localSheetId="0" hidden="1">monday_model.lp!$EDI$792</definedName>
    <definedName name="Constraint_786_Sense" localSheetId="0" hidden="1">monday_model.lp!$EDH$792</definedName>
    <definedName name="Constraint_787" localSheetId="0" hidden="1">monday_model.lp!$C$793:$EDE$793</definedName>
    <definedName name="Constraint_787_LHS" localSheetId="0" hidden="1">monday_model.lp!$EDG$793</definedName>
    <definedName name="Constraint_787_RHS" localSheetId="0" hidden="1">monday_model.lp!$EDI$793</definedName>
    <definedName name="Constraint_787_Sense" localSheetId="0" hidden="1">monday_model.lp!$EDH$793</definedName>
    <definedName name="Constraint_788" localSheetId="0" hidden="1">monday_model.lp!$C$794:$EDE$794</definedName>
    <definedName name="Constraint_788_LHS" localSheetId="0" hidden="1">monday_model.lp!$EDG$794</definedName>
    <definedName name="Constraint_788_RHS" localSheetId="0" hidden="1">monday_model.lp!$EDI$794</definedName>
    <definedName name="Constraint_788_Sense" localSheetId="0" hidden="1">monday_model.lp!$EDH$794</definedName>
    <definedName name="Constraint_789" localSheetId="0" hidden="1">monday_model.lp!$C$795:$EDE$795</definedName>
    <definedName name="Constraint_789_LHS" localSheetId="0" hidden="1">monday_model.lp!$EDG$795</definedName>
    <definedName name="Constraint_789_RHS" localSheetId="0" hidden="1">monday_model.lp!$EDI$795</definedName>
    <definedName name="Constraint_789_Sense" localSheetId="0" hidden="1">monday_model.lp!$EDH$795</definedName>
    <definedName name="Constraint_79" localSheetId="0" hidden="1">monday_model.lp!$C$85:$EDE$85</definedName>
    <definedName name="Constraint_79_LHS" localSheetId="0" hidden="1">monday_model.lp!$EDG$85</definedName>
    <definedName name="Constraint_79_RHS" localSheetId="0" hidden="1">monday_model.lp!$EDI$85</definedName>
    <definedName name="Constraint_79_Sense" localSheetId="0" hidden="1">monday_model.lp!$EDH$85</definedName>
    <definedName name="Constraint_790" localSheetId="0" hidden="1">monday_model.lp!$C$796:$EDE$796</definedName>
    <definedName name="Constraint_790_LHS" localSheetId="0" hidden="1">monday_model.lp!$EDG$796</definedName>
    <definedName name="Constraint_790_RHS" localSheetId="0" hidden="1">monday_model.lp!$EDI$796</definedName>
    <definedName name="Constraint_790_Sense" localSheetId="0" hidden="1">monday_model.lp!$EDH$796</definedName>
    <definedName name="Constraint_791" localSheetId="0" hidden="1">monday_model.lp!$C$797:$EDE$797</definedName>
    <definedName name="Constraint_791_LHS" localSheetId="0" hidden="1">monday_model.lp!$EDG$797</definedName>
    <definedName name="Constraint_791_RHS" localSheetId="0" hidden="1">monday_model.lp!$EDI$797</definedName>
    <definedName name="Constraint_791_Sense" localSheetId="0" hidden="1">monday_model.lp!$EDH$797</definedName>
    <definedName name="Constraint_792" localSheetId="0" hidden="1">monday_model.lp!$C$798:$EDE$798</definedName>
    <definedName name="Constraint_792_LHS" localSheetId="0" hidden="1">monday_model.lp!$EDG$798</definedName>
    <definedName name="Constraint_792_RHS" localSheetId="0" hidden="1">monday_model.lp!$EDI$798</definedName>
    <definedName name="Constraint_792_Sense" localSheetId="0" hidden="1">monday_model.lp!$EDH$798</definedName>
    <definedName name="Constraint_793" localSheetId="0" hidden="1">monday_model.lp!$C$799:$EDE$799</definedName>
    <definedName name="Constraint_793_LHS" localSheetId="0" hidden="1">monday_model.lp!$EDG$799</definedName>
    <definedName name="Constraint_793_RHS" localSheetId="0" hidden="1">monday_model.lp!$EDI$799</definedName>
    <definedName name="Constraint_793_Sense" localSheetId="0" hidden="1">monday_model.lp!$EDH$799</definedName>
    <definedName name="Constraint_794" localSheetId="0" hidden="1">monday_model.lp!$C$800:$EDE$800</definedName>
    <definedName name="Constraint_794_LHS" localSheetId="0" hidden="1">monday_model.lp!$EDG$800</definedName>
    <definedName name="Constraint_794_RHS" localSheetId="0" hidden="1">monday_model.lp!$EDI$800</definedName>
    <definedName name="Constraint_794_Sense" localSheetId="0" hidden="1">monday_model.lp!$EDH$800</definedName>
    <definedName name="Constraint_795" localSheetId="0" hidden="1">monday_model.lp!$C$801:$EDE$801</definedName>
    <definedName name="Constraint_795_LHS" localSheetId="0" hidden="1">monday_model.lp!$EDG$801</definedName>
    <definedName name="Constraint_795_RHS" localSheetId="0" hidden="1">monday_model.lp!$EDI$801</definedName>
    <definedName name="Constraint_795_Sense" localSheetId="0" hidden="1">monday_model.lp!$EDH$801</definedName>
    <definedName name="Constraint_796" localSheetId="0" hidden="1">monday_model.lp!$C$802:$EDE$802</definedName>
    <definedName name="Constraint_796_LHS" localSheetId="0" hidden="1">monday_model.lp!$EDG$802</definedName>
    <definedName name="Constraint_796_RHS" localSheetId="0" hidden="1">monday_model.lp!$EDI$802</definedName>
    <definedName name="Constraint_796_Sense" localSheetId="0" hidden="1">monday_model.lp!$EDH$802</definedName>
    <definedName name="Constraint_797" localSheetId="0" hidden="1">monday_model.lp!$C$803:$EDE$803</definedName>
    <definedName name="Constraint_797_LHS" localSheetId="0" hidden="1">monday_model.lp!$EDG$803</definedName>
    <definedName name="Constraint_797_RHS" localSheetId="0" hidden="1">monday_model.lp!$EDI$803</definedName>
    <definedName name="Constraint_797_Sense" localSheetId="0" hidden="1">monday_model.lp!$EDH$803</definedName>
    <definedName name="Constraint_798" localSheetId="0" hidden="1">monday_model.lp!$C$804:$EDE$804</definedName>
    <definedName name="Constraint_798_LHS" localSheetId="0" hidden="1">monday_model.lp!$EDG$804</definedName>
    <definedName name="Constraint_798_RHS" localSheetId="0" hidden="1">monday_model.lp!$EDI$804</definedName>
    <definedName name="Constraint_798_Sense" localSheetId="0" hidden="1">monday_model.lp!$EDH$804</definedName>
    <definedName name="Constraint_799" localSheetId="0" hidden="1">monday_model.lp!$C$805:$EDE$805</definedName>
    <definedName name="Constraint_799_LHS" localSheetId="0" hidden="1">monday_model.lp!$EDG$805</definedName>
    <definedName name="Constraint_799_RHS" localSheetId="0" hidden="1">monday_model.lp!$EDI$805</definedName>
    <definedName name="Constraint_799_Sense" localSheetId="0" hidden="1">monday_model.lp!$EDH$805</definedName>
    <definedName name="Constraint_8" localSheetId="0" hidden="1">monday_model.lp!$C$14:$EDE$14</definedName>
    <definedName name="Constraint_8_LHS" localSheetId="0" hidden="1">monday_model.lp!$EDG$14</definedName>
    <definedName name="Constraint_8_RHS" localSheetId="0" hidden="1">monday_model.lp!$EDI$14</definedName>
    <definedName name="Constraint_8_Sense" localSheetId="0" hidden="1">monday_model.lp!$EDH$14</definedName>
    <definedName name="Constraint_80" localSheetId="0" hidden="1">monday_model.lp!$C$86:$EDE$86</definedName>
    <definedName name="Constraint_80_LHS" localSheetId="0" hidden="1">monday_model.lp!$EDG$86</definedName>
    <definedName name="Constraint_80_RHS" localSheetId="0" hidden="1">monday_model.lp!$EDI$86</definedName>
    <definedName name="Constraint_80_Sense" localSheetId="0" hidden="1">monday_model.lp!$EDH$86</definedName>
    <definedName name="Constraint_800" localSheetId="0" hidden="1">monday_model.lp!$C$806:$EDE$806</definedName>
    <definedName name="Constraint_800_LHS" localSheetId="0" hidden="1">monday_model.lp!$EDG$806</definedName>
    <definedName name="Constraint_800_RHS" localSheetId="0" hidden="1">monday_model.lp!$EDI$806</definedName>
    <definedName name="Constraint_800_Sense" localSheetId="0" hidden="1">monday_model.lp!$EDH$806</definedName>
    <definedName name="Constraint_801" localSheetId="0" hidden="1">monday_model.lp!$C$807:$EDE$807</definedName>
    <definedName name="Constraint_801_LHS" localSheetId="0" hidden="1">monday_model.lp!$EDG$807</definedName>
    <definedName name="Constraint_801_RHS" localSheetId="0" hidden="1">monday_model.lp!$EDI$807</definedName>
    <definedName name="Constraint_801_Sense" localSheetId="0" hidden="1">monday_model.lp!$EDH$807</definedName>
    <definedName name="Constraint_802" localSheetId="0" hidden="1">monday_model.lp!$C$808:$EDE$808</definedName>
    <definedName name="Constraint_802_LHS" localSheetId="0" hidden="1">monday_model.lp!$EDG$808</definedName>
    <definedName name="Constraint_802_RHS" localSheetId="0" hidden="1">monday_model.lp!$EDI$808</definedName>
    <definedName name="Constraint_802_Sense" localSheetId="0" hidden="1">monday_model.lp!$EDH$808</definedName>
    <definedName name="Constraint_803" localSheetId="0" hidden="1">monday_model.lp!$C$809:$EDE$809</definedName>
    <definedName name="Constraint_803_LHS" localSheetId="0" hidden="1">monday_model.lp!$EDG$809</definedName>
    <definedName name="Constraint_803_RHS" localSheetId="0" hidden="1">monday_model.lp!$EDI$809</definedName>
    <definedName name="Constraint_803_Sense" localSheetId="0" hidden="1">monday_model.lp!$EDH$809</definedName>
    <definedName name="Constraint_804" localSheetId="0" hidden="1">monday_model.lp!$C$810:$EDE$810</definedName>
    <definedName name="Constraint_804_LHS" localSheetId="0" hidden="1">monday_model.lp!$EDG$810</definedName>
    <definedName name="Constraint_804_RHS" localSheetId="0" hidden="1">monday_model.lp!$EDI$810</definedName>
    <definedName name="Constraint_804_Sense" localSheetId="0" hidden="1">monday_model.lp!$EDH$810</definedName>
    <definedName name="Constraint_805" localSheetId="0" hidden="1">monday_model.lp!$C$811:$EDE$811</definedName>
    <definedName name="Constraint_805_LHS" localSheetId="0" hidden="1">monday_model.lp!$EDG$811</definedName>
    <definedName name="Constraint_805_RHS" localSheetId="0" hidden="1">monday_model.lp!$EDI$811</definedName>
    <definedName name="Constraint_805_Sense" localSheetId="0" hidden="1">monday_model.lp!$EDH$811</definedName>
    <definedName name="Constraint_806" localSheetId="0" hidden="1">monday_model.lp!$C$812:$EDE$812</definedName>
    <definedName name="Constraint_806_LHS" localSheetId="0" hidden="1">monday_model.lp!$EDG$812</definedName>
    <definedName name="Constraint_806_RHS" localSheetId="0" hidden="1">monday_model.lp!$EDI$812</definedName>
    <definedName name="Constraint_806_Sense" localSheetId="0" hidden="1">monday_model.lp!$EDH$812</definedName>
    <definedName name="Constraint_807" localSheetId="0" hidden="1">monday_model.lp!$C$813:$EDE$813</definedName>
    <definedName name="Constraint_807_LHS" localSheetId="0" hidden="1">monday_model.lp!$EDG$813</definedName>
    <definedName name="Constraint_807_RHS" localSheetId="0" hidden="1">monday_model.lp!$EDI$813</definedName>
    <definedName name="Constraint_807_Sense" localSheetId="0" hidden="1">monday_model.lp!$EDH$813</definedName>
    <definedName name="Constraint_808" localSheetId="0" hidden="1">monday_model.lp!$C$814:$EDE$814</definedName>
    <definedName name="Constraint_808_LHS" localSheetId="0" hidden="1">monday_model.lp!$EDG$814</definedName>
    <definedName name="Constraint_808_RHS" localSheetId="0" hidden="1">monday_model.lp!$EDI$814</definedName>
    <definedName name="Constraint_808_Sense" localSheetId="0" hidden="1">monday_model.lp!$EDH$814</definedName>
    <definedName name="Constraint_809" localSheetId="0" hidden="1">monday_model.lp!$C$815:$EDE$815</definedName>
    <definedName name="Constraint_809_LHS" localSheetId="0" hidden="1">monday_model.lp!$EDG$815</definedName>
    <definedName name="Constraint_809_RHS" localSheetId="0" hidden="1">monday_model.lp!$EDI$815</definedName>
    <definedName name="Constraint_809_Sense" localSheetId="0" hidden="1">monday_model.lp!$EDH$815</definedName>
    <definedName name="Constraint_81" localSheetId="0" hidden="1">monday_model.lp!$C$87:$EDE$87</definedName>
    <definedName name="Constraint_81_LHS" localSheetId="0" hidden="1">monday_model.lp!$EDG$87</definedName>
    <definedName name="Constraint_81_RHS" localSheetId="0" hidden="1">monday_model.lp!$EDI$87</definedName>
    <definedName name="Constraint_81_Sense" localSheetId="0" hidden="1">monday_model.lp!$EDH$87</definedName>
    <definedName name="Constraint_810" localSheetId="0" hidden="1">monday_model.lp!$C$816:$EDE$816</definedName>
    <definedName name="Constraint_810_LHS" localSheetId="0" hidden="1">monday_model.lp!$EDG$816</definedName>
    <definedName name="Constraint_810_RHS" localSheetId="0" hidden="1">monday_model.lp!$EDI$816</definedName>
    <definedName name="Constraint_810_Sense" localSheetId="0" hidden="1">monday_model.lp!$EDH$816</definedName>
    <definedName name="Constraint_811" localSheetId="0" hidden="1">monday_model.lp!$C$817:$EDE$817</definedName>
    <definedName name="Constraint_811_LHS" localSheetId="0" hidden="1">monday_model.lp!$EDG$817</definedName>
    <definedName name="Constraint_811_RHS" localSheetId="0" hidden="1">monday_model.lp!$EDI$817</definedName>
    <definedName name="Constraint_811_Sense" localSheetId="0" hidden="1">monday_model.lp!$EDH$817</definedName>
    <definedName name="Constraint_812" localSheetId="0" hidden="1">monday_model.lp!$C$818:$EDE$818</definedName>
    <definedName name="Constraint_812_LHS" localSheetId="0" hidden="1">monday_model.lp!$EDG$818</definedName>
    <definedName name="Constraint_812_RHS" localSheetId="0" hidden="1">monday_model.lp!$EDI$818</definedName>
    <definedName name="Constraint_812_Sense" localSheetId="0" hidden="1">monday_model.lp!$EDH$818</definedName>
    <definedName name="Constraint_813" localSheetId="0" hidden="1">monday_model.lp!$C$819:$EDE$819</definedName>
    <definedName name="Constraint_813_LHS" localSheetId="0" hidden="1">monday_model.lp!$EDG$819</definedName>
    <definedName name="Constraint_813_RHS" localSheetId="0" hidden="1">monday_model.lp!$EDI$819</definedName>
    <definedName name="Constraint_813_Sense" localSheetId="0" hidden="1">monday_model.lp!$EDH$819</definedName>
    <definedName name="Constraint_814" localSheetId="0" hidden="1">monday_model.lp!$C$820:$EDE$820</definedName>
    <definedName name="Constraint_814_LHS" localSheetId="0" hidden="1">monday_model.lp!$EDG$820</definedName>
    <definedName name="Constraint_814_RHS" localSheetId="0" hidden="1">monday_model.lp!$EDI$820</definedName>
    <definedName name="Constraint_814_Sense" localSheetId="0" hidden="1">monday_model.lp!$EDH$820</definedName>
    <definedName name="Constraint_815" localSheetId="0" hidden="1">monday_model.lp!$C$821:$EDE$821</definedName>
    <definedName name="Constraint_815_LHS" localSheetId="0" hidden="1">monday_model.lp!$EDG$821</definedName>
    <definedName name="Constraint_815_RHS" localSheetId="0" hidden="1">monday_model.lp!$EDI$821</definedName>
    <definedName name="Constraint_815_Sense" localSheetId="0" hidden="1">monday_model.lp!$EDH$821</definedName>
    <definedName name="Constraint_816" localSheetId="0" hidden="1">monday_model.lp!$C$822:$EDE$822</definedName>
    <definedName name="Constraint_816_LHS" localSheetId="0" hidden="1">monday_model.lp!$EDG$822</definedName>
    <definedName name="Constraint_816_RHS" localSheetId="0" hidden="1">monday_model.lp!$EDI$822</definedName>
    <definedName name="Constraint_816_Sense" localSheetId="0" hidden="1">monday_model.lp!$EDH$822</definedName>
    <definedName name="Constraint_817" localSheetId="0" hidden="1">monday_model.lp!$C$823:$EDE$823</definedName>
    <definedName name="Constraint_817_LHS" localSheetId="0" hidden="1">monday_model.lp!$EDG$823</definedName>
    <definedName name="Constraint_817_RHS" localSheetId="0" hidden="1">monday_model.lp!$EDI$823</definedName>
    <definedName name="Constraint_817_Sense" localSheetId="0" hidden="1">monday_model.lp!$EDH$823</definedName>
    <definedName name="Constraint_818" localSheetId="0" hidden="1">monday_model.lp!$C$824:$EDE$824</definedName>
    <definedName name="Constraint_818_LHS" localSheetId="0" hidden="1">monday_model.lp!$EDG$824</definedName>
    <definedName name="Constraint_818_RHS" localSheetId="0" hidden="1">monday_model.lp!$EDI$824</definedName>
    <definedName name="Constraint_818_Sense" localSheetId="0" hidden="1">monday_model.lp!$EDH$824</definedName>
    <definedName name="Constraint_819" localSheetId="0" hidden="1">monday_model.lp!$C$825:$EDE$825</definedName>
    <definedName name="Constraint_819_LHS" localSheetId="0" hidden="1">monday_model.lp!$EDG$825</definedName>
    <definedName name="Constraint_819_RHS" localSheetId="0" hidden="1">monday_model.lp!$EDI$825</definedName>
    <definedName name="Constraint_819_Sense" localSheetId="0" hidden="1">monday_model.lp!$EDH$825</definedName>
    <definedName name="Constraint_82" localSheetId="0" hidden="1">monday_model.lp!$C$88:$EDE$88</definedName>
    <definedName name="Constraint_82_LHS" localSheetId="0" hidden="1">monday_model.lp!$EDG$88</definedName>
    <definedName name="Constraint_82_RHS" localSheetId="0" hidden="1">monday_model.lp!$EDI$88</definedName>
    <definedName name="Constraint_82_Sense" localSheetId="0" hidden="1">monday_model.lp!$EDH$88</definedName>
    <definedName name="Constraint_820" localSheetId="0" hidden="1">monday_model.lp!$C$826:$EDE$826</definedName>
    <definedName name="Constraint_820_LHS" localSheetId="0" hidden="1">monday_model.lp!$EDG$826</definedName>
    <definedName name="Constraint_820_RHS" localSheetId="0" hidden="1">monday_model.lp!$EDI$826</definedName>
    <definedName name="Constraint_820_Sense" localSheetId="0" hidden="1">monday_model.lp!$EDH$826</definedName>
    <definedName name="Constraint_821" localSheetId="0" hidden="1">monday_model.lp!$C$827:$EDE$827</definedName>
    <definedName name="Constraint_821_LHS" localSheetId="0" hidden="1">monday_model.lp!$EDG$827</definedName>
    <definedName name="Constraint_821_RHS" localSheetId="0" hidden="1">monday_model.lp!$EDI$827</definedName>
    <definedName name="Constraint_821_Sense" localSheetId="0" hidden="1">monday_model.lp!$EDH$827</definedName>
    <definedName name="Constraint_822" localSheetId="0" hidden="1">monday_model.lp!$C$828:$EDE$828</definedName>
    <definedName name="Constraint_822_LHS" localSheetId="0" hidden="1">monday_model.lp!$EDG$828</definedName>
    <definedName name="Constraint_822_RHS" localSheetId="0" hidden="1">monday_model.lp!$EDI$828</definedName>
    <definedName name="Constraint_822_Sense" localSheetId="0" hidden="1">monday_model.lp!$EDH$828</definedName>
    <definedName name="Constraint_823" localSheetId="0" hidden="1">monday_model.lp!$C$829:$EDE$829</definedName>
    <definedName name="Constraint_823_LHS" localSheetId="0" hidden="1">monday_model.lp!$EDG$829</definedName>
    <definedName name="Constraint_823_RHS" localSheetId="0" hidden="1">monday_model.lp!$EDI$829</definedName>
    <definedName name="Constraint_823_Sense" localSheetId="0" hidden="1">monday_model.lp!$EDH$829</definedName>
    <definedName name="Constraint_824" localSheetId="0" hidden="1">monday_model.lp!$C$830:$EDE$830</definedName>
    <definedName name="Constraint_824_LHS" localSheetId="0" hidden="1">monday_model.lp!$EDG$830</definedName>
    <definedName name="Constraint_824_RHS" localSheetId="0" hidden="1">monday_model.lp!$EDI$830</definedName>
    <definedName name="Constraint_824_Sense" localSheetId="0" hidden="1">monday_model.lp!$EDH$830</definedName>
    <definedName name="Constraint_825" localSheetId="0" hidden="1">monday_model.lp!$C$831:$EDE$831</definedName>
    <definedName name="Constraint_825_LHS" localSheetId="0" hidden="1">monday_model.lp!$EDG$831</definedName>
    <definedName name="Constraint_825_RHS" localSheetId="0" hidden="1">monday_model.lp!$EDI$831</definedName>
    <definedName name="Constraint_825_Sense" localSheetId="0" hidden="1">monday_model.lp!$EDH$831</definedName>
    <definedName name="Constraint_826" localSheetId="0" hidden="1">monday_model.lp!$C$832:$EDE$832</definedName>
    <definedName name="Constraint_826_LHS" localSheetId="0" hidden="1">monday_model.lp!$EDG$832</definedName>
    <definedName name="Constraint_826_RHS" localSheetId="0" hidden="1">monday_model.lp!$EDI$832</definedName>
    <definedName name="Constraint_826_Sense" localSheetId="0" hidden="1">monday_model.lp!$EDH$832</definedName>
    <definedName name="Constraint_827" localSheetId="0" hidden="1">monday_model.lp!$C$833:$EDE$833</definedName>
    <definedName name="Constraint_827_LHS" localSheetId="0" hidden="1">monday_model.lp!$EDG$833</definedName>
    <definedName name="Constraint_827_RHS" localSheetId="0" hidden="1">monday_model.lp!$EDI$833</definedName>
    <definedName name="Constraint_827_Sense" localSheetId="0" hidden="1">monday_model.lp!$EDH$833</definedName>
    <definedName name="Constraint_828" localSheetId="0" hidden="1">monday_model.lp!$C$834:$EDE$834</definedName>
    <definedName name="Constraint_828_LHS" localSheetId="0" hidden="1">monday_model.lp!$EDG$834</definedName>
    <definedName name="Constraint_828_RHS" localSheetId="0" hidden="1">monday_model.lp!$EDI$834</definedName>
    <definedName name="Constraint_828_Sense" localSheetId="0" hidden="1">monday_model.lp!$EDH$834</definedName>
    <definedName name="Constraint_829" localSheetId="0" hidden="1">monday_model.lp!$C$835:$EDE$835</definedName>
    <definedName name="Constraint_829_LHS" localSheetId="0" hidden="1">monday_model.lp!$EDG$835</definedName>
    <definedName name="Constraint_829_RHS" localSheetId="0" hidden="1">monday_model.lp!$EDI$835</definedName>
    <definedName name="Constraint_829_Sense" localSheetId="0" hidden="1">monday_model.lp!$EDH$835</definedName>
    <definedName name="Constraint_83" localSheetId="0" hidden="1">monday_model.lp!$C$89:$EDE$89</definedName>
    <definedName name="Constraint_83_LHS" localSheetId="0" hidden="1">monday_model.lp!$EDG$89</definedName>
    <definedName name="Constraint_83_RHS" localSheetId="0" hidden="1">monday_model.lp!$EDI$89</definedName>
    <definedName name="Constraint_83_Sense" localSheetId="0" hidden="1">monday_model.lp!$EDH$89</definedName>
    <definedName name="Constraint_830" localSheetId="0" hidden="1">monday_model.lp!$C$836:$EDE$836</definedName>
    <definedName name="Constraint_830_LHS" localSheetId="0" hidden="1">monday_model.lp!$EDG$836</definedName>
    <definedName name="Constraint_830_RHS" localSheetId="0" hidden="1">monday_model.lp!$EDI$836</definedName>
    <definedName name="Constraint_830_Sense" localSheetId="0" hidden="1">monday_model.lp!$EDH$836</definedName>
    <definedName name="Constraint_831" localSheetId="0" hidden="1">monday_model.lp!$C$837:$EDE$837</definedName>
    <definedName name="Constraint_831_LHS" localSheetId="0" hidden="1">monday_model.lp!$EDG$837</definedName>
    <definedName name="Constraint_831_RHS" localSheetId="0" hidden="1">monday_model.lp!$EDI$837</definedName>
    <definedName name="Constraint_831_Sense" localSheetId="0" hidden="1">monday_model.lp!$EDH$837</definedName>
    <definedName name="Constraint_832" localSheetId="0" hidden="1">monday_model.lp!$C$838:$EDE$838</definedName>
    <definedName name="Constraint_832_LHS" localSheetId="0" hidden="1">monday_model.lp!$EDG$838</definedName>
    <definedName name="Constraint_832_RHS" localSheetId="0" hidden="1">monday_model.lp!$EDI$838</definedName>
    <definedName name="Constraint_832_Sense" localSheetId="0" hidden="1">monday_model.lp!$EDH$838</definedName>
    <definedName name="Constraint_833" localSheetId="0" hidden="1">monday_model.lp!$C$839:$EDE$839</definedName>
    <definedName name="Constraint_833_LHS" localSheetId="0" hidden="1">monday_model.lp!$EDG$839</definedName>
    <definedName name="Constraint_833_RHS" localSheetId="0" hidden="1">monday_model.lp!$EDI$839</definedName>
    <definedName name="Constraint_833_Sense" localSheetId="0" hidden="1">monday_model.lp!$EDH$839</definedName>
    <definedName name="Constraint_834" localSheetId="0" hidden="1">monday_model.lp!$C$840:$EDE$840</definedName>
    <definedName name="Constraint_834_LHS" localSheetId="0" hidden="1">monday_model.lp!$EDG$840</definedName>
    <definedName name="Constraint_834_RHS" localSheetId="0" hidden="1">monday_model.lp!$EDI$840</definedName>
    <definedName name="Constraint_834_Sense" localSheetId="0" hidden="1">monday_model.lp!$EDH$840</definedName>
    <definedName name="Constraint_835" localSheetId="0" hidden="1">monday_model.lp!$C$841:$EDE$841</definedName>
    <definedName name="Constraint_835_LHS" localSheetId="0" hidden="1">monday_model.lp!$EDG$841</definedName>
    <definedName name="Constraint_835_RHS" localSheetId="0" hidden="1">monday_model.lp!$EDI$841</definedName>
    <definedName name="Constraint_835_Sense" localSheetId="0" hidden="1">monday_model.lp!$EDH$841</definedName>
    <definedName name="Constraint_836" localSheetId="0" hidden="1">monday_model.lp!$C$842:$EDE$842</definedName>
    <definedName name="Constraint_836_LHS" localSheetId="0" hidden="1">monday_model.lp!$EDG$842</definedName>
    <definedName name="Constraint_836_RHS" localSheetId="0" hidden="1">monday_model.lp!$EDI$842</definedName>
    <definedName name="Constraint_836_Sense" localSheetId="0" hidden="1">monday_model.lp!$EDH$842</definedName>
    <definedName name="Constraint_837" localSheetId="0" hidden="1">monday_model.lp!$C$843:$EDE$843</definedName>
    <definedName name="Constraint_837_LHS" localSheetId="0" hidden="1">monday_model.lp!$EDG$843</definedName>
    <definedName name="Constraint_837_RHS" localSheetId="0" hidden="1">monday_model.lp!$EDI$843</definedName>
    <definedName name="Constraint_837_Sense" localSheetId="0" hidden="1">monday_model.lp!$EDH$843</definedName>
    <definedName name="Constraint_838" localSheetId="0" hidden="1">monday_model.lp!$C$844:$EDE$844</definedName>
    <definedName name="Constraint_838_LHS" localSheetId="0" hidden="1">monday_model.lp!$EDG$844</definedName>
    <definedName name="Constraint_838_RHS" localSheetId="0" hidden="1">monday_model.lp!$EDI$844</definedName>
    <definedName name="Constraint_838_Sense" localSheetId="0" hidden="1">monday_model.lp!$EDH$844</definedName>
    <definedName name="Constraint_839" localSheetId="0" hidden="1">monday_model.lp!$C$845:$EDE$845</definedName>
    <definedName name="Constraint_839_LHS" localSheetId="0" hidden="1">monday_model.lp!$EDG$845</definedName>
    <definedName name="Constraint_839_RHS" localSheetId="0" hidden="1">monday_model.lp!$EDI$845</definedName>
    <definedName name="Constraint_839_Sense" localSheetId="0" hidden="1">monday_model.lp!$EDH$845</definedName>
    <definedName name="Constraint_84" localSheetId="0" hidden="1">monday_model.lp!$C$90:$EDE$90</definedName>
    <definedName name="Constraint_84_LHS" localSheetId="0" hidden="1">monday_model.lp!$EDG$90</definedName>
    <definedName name="Constraint_84_RHS" localSheetId="0" hidden="1">monday_model.lp!$EDI$90</definedName>
    <definedName name="Constraint_84_Sense" localSheetId="0" hidden="1">monday_model.lp!$EDH$90</definedName>
    <definedName name="Constraint_840" localSheetId="0" hidden="1">monday_model.lp!$C$846:$EDE$846</definedName>
    <definedName name="Constraint_840_LHS" localSheetId="0" hidden="1">monday_model.lp!$EDG$846</definedName>
    <definedName name="Constraint_840_RHS" localSheetId="0" hidden="1">monday_model.lp!$EDI$846</definedName>
    <definedName name="Constraint_840_Sense" localSheetId="0" hidden="1">monday_model.lp!$EDH$846</definedName>
    <definedName name="Constraint_841" localSheetId="0" hidden="1">monday_model.lp!$C$847:$EDE$847</definedName>
    <definedName name="Constraint_841_LHS" localSheetId="0" hidden="1">monday_model.lp!$EDG$847</definedName>
    <definedName name="Constraint_841_RHS" localSheetId="0" hidden="1">monday_model.lp!$EDI$847</definedName>
    <definedName name="Constraint_841_Sense" localSheetId="0" hidden="1">monday_model.lp!$EDH$847</definedName>
    <definedName name="Constraint_842" localSheetId="0" hidden="1">monday_model.lp!$C$848:$EDE$848</definedName>
    <definedName name="Constraint_842_LHS" localSheetId="0" hidden="1">monday_model.lp!$EDG$848</definedName>
    <definedName name="Constraint_842_RHS" localSheetId="0" hidden="1">monday_model.lp!$EDI$848</definedName>
    <definedName name="Constraint_842_Sense" localSheetId="0" hidden="1">monday_model.lp!$EDH$848</definedName>
    <definedName name="Constraint_843" localSheetId="0" hidden="1">monday_model.lp!$C$849:$EDE$849</definedName>
    <definedName name="Constraint_843_LHS" localSheetId="0" hidden="1">monday_model.lp!$EDG$849</definedName>
    <definedName name="Constraint_843_RHS" localSheetId="0" hidden="1">monday_model.lp!$EDI$849</definedName>
    <definedName name="Constraint_843_Sense" localSheetId="0" hidden="1">monday_model.lp!$EDH$849</definedName>
    <definedName name="Constraint_844" localSheetId="0" hidden="1">monday_model.lp!$C$850:$EDE$850</definedName>
    <definedName name="Constraint_844_LHS" localSheetId="0" hidden="1">monday_model.lp!$EDG$850</definedName>
    <definedName name="Constraint_844_RHS" localSheetId="0" hidden="1">monday_model.lp!$EDI$850</definedName>
    <definedName name="Constraint_844_Sense" localSheetId="0" hidden="1">monday_model.lp!$EDH$850</definedName>
    <definedName name="Constraint_845" localSheetId="0" hidden="1">monday_model.lp!$C$851:$EDE$851</definedName>
    <definedName name="Constraint_845_LHS" localSheetId="0" hidden="1">monday_model.lp!$EDG$851</definedName>
    <definedName name="Constraint_845_RHS" localSheetId="0" hidden="1">monday_model.lp!$EDI$851</definedName>
    <definedName name="Constraint_845_Sense" localSheetId="0" hidden="1">monday_model.lp!$EDH$851</definedName>
    <definedName name="Constraint_846" localSheetId="0" hidden="1">monday_model.lp!$C$852:$EDE$852</definedName>
    <definedName name="Constraint_846_LHS" localSheetId="0" hidden="1">monday_model.lp!$EDG$852</definedName>
    <definedName name="Constraint_846_RHS" localSheetId="0" hidden="1">monday_model.lp!$EDI$852</definedName>
    <definedName name="Constraint_846_Sense" localSheetId="0" hidden="1">monday_model.lp!$EDH$852</definedName>
    <definedName name="Constraint_847" localSheetId="0" hidden="1">monday_model.lp!$C$853:$EDE$853</definedName>
    <definedName name="Constraint_847_LHS" localSheetId="0" hidden="1">monday_model.lp!$EDG$853</definedName>
    <definedName name="Constraint_847_RHS" localSheetId="0" hidden="1">monday_model.lp!$EDI$853</definedName>
    <definedName name="Constraint_847_Sense" localSheetId="0" hidden="1">monday_model.lp!$EDH$853</definedName>
    <definedName name="Constraint_848" localSheetId="0" hidden="1">monday_model.lp!$C$854:$EDE$854</definedName>
    <definedName name="Constraint_848_LHS" localSheetId="0" hidden="1">monday_model.lp!$EDG$854</definedName>
    <definedName name="Constraint_848_RHS" localSheetId="0" hidden="1">monday_model.lp!$EDI$854</definedName>
    <definedName name="Constraint_848_Sense" localSheetId="0" hidden="1">monday_model.lp!$EDH$854</definedName>
    <definedName name="Constraint_849" localSheetId="0" hidden="1">monday_model.lp!$C$855:$EDE$855</definedName>
    <definedName name="Constraint_849_LHS" localSheetId="0" hidden="1">monday_model.lp!$EDG$855</definedName>
    <definedName name="Constraint_849_RHS" localSheetId="0" hidden="1">monday_model.lp!$EDI$855</definedName>
    <definedName name="Constraint_849_Sense" localSheetId="0" hidden="1">monday_model.lp!$EDH$855</definedName>
    <definedName name="Constraint_85" localSheetId="0" hidden="1">monday_model.lp!$C$91:$EDE$91</definedName>
    <definedName name="Constraint_85_LHS" localSheetId="0" hidden="1">monday_model.lp!$EDG$91</definedName>
    <definedName name="Constraint_85_RHS" localSheetId="0" hidden="1">monday_model.lp!$EDI$91</definedName>
    <definedName name="Constraint_85_Sense" localSheetId="0" hidden="1">monday_model.lp!$EDH$91</definedName>
    <definedName name="Constraint_850" localSheetId="0" hidden="1">monday_model.lp!$C$856:$EDE$856</definedName>
    <definedName name="Constraint_850_LHS" localSheetId="0" hidden="1">monday_model.lp!$EDG$856</definedName>
    <definedName name="Constraint_850_RHS" localSheetId="0" hidden="1">monday_model.lp!$EDI$856</definedName>
    <definedName name="Constraint_850_Sense" localSheetId="0" hidden="1">monday_model.lp!$EDH$856</definedName>
    <definedName name="Constraint_851" localSheetId="0" hidden="1">monday_model.lp!$C$857:$EDE$857</definedName>
    <definedName name="Constraint_851_LHS" localSheetId="0" hidden="1">monday_model.lp!$EDG$857</definedName>
    <definedName name="Constraint_851_RHS" localSheetId="0" hidden="1">monday_model.lp!$EDI$857</definedName>
    <definedName name="Constraint_851_Sense" localSheetId="0" hidden="1">monday_model.lp!$EDH$857</definedName>
    <definedName name="Constraint_852" localSheetId="0" hidden="1">monday_model.lp!$C$858:$EDE$858</definedName>
    <definedName name="Constraint_852_LHS" localSheetId="0" hidden="1">monday_model.lp!$EDG$858</definedName>
    <definedName name="Constraint_852_RHS" localSheetId="0" hidden="1">monday_model.lp!$EDI$858</definedName>
    <definedName name="Constraint_852_Sense" localSheetId="0" hidden="1">monday_model.lp!$EDH$858</definedName>
    <definedName name="Constraint_853" localSheetId="0" hidden="1">monday_model.lp!$C$859:$EDE$859</definedName>
    <definedName name="Constraint_853_LHS" localSheetId="0" hidden="1">monday_model.lp!$EDG$859</definedName>
    <definedName name="Constraint_853_RHS" localSheetId="0" hidden="1">monday_model.lp!$EDI$859</definedName>
    <definedName name="Constraint_853_Sense" localSheetId="0" hidden="1">monday_model.lp!$EDH$859</definedName>
    <definedName name="Constraint_854" localSheetId="0" hidden="1">monday_model.lp!$C$860:$EDE$860</definedName>
    <definedName name="Constraint_854_LHS" localSheetId="0" hidden="1">monday_model.lp!$EDG$860</definedName>
    <definedName name="Constraint_854_RHS" localSheetId="0" hidden="1">monday_model.lp!$EDI$860</definedName>
    <definedName name="Constraint_854_Sense" localSheetId="0" hidden="1">monday_model.lp!$EDH$860</definedName>
    <definedName name="Constraint_855" localSheetId="0" hidden="1">monday_model.lp!$C$861:$EDE$861</definedName>
    <definedName name="Constraint_855_LHS" localSheetId="0" hidden="1">monday_model.lp!$EDG$861</definedName>
    <definedName name="Constraint_855_RHS" localSheetId="0" hidden="1">monday_model.lp!$EDI$861</definedName>
    <definedName name="Constraint_855_Sense" localSheetId="0" hidden="1">monday_model.lp!$EDH$861</definedName>
    <definedName name="Constraint_856" localSheetId="0" hidden="1">monday_model.lp!$C$862:$EDE$862</definedName>
    <definedName name="Constraint_856_LHS" localSheetId="0" hidden="1">monday_model.lp!$EDG$862</definedName>
    <definedName name="Constraint_856_RHS" localSheetId="0" hidden="1">monday_model.lp!$EDI$862</definedName>
    <definedName name="Constraint_856_Sense" localSheetId="0" hidden="1">monday_model.lp!$EDH$862</definedName>
    <definedName name="Constraint_857" localSheetId="0" hidden="1">monday_model.lp!$C$863:$EDE$863</definedName>
    <definedName name="Constraint_857_LHS" localSheetId="0" hidden="1">monday_model.lp!$EDG$863</definedName>
    <definedName name="Constraint_857_RHS" localSheetId="0" hidden="1">monday_model.lp!$EDI$863</definedName>
    <definedName name="Constraint_857_Sense" localSheetId="0" hidden="1">monday_model.lp!$EDH$863</definedName>
    <definedName name="Constraint_858" localSheetId="0" hidden="1">monday_model.lp!$C$864:$EDE$864</definedName>
    <definedName name="Constraint_858_LHS" localSheetId="0" hidden="1">monday_model.lp!$EDG$864</definedName>
    <definedName name="Constraint_858_RHS" localSheetId="0" hidden="1">monday_model.lp!$EDI$864</definedName>
    <definedName name="Constraint_858_Sense" localSheetId="0" hidden="1">monday_model.lp!$EDH$864</definedName>
    <definedName name="Constraint_859" localSheetId="0" hidden="1">monday_model.lp!$C$865:$EDE$865</definedName>
    <definedName name="Constraint_859_LHS" localSheetId="0" hidden="1">monday_model.lp!$EDG$865</definedName>
    <definedName name="Constraint_859_RHS" localSheetId="0" hidden="1">monday_model.lp!$EDI$865</definedName>
    <definedName name="Constraint_859_Sense" localSheetId="0" hidden="1">monday_model.lp!$EDH$865</definedName>
    <definedName name="Constraint_86" localSheetId="0" hidden="1">monday_model.lp!$C$92:$EDE$92</definedName>
    <definedName name="Constraint_86_LHS" localSheetId="0" hidden="1">monday_model.lp!$EDG$92</definedName>
    <definedName name="Constraint_86_RHS" localSheetId="0" hidden="1">monday_model.lp!$EDI$92</definedName>
    <definedName name="Constraint_86_Sense" localSheetId="0" hidden="1">monday_model.lp!$EDH$92</definedName>
    <definedName name="Constraint_860" localSheetId="0" hidden="1">monday_model.lp!$C$866:$EDE$866</definedName>
    <definedName name="Constraint_860_LHS" localSheetId="0" hidden="1">monday_model.lp!$EDG$866</definedName>
    <definedName name="Constraint_860_RHS" localSheetId="0" hidden="1">monday_model.lp!$EDI$866</definedName>
    <definedName name="Constraint_860_Sense" localSheetId="0" hidden="1">monday_model.lp!$EDH$866</definedName>
    <definedName name="Constraint_861" localSheetId="0" hidden="1">monday_model.lp!$C$867:$EDE$867</definedName>
    <definedName name="Constraint_861_LHS" localSheetId="0" hidden="1">monday_model.lp!$EDG$867</definedName>
    <definedName name="Constraint_861_RHS" localSheetId="0" hidden="1">monday_model.lp!$EDI$867</definedName>
    <definedName name="Constraint_861_Sense" localSheetId="0" hidden="1">monday_model.lp!$EDH$867</definedName>
    <definedName name="Constraint_862" localSheetId="0" hidden="1">monday_model.lp!$C$868:$EDE$868</definedName>
    <definedName name="Constraint_862_LHS" localSheetId="0" hidden="1">monday_model.lp!$EDG$868</definedName>
    <definedName name="Constraint_862_RHS" localSheetId="0" hidden="1">monday_model.lp!$EDI$868</definedName>
    <definedName name="Constraint_862_Sense" localSheetId="0" hidden="1">monday_model.lp!$EDH$868</definedName>
    <definedName name="Constraint_863" localSheetId="0" hidden="1">monday_model.lp!$C$869:$EDE$869</definedName>
    <definedName name="Constraint_863_LHS" localSheetId="0" hidden="1">monday_model.lp!$EDG$869</definedName>
    <definedName name="Constraint_863_RHS" localSheetId="0" hidden="1">monday_model.lp!$EDI$869</definedName>
    <definedName name="Constraint_863_Sense" localSheetId="0" hidden="1">monday_model.lp!$EDH$869</definedName>
    <definedName name="Constraint_864" localSheetId="0" hidden="1">monday_model.lp!$C$870:$EDE$870</definedName>
    <definedName name="Constraint_864_LHS" localSheetId="0" hidden="1">monday_model.lp!$EDG$870</definedName>
    <definedName name="Constraint_864_RHS" localSheetId="0" hidden="1">monday_model.lp!$EDI$870</definedName>
    <definedName name="Constraint_864_Sense" localSheetId="0" hidden="1">monday_model.lp!$EDH$870</definedName>
    <definedName name="Constraint_865" localSheetId="0" hidden="1">monday_model.lp!$C$871:$EDE$871</definedName>
    <definedName name="Constraint_865_LHS" localSheetId="0" hidden="1">monday_model.lp!$EDG$871</definedName>
    <definedName name="Constraint_865_RHS" localSheetId="0" hidden="1">monday_model.lp!$EDI$871</definedName>
    <definedName name="Constraint_865_Sense" localSheetId="0" hidden="1">monday_model.lp!$EDH$871</definedName>
    <definedName name="Constraint_866" localSheetId="0" hidden="1">monday_model.lp!$C$872:$EDE$872</definedName>
    <definedName name="Constraint_866_LHS" localSheetId="0" hidden="1">monday_model.lp!$EDG$872</definedName>
    <definedName name="Constraint_866_RHS" localSheetId="0" hidden="1">monday_model.lp!$EDI$872</definedName>
    <definedName name="Constraint_866_Sense" localSheetId="0" hidden="1">monday_model.lp!$EDH$872</definedName>
    <definedName name="Constraint_867" localSheetId="0" hidden="1">monday_model.lp!$C$873:$EDE$873</definedName>
    <definedName name="Constraint_867_LHS" localSheetId="0" hidden="1">monday_model.lp!$EDG$873</definedName>
    <definedName name="Constraint_867_RHS" localSheetId="0" hidden="1">monday_model.lp!$EDI$873</definedName>
    <definedName name="Constraint_867_Sense" localSheetId="0" hidden="1">monday_model.lp!$EDH$873</definedName>
    <definedName name="Constraint_868" localSheetId="0" hidden="1">monday_model.lp!$C$874:$EDE$874</definedName>
    <definedName name="Constraint_868_LHS" localSheetId="0" hidden="1">monday_model.lp!$EDG$874</definedName>
    <definedName name="Constraint_868_RHS" localSheetId="0" hidden="1">monday_model.lp!$EDI$874</definedName>
    <definedName name="Constraint_868_Sense" localSheetId="0" hidden="1">monday_model.lp!$EDH$874</definedName>
    <definedName name="Constraint_869" localSheetId="0" hidden="1">monday_model.lp!$C$875:$EDE$875</definedName>
    <definedName name="Constraint_869_LHS" localSheetId="0" hidden="1">monday_model.lp!$EDG$875</definedName>
    <definedName name="Constraint_869_RHS" localSheetId="0" hidden="1">monday_model.lp!$EDI$875</definedName>
    <definedName name="Constraint_869_Sense" localSheetId="0" hidden="1">monday_model.lp!$EDH$875</definedName>
    <definedName name="Constraint_87" localSheetId="0" hidden="1">monday_model.lp!$C$93:$EDE$93</definedName>
    <definedName name="Constraint_87_LHS" localSheetId="0" hidden="1">monday_model.lp!$EDG$93</definedName>
    <definedName name="Constraint_87_RHS" localSheetId="0" hidden="1">monday_model.lp!$EDI$93</definedName>
    <definedName name="Constraint_87_Sense" localSheetId="0" hidden="1">monday_model.lp!$EDH$93</definedName>
    <definedName name="Constraint_870" localSheetId="0" hidden="1">monday_model.lp!$C$876:$EDE$876</definedName>
    <definedName name="Constraint_870_LHS" localSheetId="0" hidden="1">monday_model.lp!$EDG$876</definedName>
    <definedName name="Constraint_870_RHS" localSheetId="0" hidden="1">monday_model.lp!$EDI$876</definedName>
    <definedName name="Constraint_870_Sense" localSheetId="0" hidden="1">monday_model.lp!$EDH$876</definedName>
    <definedName name="Constraint_871" localSheetId="0" hidden="1">monday_model.lp!$C$877:$EDE$877</definedName>
    <definedName name="Constraint_871_LHS" localSheetId="0" hidden="1">monday_model.lp!$EDG$877</definedName>
    <definedName name="Constraint_871_RHS" localSheetId="0" hidden="1">monday_model.lp!$EDI$877</definedName>
    <definedName name="Constraint_871_Sense" localSheetId="0" hidden="1">monday_model.lp!$EDH$877</definedName>
    <definedName name="Constraint_872" localSheetId="0" hidden="1">monday_model.lp!$C$878:$EDE$878</definedName>
    <definedName name="Constraint_872_LHS" localSheetId="0" hidden="1">monday_model.lp!$EDG$878</definedName>
    <definedName name="Constraint_872_RHS" localSheetId="0" hidden="1">monday_model.lp!$EDI$878</definedName>
    <definedName name="Constraint_872_Sense" localSheetId="0" hidden="1">monday_model.lp!$EDH$878</definedName>
    <definedName name="Constraint_873" localSheetId="0" hidden="1">monday_model.lp!$C$879:$EDE$879</definedName>
    <definedName name="Constraint_873_LHS" localSheetId="0" hidden="1">monday_model.lp!$EDG$879</definedName>
    <definedName name="Constraint_873_RHS" localSheetId="0" hidden="1">monday_model.lp!$EDI$879</definedName>
    <definedName name="Constraint_873_Sense" localSheetId="0" hidden="1">monday_model.lp!$EDH$879</definedName>
    <definedName name="Constraint_874" localSheetId="0" hidden="1">monday_model.lp!$C$880:$EDE$880</definedName>
    <definedName name="Constraint_874_LHS" localSheetId="0" hidden="1">monday_model.lp!$EDG$880</definedName>
    <definedName name="Constraint_874_RHS" localSheetId="0" hidden="1">monday_model.lp!$EDI$880</definedName>
    <definedName name="Constraint_874_Sense" localSheetId="0" hidden="1">monday_model.lp!$EDH$880</definedName>
    <definedName name="Constraint_875" localSheetId="0" hidden="1">monday_model.lp!$C$881:$EDE$881</definedName>
    <definedName name="Constraint_875_LHS" localSheetId="0" hidden="1">monday_model.lp!$EDG$881</definedName>
    <definedName name="Constraint_875_RHS" localSheetId="0" hidden="1">monday_model.lp!$EDI$881</definedName>
    <definedName name="Constraint_875_Sense" localSheetId="0" hidden="1">monday_model.lp!$EDH$881</definedName>
    <definedName name="Constraint_876" localSheetId="0" hidden="1">monday_model.lp!$C$882:$EDE$882</definedName>
    <definedName name="Constraint_876_LHS" localSheetId="0" hidden="1">monday_model.lp!$EDG$882</definedName>
    <definedName name="Constraint_876_RHS" localSheetId="0" hidden="1">monday_model.lp!$EDI$882</definedName>
    <definedName name="Constraint_876_Sense" localSheetId="0" hidden="1">monday_model.lp!$EDH$882</definedName>
    <definedName name="Constraint_877" localSheetId="0" hidden="1">monday_model.lp!$C$883:$EDE$883</definedName>
    <definedName name="Constraint_877_LHS" localSheetId="0" hidden="1">monday_model.lp!$EDG$883</definedName>
    <definedName name="Constraint_877_RHS" localSheetId="0" hidden="1">monday_model.lp!$EDI$883</definedName>
    <definedName name="Constraint_877_Sense" localSheetId="0" hidden="1">monday_model.lp!$EDH$883</definedName>
    <definedName name="Constraint_878" localSheetId="0" hidden="1">monday_model.lp!$C$884:$EDE$884</definedName>
    <definedName name="Constraint_878_LHS" localSheetId="0" hidden="1">monday_model.lp!$EDG$884</definedName>
    <definedName name="Constraint_878_RHS" localSheetId="0" hidden="1">monday_model.lp!$EDI$884</definedName>
    <definedName name="Constraint_878_Sense" localSheetId="0" hidden="1">monday_model.lp!$EDH$884</definedName>
    <definedName name="Constraint_879" localSheetId="0" hidden="1">monday_model.lp!$C$885:$EDE$885</definedName>
    <definedName name="Constraint_879_LHS" localSheetId="0" hidden="1">monday_model.lp!$EDG$885</definedName>
    <definedName name="Constraint_879_RHS" localSheetId="0" hidden="1">monday_model.lp!$EDI$885</definedName>
    <definedName name="Constraint_879_Sense" localSheetId="0" hidden="1">monday_model.lp!$EDH$885</definedName>
    <definedName name="Constraint_88" localSheetId="0" hidden="1">monday_model.lp!$C$94:$EDE$94</definedName>
    <definedName name="Constraint_88_LHS" localSheetId="0" hidden="1">monday_model.lp!$EDG$94</definedName>
    <definedName name="Constraint_88_RHS" localSheetId="0" hidden="1">monday_model.lp!$EDI$94</definedName>
    <definedName name="Constraint_88_Sense" localSheetId="0" hidden="1">monday_model.lp!$EDH$94</definedName>
    <definedName name="Constraint_880" localSheetId="0" hidden="1">monday_model.lp!$C$886:$EDE$886</definedName>
    <definedName name="Constraint_880_LHS" localSheetId="0" hidden="1">monday_model.lp!$EDG$886</definedName>
    <definedName name="Constraint_880_RHS" localSheetId="0" hidden="1">monday_model.lp!$EDI$886</definedName>
    <definedName name="Constraint_880_Sense" localSheetId="0" hidden="1">monday_model.lp!$EDH$886</definedName>
    <definedName name="Constraint_881" localSheetId="0" hidden="1">monday_model.lp!$C$887:$EDE$887</definedName>
    <definedName name="Constraint_881_LHS" localSheetId="0" hidden="1">monday_model.lp!$EDG$887</definedName>
    <definedName name="Constraint_881_RHS" localSheetId="0" hidden="1">monday_model.lp!$EDI$887</definedName>
    <definedName name="Constraint_881_Sense" localSheetId="0" hidden="1">monday_model.lp!$EDH$887</definedName>
    <definedName name="Constraint_882" localSheetId="0" hidden="1">monday_model.lp!$C$888:$EDE$888</definedName>
    <definedName name="Constraint_882_LHS" localSheetId="0" hidden="1">monday_model.lp!$EDG$888</definedName>
    <definedName name="Constraint_882_RHS" localSheetId="0" hidden="1">monday_model.lp!$EDI$888</definedName>
    <definedName name="Constraint_882_Sense" localSheetId="0" hidden="1">monday_model.lp!$EDH$888</definedName>
    <definedName name="Constraint_883" localSheetId="0" hidden="1">monday_model.lp!$C$889:$EDE$889</definedName>
    <definedName name="Constraint_883_LHS" localSheetId="0" hidden="1">monday_model.lp!$EDG$889</definedName>
    <definedName name="Constraint_883_RHS" localSheetId="0" hidden="1">monday_model.lp!$EDI$889</definedName>
    <definedName name="Constraint_883_Sense" localSheetId="0" hidden="1">monday_model.lp!$EDH$889</definedName>
    <definedName name="Constraint_884" localSheetId="0" hidden="1">monday_model.lp!$C$890:$EDE$890</definedName>
    <definedName name="Constraint_884_LHS" localSheetId="0" hidden="1">monday_model.lp!$EDG$890</definedName>
    <definedName name="Constraint_884_RHS" localSheetId="0" hidden="1">monday_model.lp!$EDI$890</definedName>
    <definedName name="Constraint_884_Sense" localSheetId="0" hidden="1">monday_model.lp!$EDH$890</definedName>
    <definedName name="Constraint_885" localSheetId="0" hidden="1">monday_model.lp!$C$891:$EDE$891</definedName>
    <definedName name="Constraint_885_LHS" localSheetId="0" hidden="1">monday_model.lp!$EDG$891</definedName>
    <definedName name="Constraint_885_RHS" localSheetId="0" hidden="1">monday_model.lp!$EDI$891</definedName>
    <definedName name="Constraint_885_Sense" localSheetId="0" hidden="1">monday_model.lp!$EDH$891</definedName>
    <definedName name="Constraint_886" localSheetId="0" hidden="1">monday_model.lp!$C$892:$EDE$892</definedName>
    <definedName name="Constraint_886_LHS" localSheetId="0" hidden="1">monday_model.lp!$EDG$892</definedName>
    <definedName name="Constraint_886_RHS" localSheetId="0" hidden="1">monday_model.lp!$EDI$892</definedName>
    <definedName name="Constraint_886_Sense" localSheetId="0" hidden="1">monday_model.lp!$EDH$892</definedName>
    <definedName name="Constraint_887" localSheetId="0" hidden="1">monday_model.lp!$C$893:$EDE$893</definedName>
    <definedName name="Constraint_887_LHS" localSheetId="0" hidden="1">monday_model.lp!$EDG$893</definedName>
    <definedName name="Constraint_887_RHS" localSheetId="0" hidden="1">monday_model.lp!$EDI$893</definedName>
    <definedName name="Constraint_887_Sense" localSheetId="0" hidden="1">monday_model.lp!$EDH$893</definedName>
    <definedName name="Constraint_888" localSheetId="0" hidden="1">monday_model.lp!$C$894:$EDE$894</definedName>
    <definedName name="Constraint_888_LHS" localSheetId="0" hidden="1">monday_model.lp!$EDG$894</definedName>
    <definedName name="Constraint_888_RHS" localSheetId="0" hidden="1">monday_model.lp!$EDI$894</definedName>
    <definedName name="Constraint_888_Sense" localSheetId="0" hidden="1">monday_model.lp!$EDH$894</definedName>
    <definedName name="Constraint_889" localSheetId="0" hidden="1">monday_model.lp!$C$895:$EDE$895</definedName>
    <definedName name="Constraint_889_LHS" localSheetId="0" hidden="1">monday_model.lp!$EDG$895</definedName>
    <definedName name="Constraint_889_RHS" localSheetId="0" hidden="1">monday_model.lp!$EDI$895</definedName>
    <definedName name="Constraint_889_Sense" localSheetId="0" hidden="1">monday_model.lp!$EDH$895</definedName>
    <definedName name="Constraint_89" localSheetId="0" hidden="1">monday_model.lp!$C$95:$EDE$95</definedName>
    <definedName name="Constraint_89_LHS" localSheetId="0" hidden="1">monday_model.lp!$EDG$95</definedName>
    <definedName name="Constraint_89_RHS" localSheetId="0" hidden="1">monday_model.lp!$EDI$95</definedName>
    <definedName name="Constraint_89_Sense" localSheetId="0" hidden="1">monday_model.lp!$EDH$95</definedName>
    <definedName name="Constraint_890" localSheetId="0" hidden="1">monday_model.lp!$C$896:$EDE$896</definedName>
    <definedName name="Constraint_890_LHS" localSheetId="0" hidden="1">monday_model.lp!$EDG$896</definedName>
    <definedName name="Constraint_890_RHS" localSheetId="0" hidden="1">monday_model.lp!$EDI$896</definedName>
    <definedName name="Constraint_890_Sense" localSheetId="0" hidden="1">monday_model.lp!$EDH$896</definedName>
    <definedName name="Constraint_891" localSheetId="0" hidden="1">monday_model.lp!$C$897:$EDE$897</definedName>
    <definedName name="Constraint_891_LHS" localSheetId="0" hidden="1">monday_model.lp!$EDG$897</definedName>
    <definedName name="Constraint_891_RHS" localSheetId="0" hidden="1">monday_model.lp!$EDI$897</definedName>
    <definedName name="Constraint_891_Sense" localSheetId="0" hidden="1">monday_model.lp!$EDH$897</definedName>
    <definedName name="Constraint_892" localSheetId="0" hidden="1">monday_model.lp!$C$898:$EDE$898</definedName>
    <definedName name="Constraint_892_LHS" localSheetId="0" hidden="1">monday_model.lp!$EDG$898</definedName>
    <definedName name="Constraint_892_RHS" localSheetId="0" hidden="1">monday_model.lp!$EDI$898</definedName>
    <definedName name="Constraint_892_Sense" localSheetId="0" hidden="1">monday_model.lp!$EDH$898</definedName>
    <definedName name="Constraint_893" localSheetId="0" hidden="1">monday_model.lp!$C$899:$EDE$899</definedName>
    <definedName name="Constraint_893_LHS" localSheetId="0" hidden="1">monday_model.lp!$EDG$899</definedName>
    <definedName name="Constraint_893_RHS" localSheetId="0" hidden="1">monday_model.lp!$EDI$899</definedName>
    <definedName name="Constraint_893_Sense" localSheetId="0" hidden="1">monday_model.lp!$EDH$899</definedName>
    <definedName name="Constraint_894" localSheetId="0" hidden="1">monday_model.lp!$C$900:$EDE$900</definedName>
    <definedName name="Constraint_894_LHS" localSheetId="0" hidden="1">monday_model.lp!$EDG$900</definedName>
    <definedName name="Constraint_894_RHS" localSheetId="0" hidden="1">monday_model.lp!$EDI$900</definedName>
    <definedName name="Constraint_894_Sense" localSheetId="0" hidden="1">monday_model.lp!$EDH$900</definedName>
    <definedName name="Constraint_895" localSheetId="0" hidden="1">monday_model.lp!$C$901:$EDE$901</definedName>
    <definedName name="Constraint_895_LHS" localSheetId="0" hidden="1">monday_model.lp!$EDG$901</definedName>
    <definedName name="Constraint_895_RHS" localSheetId="0" hidden="1">monday_model.lp!$EDI$901</definedName>
    <definedName name="Constraint_895_Sense" localSheetId="0" hidden="1">monday_model.lp!$EDH$901</definedName>
    <definedName name="Constraint_896" localSheetId="0" hidden="1">monday_model.lp!$C$902:$EDE$902</definedName>
    <definedName name="Constraint_896_LHS" localSheetId="0" hidden="1">monday_model.lp!$EDG$902</definedName>
    <definedName name="Constraint_896_RHS" localSheetId="0" hidden="1">monday_model.lp!$EDI$902</definedName>
    <definedName name="Constraint_896_Sense" localSheetId="0" hidden="1">monday_model.lp!$EDH$902</definedName>
    <definedName name="Constraint_897" localSheetId="0" hidden="1">monday_model.lp!$C$903:$EDE$903</definedName>
    <definedName name="Constraint_897_LHS" localSheetId="0" hidden="1">monday_model.lp!$EDG$903</definedName>
    <definedName name="Constraint_897_RHS" localSheetId="0" hidden="1">monday_model.lp!$EDI$903</definedName>
    <definedName name="Constraint_897_Sense" localSheetId="0" hidden="1">monday_model.lp!$EDH$903</definedName>
    <definedName name="Constraint_898" localSheetId="0" hidden="1">monday_model.lp!$C$904:$EDE$904</definedName>
    <definedName name="Constraint_898_LHS" localSheetId="0" hidden="1">monday_model.lp!$EDG$904</definedName>
    <definedName name="Constraint_898_RHS" localSheetId="0" hidden="1">monday_model.lp!$EDI$904</definedName>
    <definedName name="Constraint_898_Sense" localSheetId="0" hidden="1">monday_model.lp!$EDH$904</definedName>
    <definedName name="Constraint_899" localSheetId="0" hidden="1">monday_model.lp!$C$905:$EDE$905</definedName>
    <definedName name="Constraint_899_LHS" localSheetId="0" hidden="1">monday_model.lp!$EDG$905</definedName>
    <definedName name="Constraint_899_RHS" localSheetId="0" hidden="1">monday_model.lp!$EDI$905</definedName>
    <definedName name="Constraint_899_Sense" localSheetId="0" hidden="1">monday_model.lp!$EDH$905</definedName>
    <definedName name="Constraint_9" localSheetId="0" hidden="1">monday_model.lp!$C$15:$EDE$15</definedName>
    <definedName name="Constraint_9_LHS" localSheetId="0" hidden="1">monday_model.lp!$EDG$15</definedName>
    <definedName name="Constraint_9_RHS" localSheetId="0" hidden="1">monday_model.lp!$EDI$15</definedName>
    <definedName name="Constraint_9_Sense" localSheetId="0" hidden="1">monday_model.lp!$EDH$15</definedName>
    <definedName name="Constraint_90" localSheetId="0" hidden="1">monday_model.lp!$C$96:$EDE$96</definedName>
    <definedName name="Constraint_90_LHS" localSheetId="0" hidden="1">monday_model.lp!$EDG$96</definedName>
    <definedName name="Constraint_90_RHS" localSheetId="0" hidden="1">monday_model.lp!$EDI$96</definedName>
    <definedName name="Constraint_90_Sense" localSheetId="0" hidden="1">monday_model.lp!$EDH$96</definedName>
    <definedName name="Constraint_900" localSheetId="0" hidden="1">monday_model.lp!$C$906:$EDE$906</definedName>
    <definedName name="Constraint_900_LHS" localSheetId="0" hidden="1">monday_model.lp!$EDG$906</definedName>
    <definedName name="Constraint_900_RHS" localSheetId="0" hidden="1">monday_model.lp!$EDI$906</definedName>
    <definedName name="Constraint_900_Sense" localSheetId="0" hidden="1">monday_model.lp!$EDH$906</definedName>
    <definedName name="Constraint_901" localSheetId="0" hidden="1">monday_model.lp!$C$907:$EDE$907</definedName>
    <definedName name="Constraint_901_LHS" localSheetId="0" hidden="1">monday_model.lp!$EDG$907</definedName>
    <definedName name="Constraint_901_RHS" localSheetId="0" hidden="1">monday_model.lp!$EDI$907</definedName>
    <definedName name="Constraint_901_Sense" localSheetId="0" hidden="1">monday_model.lp!$EDH$907</definedName>
    <definedName name="Constraint_902" localSheetId="0" hidden="1">monday_model.lp!$C$908:$EDE$908</definedName>
    <definedName name="Constraint_902_LHS" localSheetId="0" hidden="1">monday_model.lp!$EDG$908</definedName>
    <definedName name="Constraint_902_RHS" localSheetId="0" hidden="1">monday_model.lp!$EDI$908</definedName>
    <definedName name="Constraint_902_Sense" localSheetId="0" hidden="1">monday_model.lp!$EDH$908</definedName>
    <definedName name="Constraint_903" localSheetId="0" hidden="1">monday_model.lp!$C$909:$EDE$909</definedName>
    <definedName name="Constraint_903_LHS" localSheetId="0" hidden="1">monday_model.lp!$EDG$909</definedName>
    <definedName name="Constraint_903_RHS" localSheetId="0" hidden="1">monday_model.lp!$EDI$909</definedName>
    <definedName name="Constraint_903_Sense" localSheetId="0" hidden="1">monday_model.lp!$EDH$909</definedName>
    <definedName name="Constraint_904" localSheetId="0" hidden="1">monday_model.lp!$C$910:$EDE$910</definedName>
    <definedName name="Constraint_904_LHS" localSheetId="0" hidden="1">monday_model.lp!$EDG$910</definedName>
    <definedName name="Constraint_904_RHS" localSheetId="0" hidden="1">monday_model.lp!$EDI$910</definedName>
    <definedName name="Constraint_904_Sense" localSheetId="0" hidden="1">monday_model.lp!$EDH$910</definedName>
    <definedName name="Constraint_905" localSheetId="0" hidden="1">monday_model.lp!$C$911:$EDE$911</definedName>
    <definedName name="Constraint_905_LHS" localSheetId="0" hidden="1">monday_model.lp!$EDG$911</definedName>
    <definedName name="Constraint_905_RHS" localSheetId="0" hidden="1">monday_model.lp!$EDI$911</definedName>
    <definedName name="Constraint_905_Sense" localSheetId="0" hidden="1">monday_model.lp!$EDH$911</definedName>
    <definedName name="Constraint_906" localSheetId="0" hidden="1">monday_model.lp!$C$912:$EDE$912</definedName>
    <definedName name="Constraint_906_LHS" localSheetId="0" hidden="1">monday_model.lp!$EDG$912</definedName>
    <definedName name="Constraint_906_RHS" localSheetId="0" hidden="1">monday_model.lp!$EDI$912</definedName>
    <definedName name="Constraint_906_Sense" localSheetId="0" hidden="1">monday_model.lp!$EDH$912</definedName>
    <definedName name="Constraint_907" localSheetId="0" hidden="1">monday_model.lp!$C$913:$EDE$913</definedName>
    <definedName name="Constraint_907_LHS" localSheetId="0" hidden="1">monday_model.lp!$EDG$913</definedName>
    <definedName name="Constraint_907_RHS" localSheetId="0" hidden="1">monday_model.lp!$EDI$913</definedName>
    <definedName name="Constraint_907_Sense" localSheetId="0" hidden="1">monday_model.lp!$EDH$913</definedName>
    <definedName name="Constraint_908" localSheetId="0" hidden="1">monday_model.lp!$C$914:$EDE$914</definedName>
    <definedName name="Constraint_908_LHS" localSheetId="0" hidden="1">monday_model.lp!$EDG$914</definedName>
    <definedName name="Constraint_908_RHS" localSheetId="0" hidden="1">monday_model.lp!$EDI$914</definedName>
    <definedName name="Constraint_908_Sense" localSheetId="0" hidden="1">monday_model.lp!$EDH$914</definedName>
    <definedName name="Constraint_909" localSheetId="0" hidden="1">monday_model.lp!$C$915:$EDE$915</definedName>
    <definedName name="Constraint_909_LHS" localSheetId="0" hidden="1">monday_model.lp!$EDG$915</definedName>
    <definedName name="Constraint_909_RHS" localSheetId="0" hidden="1">monday_model.lp!$EDI$915</definedName>
    <definedName name="Constraint_909_Sense" localSheetId="0" hidden="1">monday_model.lp!$EDH$915</definedName>
    <definedName name="Constraint_91" localSheetId="0" hidden="1">monday_model.lp!$C$97:$EDE$97</definedName>
    <definedName name="Constraint_91_LHS" localSheetId="0" hidden="1">monday_model.lp!$EDG$97</definedName>
    <definedName name="Constraint_91_RHS" localSheetId="0" hidden="1">monday_model.lp!$EDI$97</definedName>
    <definedName name="Constraint_91_Sense" localSheetId="0" hidden="1">monday_model.lp!$EDH$97</definedName>
    <definedName name="Constraint_910" localSheetId="0" hidden="1">monday_model.lp!$C$916:$EDE$916</definedName>
    <definedName name="Constraint_910_LHS" localSheetId="0" hidden="1">monday_model.lp!$EDG$916</definedName>
    <definedName name="Constraint_910_RHS" localSheetId="0" hidden="1">monday_model.lp!$EDI$916</definedName>
    <definedName name="Constraint_910_Sense" localSheetId="0" hidden="1">monday_model.lp!$EDH$916</definedName>
    <definedName name="Constraint_911" localSheetId="0" hidden="1">monday_model.lp!$C$917:$EDE$917</definedName>
    <definedName name="Constraint_911_LHS" localSheetId="0" hidden="1">monday_model.lp!$EDG$917</definedName>
    <definedName name="Constraint_911_RHS" localSheetId="0" hidden="1">monday_model.lp!$EDI$917</definedName>
    <definedName name="Constraint_911_Sense" localSheetId="0" hidden="1">monday_model.lp!$EDH$917</definedName>
    <definedName name="Constraint_912" localSheetId="0" hidden="1">monday_model.lp!$C$918:$EDE$918</definedName>
    <definedName name="Constraint_912_LHS" localSheetId="0" hidden="1">monday_model.lp!$EDG$918</definedName>
    <definedName name="Constraint_912_RHS" localSheetId="0" hidden="1">monday_model.lp!$EDI$918</definedName>
    <definedName name="Constraint_912_Sense" localSheetId="0" hidden="1">monday_model.lp!$EDH$918</definedName>
    <definedName name="Constraint_913" localSheetId="0" hidden="1">monday_model.lp!$C$919:$EDE$919</definedName>
    <definedName name="Constraint_913_LHS" localSheetId="0" hidden="1">monday_model.lp!$EDG$919</definedName>
    <definedName name="Constraint_913_RHS" localSheetId="0" hidden="1">monday_model.lp!$EDI$919</definedName>
    <definedName name="Constraint_913_Sense" localSheetId="0" hidden="1">monday_model.lp!$EDH$919</definedName>
    <definedName name="Constraint_914" localSheetId="0" hidden="1">monday_model.lp!$C$920:$EDE$920</definedName>
    <definedName name="Constraint_914_LHS" localSheetId="0" hidden="1">monday_model.lp!$EDG$920</definedName>
    <definedName name="Constraint_914_RHS" localSheetId="0" hidden="1">monday_model.lp!$EDI$920</definedName>
    <definedName name="Constraint_914_Sense" localSheetId="0" hidden="1">monday_model.lp!$EDH$920</definedName>
    <definedName name="Constraint_915" localSheetId="0" hidden="1">monday_model.lp!$C$921:$EDE$921</definedName>
    <definedName name="Constraint_915_LHS" localSheetId="0" hidden="1">monday_model.lp!$EDG$921</definedName>
    <definedName name="Constraint_915_RHS" localSheetId="0" hidden="1">monday_model.lp!$EDI$921</definedName>
    <definedName name="Constraint_915_Sense" localSheetId="0" hidden="1">monday_model.lp!$EDH$921</definedName>
    <definedName name="Constraint_916" localSheetId="0" hidden="1">monday_model.lp!$C$922:$EDE$922</definedName>
    <definedName name="Constraint_916_LHS" localSheetId="0" hidden="1">monday_model.lp!$EDG$922</definedName>
    <definedName name="Constraint_916_RHS" localSheetId="0" hidden="1">monday_model.lp!$EDI$922</definedName>
    <definedName name="Constraint_916_Sense" localSheetId="0" hidden="1">monday_model.lp!$EDH$922</definedName>
    <definedName name="Constraint_917" localSheetId="0" hidden="1">monday_model.lp!$C$923:$EDE$923</definedName>
    <definedName name="Constraint_917_LHS" localSheetId="0" hidden="1">monday_model.lp!$EDG$923</definedName>
    <definedName name="Constraint_917_RHS" localSheetId="0" hidden="1">monday_model.lp!$EDI$923</definedName>
    <definedName name="Constraint_917_Sense" localSheetId="0" hidden="1">monday_model.lp!$EDH$923</definedName>
    <definedName name="Constraint_918" localSheetId="0" hidden="1">monday_model.lp!$C$924:$EDE$924</definedName>
    <definedName name="Constraint_918_LHS" localSheetId="0" hidden="1">monday_model.lp!$EDG$924</definedName>
    <definedName name="Constraint_918_RHS" localSheetId="0" hidden="1">monday_model.lp!$EDI$924</definedName>
    <definedName name="Constraint_918_Sense" localSheetId="0" hidden="1">monday_model.lp!$EDH$924</definedName>
    <definedName name="Constraint_919" localSheetId="0" hidden="1">monday_model.lp!$C$925:$EDE$925</definedName>
    <definedName name="Constraint_919_LHS" localSheetId="0" hidden="1">monday_model.lp!$EDG$925</definedName>
    <definedName name="Constraint_919_RHS" localSheetId="0" hidden="1">monday_model.lp!$EDI$925</definedName>
    <definedName name="Constraint_919_Sense" localSheetId="0" hidden="1">monday_model.lp!$EDH$925</definedName>
    <definedName name="Constraint_92" localSheetId="0" hidden="1">monday_model.lp!$C$98:$EDE$98</definedName>
    <definedName name="Constraint_92_LHS" localSheetId="0" hidden="1">monday_model.lp!$EDG$98</definedName>
    <definedName name="Constraint_92_RHS" localSheetId="0" hidden="1">monday_model.lp!$EDI$98</definedName>
    <definedName name="Constraint_92_Sense" localSheetId="0" hidden="1">monday_model.lp!$EDH$98</definedName>
    <definedName name="Constraint_920" localSheetId="0" hidden="1">monday_model.lp!$C$926:$EDE$926</definedName>
    <definedName name="Constraint_920_LHS" localSheetId="0" hidden="1">monday_model.lp!$EDG$926</definedName>
    <definedName name="Constraint_920_RHS" localSheetId="0" hidden="1">monday_model.lp!$EDI$926</definedName>
    <definedName name="Constraint_920_Sense" localSheetId="0" hidden="1">monday_model.lp!$EDH$926</definedName>
    <definedName name="Constraint_921" localSheetId="0" hidden="1">monday_model.lp!$C$927:$EDE$927</definedName>
    <definedName name="Constraint_921_LHS" localSheetId="0" hidden="1">monday_model.lp!$EDG$927</definedName>
    <definedName name="Constraint_921_RHS" localSheetId="0" hidden="1">monday_model.lp!$EDI$927</definedName>
    <definedName name="Constraint_921_Sense" localSheetId="0" hidden="1">monday_model.lp!$EDH$927</definedName>
    <definedName name="Constraint_922" localSheetId="0" hidden="1">monday_model.lp!$C$928:$EDE$928</definedName>
    <definedName name="Constraint_922_LHS" localSheetId="0" hidden="1">monday_model.lp!$EDG$928</definedName>
    <definedName name="Constraint_922_RHS" localSheetId="0" hidden="1">monday_model.lp!$EDI$928</definedName>
    <definedName name="Constraint_922_Sense" localSheetId="0" hidden="1">monday_model.lp!$EDH$928</definedName>
    <definedName name="Constraint_923" localSheetId="0" hidden="1">monday_model.lp!$C$929:$EDE$929</definedName>
    <definedName name="Constraint_923_LHS" localSheetId="0" hidden="1">monday_model.lp!$EDG$929</definedName>
    <definedName name="Constraint_923_RHS" localSheetId="0" hidden="1">monday_model.lp!$EDI$929</definedName>
    <definedName name="Constraint_923_Sense" localSheetId="0" hidden="1">monday_model.lp!$EDH$929</definedName>
    <definedName name="Constraint_924" localSheetId="0" hidden="1">monday_model.lp!$C$930:$EDE$930</definedName>
    <definedName name="Constraint_924_LHS" localSheetId="0" hidden="1">monday_model.lp!$EDG$930</definedName>
    <definedName name="Constraint_924_RHS" localSheetId="0" hidden="1">monday_model.lp!$EDI$930</definedName>
    <definedName name="Constraint_924_Sense" localSheetId="0" hidden="1">monday_model.lp!$EDH$930</definedName>
    <definedName name="Constraint_925" localSheetId="0" hidden="1">monday_model.lp!$C$931:$EDE$931</definedName>
    <definedName name="Constraint_925_LHS" localSheetId="0" hidden="1">monday_model.lp!$EDG$931</definedName>
    <definedName name="Constraint_925_RHS" localSheetId="0" hidden="1">monday_model.lp!$EDI$931</definedName>
    <definedName name="Constraint_925_Sense" localSheetId="0" hidden="1">monday_model.lp!$EDH$931</definedName>
    <definedName name="Constraint_926" localSheetId="0" hidden="1">monday_model.lp!$C$932:$EDE$932</definedName>
    <definedName name="Constraint_926_LHS" localSheetId="0" hidden="1">monday_model.lp!$EDG$932</definedName>
    <definedName name="Constraint_926_RHS" localSheetId="0" hidden="1">monday_model.lp!$EDI$932</definedName>
    <definedName name="Constraint_926_Sense" localSheetId="0" hidden="1">monday_model.lp!$EDH$932</definedName>
    <definedName name="Constraint_927" localSheetId="0" hidden="1">monday_model.lp!$C$933:$EDE$933</definedName>
    <definedName name="Constraint_927_LHS" localSheetId="0" hidden="1">monday_model.lp!$EDG$933</definedName>
    <definedName name="Constraint_927_RHS" localSheetId="0" hidden="1">monday_model.lp!$EDI$933</definedName>
    <definedName name="Constraint_927_Sense" localSheetId="0" hidden="1">monday_model.lp!$EDH$933</definedName>
    <definedName name="Constraint_928" localSheetId="0" hidden="1">monday_model.lp!$C$934:$EDE$934</definedName>
    <definedName name="Constraint_928_LHS" localSheetId="0" hidden="1">monday_model.lp!$EDG$934</definedName>
    <definedName name="Constraint_928_RHS" localSheetId="0" hidden="1">monday_model.lp!$EDI$934</definedName>
    <definedName name="Constraint_928_Sense" localSheetId="0" hidden="1">monday_model.lp!$EDH$934</definedName>
    <definedName name="Constraint_929" localSheetId="0" hidden="1">monday_model.lp!$C$935:$EDE$935</definedName>
    <definedName name="Constraint_929_LHS" localSheetId="0" hidden="1">monday_model.lp!$EDG$935</definedName>
    <definedName name="Constraint_929_RHS" localSheetId="0" hidden="1">monday_model.lp!$EDI$935</definedName>
    <definedName name="Constraint_929_Sense" localSheetId="0" hidden="1">monday_model.lp!$EDH$935</definedName>
    <definedName name="Constraint_93" localSheetId="0" hidden="1">monday_model.lp!$C$99:$EDE$99</definedName>
    <definedName name="Constraint_93_LHS" localSheetId="0" hidden="1">monday_model.lp!$EDG$99</definedName>
    <definedName name="Constraint_93_RHS" localSheetId="0" hidden="1">monday_model.lp!$EDI$99</definedName>
    <definedName name="Constraint_93_Sense" localSheetId="0" hidden="1">monday_model.lp!$EDH$99</definedName>
    <definedName name="Constraint_930" localSheetId="0" hidden="1">monday_model.lp!$C$936:$EDE$936</definedName>
    <definedName name="Constraint_930_LHS" localSheetId="0" hidden="1">monday_model.lp!$EDG$936</definedName>
    <definedName name="Constraint_930_RHS" localSheetId="0" hidden="1">monday_model.lp!$EDI$936</definedName>
    <definedName name="Constraint_930_Sense" localSheetId="0" hidden="1">monday_model.lp!$EDH$936</definedName>
    <definedName name="Constraint_931" localSheetId="0" hidden="1">monday_model.lp!$C$937:$EDE$937</definedName>
    <definedName name="Constraint_931_LHS" localSheetId="0" hidden="1">monday_model.lp!$EDG$937</definedName>
    <definedName name="Constraint_931_RHS" localSheetId="0" hidden="1">monday_model.lp!$EDI$937</definedName>
    <definedName name="Constraint_931_Sense" localSheetId="0" hidden="1">monday_model.lp!$EDH$937</definedName>
    <definedName name="Constraint_932" localSheetId="0" hidden="1">monday_model.lp!$C$938:$EDE$938</definedName>
    <definedName name="Constraint_932_LHS" localSheetId="0" hidden="1">monday_model.lp!$EDG$938</definedName>
    <definedName name="Constraint_932_RHS" localSheetId="0" hidden="1">monday_model.lp!$EDI$938</definedName>
    <definedName name="Constraint_932_Sense" localSheetId="0" hidden="1">monday_model.lp!$EDH$938</definedName>
    <definedName name="Constraint_933" localSheetId="0" hidden="1">monday_model.lp!$C$939:$EDE$939</definedName>
    <definedName name="Constraint_933_LHS" localSheetId="0" hidden="1">monday_model.lp!$EDG$939</definedName>
    <definedName name="Constraint_933_RHS" localSheetId="0" hidden="1">monday_model.lp!$EDI$939</definedName>
    <definedName name="Constraint_933_Sense" localSheetId="0" hidden="1">monday_model.lp!$EDH$939</definedName>
    <definedName name="Constraint_934" localSheetId="0" hidden="1">monday_model.lp!$C$940:$EDE$940</definedName>
    <definedName name="Constraint_934_LHS" localSheetId="0" hidden="1">monday_model.lp!$EDG$940</definedName>
    <definedName name="Constraint_934_RHS" localSheetId="0" hidden="1">monday_model.lp!$EDI$940</definedName>
    <definedName name="Constraint_934_Sense" localSheetId="0" hidden="1">monday_model.lp!$EDH$940</definedName>
    <definedName name="Constraint_935" localSheetId="0" hidden="1">monday_model.lp!$C$941:$EDE$941</definedName>
    <definedName name="Constraint_935_LHS" localSheetId="0" hidden="1">monday_model.lp!$EDG$941</definedName>
    <definedName name="Constraint_935_RHS" localSheetId="0" hidden="1">monday_model.lp!$EDI$941</definedName>
    <definedName name="Constraint_935_Sense" localSheetId="0" hidden="1">monday_model.lp!$EDH$941</definedName>
    <definedName name="Constraint_936" localSheetId="0" hidden="1">monday_model.lp!$C$942:$EDE$942</definedName>
    <definedName name="Constraint_936_LHS" localSheetId="0" hidden="1">monday_model.lp!$EDG$942</definedName>
    <definedName name="Constraint_936_RHS" localSheetId="0" hidden="1">monday_model.lp!$EDI$942</definedName>
    <definedName name="Constraint_936_Sense" localSheetId="0" hidden="1">monday_model.lp!$EDH$942</definedName>
    <definedName name="Constraint_937" localSheetId="0" hidden="1">monday_model.lp!$C$943:$EDE$943</definedName>
    <definedName name="Constraint_937_LHS" localSheetId="0" hidden="1">monday_model.lp!$EDG$943</definedName>
    <definedName name="Constraint_937_RHS" localSheetId="0" hidden="1">monday_model.lp!$EDI$943</definedName>
    <definedName name="Constraint_937_Sense" localSheetId="0" hidden="1">monday_model.lp!$EDH$943</definedName>
    <definedName name="Constraint_938" localSheetId="0" hidden="1">monday_model.lp!$C$944:$EDE$944</definedName>
    <definedName name="Constraint_938_LHS" localSheetId="0" hidden="1">monday_model.lp!$EDG$944</definedName>
    <definedName name="Constraint_938_RHS" localSheetId="0" hidden="1">monday_model.lp!$EDI$944</definedName>
    <definedName name="Constraint_938_Sense" localSheetId="0" hidden="1">monday_model.lp!$EDH$944</definedName>
    <definedName name="Constraint_939" localSheetId="0" hidden="1">monday_model.lp!$C$945:$EDE$945</definedName>
    <definedName name="Constraint_939_LHS" localSheetId="0" hidden="1">monday_model.lp!$EDG$945</definedName>
    <definedName name="Constraint_939_RHS" localSheetId="0" hidden="1">monday_model.lp!$EDI$945</definedName>
    <definedName name="Constraint_939_Sense" localSheetId="0" hidden="1">monday_model.lp!$EDH$945</definedName>
    <definedName name="Constraint_94" localSheetId="0" hidden="1">monday_model.lp!$C$100:$EDE$100</definedName>
    <definedName name="Constraint_94_LHS" localSheetId="0" hidden="1">monday_model.lp!$EDG$100</definedName>
    <definedName name="Constraint_94_RHS" localSheetId="0" hidden="1">monday_model.lp!$EDI$100</definedName>
    <definedName name="Constraint_94_Sense" localSheetId="0" hidden="1">monday_model.lp!$EDH$100</definedName>
    <definedName name="Constraint_940" localSheetId="0" hidden="1">monday_model.lp!$C$946:$EDE$946</definedName>
    <definedName name="Constraint_940_LHS" localSheetId="0" hidden="1">monday_model.lp!$EDG$946</definedName>
    <definedName name="Constraint_940_RHS" localSheetId="0" hidden="1">monday_model.lp!$EDI$946</definedName>
    <definedName name="Constraint_940_Sense" localSheetId="0" hidden="1">monday_model.lp!$EDH$946</definedName>
    <definedName name="Constraint_941" localSheetId="0" hidden="1">monday_model.lp!$C$947:$EDE$947</definedName>
    <definedName name="Constraint_941_LHS" localSheetId="0" hidden="1">monday_model.lp!$EDG$947</definedName>
    <definedName name="Constraint_941_RHS" localSheetId="0" hidden="1">monday_model.lp!$EDI$947</definedName>
    <definedName name="Constraint_941_Sense" localSheetId="0" hidden="1">monday_model.lp!$EDH$947</definedName>
    <definedName name="Constraint_942" localSheetId="0" hidden="1">monday_model.lp!$C$948:$EDE$948</definedName>
    <definedName name="Constraint_942_LHS" localSheetId="0" hidden="1">monday_model.lp!$EDG$948</definedName>
    <definedName name="Constraint_942_RHS" localSheetId="0" hidden="1">monday_model.lp!$EDI$948</definedName>
    <definedName name="Constraint_942_Sense" localSheetId="0" hidden="1">monday_model.lp!$EDH$948</definedName>
    <definedName name="Constraint_943" localSheetId="0" hidden="1">monday_model.lp!$C$949:$EDE$949</definedName>
    <definedName name="Constraint_943_LHS" localSheetId="0" hidden="1">monday_model.lp!$EDG$949</definedName>
    <definedName name="Constraint_943_RHS" localSheetId="0" hidden="1">monday_model.lp!$EDI$949</definedName>
    <definedName name="Constraint_943_Sense" localSheetId="0" hidden="1">monday_model.lp!$EDH$949</definedName>
    <definedName name="Constraint_944" localSheetId="0" hidden="1">monday_model.lp!$C$950:$EDE$950</definedName>
    <definedName name="Constraint_944_LHS" localSheetId="0" hidden="1">monday_model.lp!$EDG$950</definedName>
    <definedName name="Constraint_944_RHS" localSheetId="0" hidden="1">monday_model.lp!$EDI$950</definedName>
    <definedName name="Constraint_944_Sense" localSheetId="0" hidden="1">monday_model.lp!$EDH$950</definedName>
    <definedName name="Constraint_945" localSheetId="0" hidden="1">monday_model.lp!$C$951:$EDE$951</definedName>
    <definedName name="Constraint_945_LHS" localSheetId="0" hidden="1">monday_model.lp!$EDG$951</definedName>
    <definedName name="Constraint_945_RHS" localSheetId="0" hidden="1">monday_model.lp!$EDI$951</definedName>
    <definedName name="Constraint_945_Sense" localSheetId="0" hidden="1">monday_model.lp!$EDH$951</definedName>
    <definedName name="Constraint_946" localSheetId="0" hidden="1">monday_model.lp!$C$952:$EDE$952</definedName>
    <definedName name="Constraint_946_LHS" localSheetId="0" hidden="1">monday_model.lp!$EDG$952</definedName>
    <definedName name="Constraint_946_RHS" localSheetId="0" hidden="1">monday_model.lp!$EDI$952</definedName>
    <definedName name="Constraint_946_Sense" localSheetId="0" hidden="1">monday_model.lp!$EDH$952</definedName>
    <definedName name="Constraint_947" localSheetId="0" hidden="1">monday_model.lp!$C$953:$EDE$953</definedName>
    <definedName name="Constraint_947_LHS" localSheetId="0" hidden="1">monday_model.lp!$EDG$953</definedName>
    <definedName name="Constraint_947_RHS" localSheetId="0" hidden="1">monday_model.lp!$EDI$953</definedName>
    <definedName name="Constraint_947_Sense" localSheetId="0" hidden="1">monday_model.lp!$EDH$953</definedName>
    <definedName name="Constraint_948" localSheetId="0" hidden="1">monday_model.lp!$C$954:$EDE$954</definedName>
    <definedName name="Constraint_948_LHS" localSheetId="0" hidden="1">monday_model.lp!$EDG$954</definedName>
    <definedName name="Constraint_948_RHS" localSheetId="0" hidden="1">monday_model.lp!$EDI$954</definedName>
    <definedName name="Constraint_948_Sense" localSheetId="0" hidden="1">monday_model.lp!$EDH$954</definedName>
    <definedName name="Constraint_949" localSheetId="0" hidden="1">monday_model.lp!$C$955:$EDE$955</definedName>
    <definedName name="Constraint_949_LHS" localSheetId="0" hidden="1">monday_model.lp!$EDG$955</definedName>
    <definedName name="Constraint_949_RHS" localSheetId="0" hidden="1">monday_model.lp!$EDI$955</definedName>
    <definedName name="Constraint_949_Sense" localSheetId="0" hidden="1">monday_model.lp!$EDH$955</definedName>
    <definedName name="Constraint_95" localSheetId="0" hidden="1">monday_model.lp!$C$101:$EDE$101</definedName>
    <definedName name="Constraint_95_LHS" localSheetId="0" hidden="1">monday_model.lp!$EDG$101</definedName>
    <definedName name="Constraint_95_RHS" localSheetId="0" hidden="1">monday_model.lp!$EDI$101</definedName>
    <definedName name="Constraint_95_Sense" localSheetId="0" hidden="1">monday_model.lp!$EDH$101</definedName>
    <definedName name="Constraint_950" localSheetId="0" hidden="1">monday_model.lp!$C$956:$EDE$956</definedName>
    <definedName name="Constraint_950_LHS" localSheetId="0" hidden="1">monday_model.lp!$EDG$956</definedName>
    <definedName name="Constraint_950_RHS" localSheetId="0" hidden="1">monday_model.lp!$EDI$956</definedName>
    <definedName name="Constraint_950_Sense" localSheetId="0" hidden="1">monday_model.lp!$EDH$956</definedName>
    <definedName name="Constraint_951" localSheetId="0" hidden="1">monday_model.lp!$C$957:$EDE$957</definedName>
    <definedName name="Constraint_951_LHS" localSheetId="0" hidden="1">monday_model.lp!$EDG$957</definedName>
    <definedName name="Constraint_951_RHS" localSheetId="0" hidden="1">monday_model.lp!$EDI$957</definedName>
    <definedName name="Constraint_951_Sense" localSheetId="0" hidden="1">monday_model.lp!$EDH$957</definedName>
    <definedName name="Constraint_952" localSheetId="0" hidden="1">monday_model.lp!$C$958:$EDE$958</definedName>
    <definedName name="Constraint_952_LHS" localSheetId="0" hidden="1">monday_model.lp!$EDG$958</definedName>
    <definedName name="Constraint_952_RHS" localSheetId="0" hidden="1">monday_model.lp!$EDI$958</definedName>
    <definedName name="Constraint_952_Sense" localSheetId="0" hidden="1">monday_model.lp!$EDH$958</definedName>
    <definedName name="Constraint_953" localSheetId="0" hidden="1">monday_model.lp!$C$959:$EDE$959</definedName>
    <definedName name="Constraint_953_LHS" localSheetId="0" hidden="1">monday_model.lp!$EDG$959</definedName>
    <definedName name="Constraint_953_RHS" localSheetId="0" hidden="1">monday_model.lp!$EDI$959</definedName>
    <definedName name="Constraint_953_Sense" localSheetId="0" hidden="1">monday_model.lp!$EDH$959</definedName>
    <definedName name="Constraint_954" localSheetId="0" hidden="1">monday_model.lp!$C$960:$EDE$960</definedName>
    <definedName name="Constraint_954_LHS" localSheetId="0" hidden="1">monday_model.lp!$EDG$960</definedName>
    <definedName name="Constraint_954_RHS" localSheetId="0" hidden="1">monday_model.lp!$EDI$960</definedName>
    <definedName name="Constraint_954_Sense" localSheetId="0" hidden="1">monday_model.lp!$EDH$960</definedName>
    <definedName name="Constraint_955" localSheetId="0" hidden="1">monday_model.lp!$C$961:$EDE$961</definedName>
    <definedName name="Constraint_955_LHS" localSheetId="0" hidden="1">monday_model.lp!$EDG$961</definedName>
    <definedName name="Constraint_955_RHS" localSheetId="0" hidden="1">monday_model.lp!$EDI$961</definedName>
    <definedName name="Constraint_955_Sense" localSheetId="0" hidden="1">monday_model.lp!$EDH$961</definedName>
    <definedName name="Constraint_956" localSheetId="0" hidden="1">monday_model.lp!$C$962:$EDE$962</definedName>
    <definedName name="Constraint_956_LHS" localSheetId="0" hidden="1">monday_model.lp!$EDG$962</definedName>
    <definedName name="Constraint_956_RHS" localSheetId="0" hidden="1">monday_model.lp!$EDI$962</definedName>
    <definedName name="Constraint_956_Sense" localSheetId="0" hidden="1">monday_model.lp!$EDH$962</definedName>
    <definedName name="Constraint_957" localSheetId="0" hidden="1">monday_model.lp!$C$963:$EDE$963</definedName>
    <definedName name="Constraint_957_LHS" localSheetId="0" hidden="1">monday_model.lp!$EDG$963</definedName>
    <definedName name="Constraint_957_RHS" localSheetId="0" hidden="1">monday_model.lp!$EDI$963</definedName>
    <definedName name="Constraint_957_Sense" localSheetId="0" hidden="1">monday_model.lp!$EDH$963</definedName>
    <definedName name="Constraint_958" localSheetId="0" hidden="1">monday_model.lp!$C$964:$EDE$964</definedName>
    <definedName name="Constraint_958_LHS" localSheetId="0" hidden="1">monday_model.lp!$EDG$964</definedName>
    <definedName name="Constraint_958_RHS" localSheetId="0" hidden="1">monday_model.lp!$EDI$964</definedName>
    <definedName name="Constraint_958_Sense" localSheetId="0" hidden="1">monday_model.lp!$EDH$964</definedName>
    <definedName name="Constraint_959" localSheetId="0" hidden="1">monday_model.lp!$C$965:$EDE$965</definedName>
    <definedName name="Constraint_959_LHS" localSheetId="0" hidden="1">monday_model.lp!$EDG$965</definedName>
    <definedName name="Constraint_959_RHS" localSheetId="0" hidden="1">monday_model.lp!$EDI$965</definedName>
    <definedName name="Constraint_959_Sense" localSheetId="0" hidden="1">monday_model.lp!$EDH$965</definedName>
    <definedName name="Constraint_96" localSheetId="0" hidden="1">monday_model.lp!$C$102:$EDE$102</definedName>
    <definedName name="Constraint_96_LHS" localSheetId="0" hidden="1">monday_model.lp!$EDG$102</definedName>
    <definedName name="Constraint_96_RHS" localSheetId="0" hidden="1">monday_model.lp!$EDI$102</definedName>
    <definedName name="Constraint_96_Sense" localSheetId="0" hidden="1">monday_model.lp!$EDH$102</definedName>
    <definedName name="Constraint_960" localSheetId="0" hidden="1">monday_model.lp!$C$966:$EDE$966</definedName>
    <definedName name="Constraint_960_LHS" localSheetId="0" hidden="1">monday_model.lp!$EDG$966</definedName>
    <definedName name="Constraint_960_RHS" localSheetId="0" hidden="1">monday_model.lp!$EDI$966</definedName>
    <definedName name="Constraint_960_Sense" localSheetId="0" hidden="1">monday_model.lp!$EDH$966</definedName>
    <definedName name="Constraint_961" localSheetId="0" hidden="1">monday_model.lp!$C$967:$EDE$967</definedName>
    <definedName name="Constraint_961_LHS" localSheetId="0" hidden="1">monday_model.lp!$EDG$967</definedName>
    <definedName name="Constraint_961_RHS" localSheetId="0" hidden="1">monday_model.lp!$EDI$967</definedName>
    <definedName name="Constraint_961_Sense" localSheetId="0" hidden="1">monday_model.lp!$EDH$967</definedName>
    <definedName name="Constraint_962" localSheetId="0" hidden="1">monday_model.lp!$C$968:$EDE$968</definedName>
    <definedName name="Constraint_962_LHS" localSheetId="0" hidden="1">monday_model.lp!$EDG$968</definedName>
    <definedName name="Constraint_962_RHS" localSheetId="0" hidden="1">monday_model.lp!$EDI$968</definedName>
    <definedName name="Constraint_962_Sense" localSheetId="0" hidden="1">monday_model.lp!$EDH$968</definedName>
    <definedName name="Constraint_963" localSheetId="0" hidden="1">monday_model.lp!$C$969:$EDE$969</definedName>
    <definedName name="Constraint_963_LHS" localSheetId="0" hidden="1">monday_model.lp!$EDG$969</definedName>
    <definedName name="Constraint_963_RHS" localSheetId="0" hidden="1">monday_model.lp!$EDI$969</definedName>
    <definedName name="Constraint_963_Sense" localSheetId="0" hidden="1">monday_model.lp!$EDH$969</definedName>
    <definedName name="Constraint_964" localSheetId="0" hidden="1">monday_model.lp!$C$970:$EDE$970</definedName>
    <definedName name="Constraint_964_LHS" localSheetId="0" hidden="1">monday_model.lp!$EDG$970</definedName>
    <definedName name="Constraint_964_RHS" localSheetId="0" hidden="1">monday_model.lp!$EDI$970</definedName>
    <definedName name="Constraint_964_Sense" localSheetId="0" hidden="1">monday_model.lp!$EDH$970</definedName>
    <definedName name="Constraint_965" localSheetId="0" hidden="1">monday_model.lp!$C$971:$EDE$971</definedName>
    <definedName name="Constraint_965_LHS" localSheetId="0" hidden="1">monday_model.lp!$EDG$971</definedName>
    <definedName name="Constraint_965_RHS" localSheetId="0" hidden="1">monday_model.lp!$EDI$971</definedName>
    <definedName name="Constraint_965_Sense" localSheetId="0" hidden="1">monday_model.lp!$EDH$971</definedName>
    <definedName name="Constraint_966" localSheetId="0" hidden="1">monday_model.lp!$C$972:$EDE$972</definedName>
    <definedName name="Constraint_966_LHS" localSheetId="0" hidden="1">monday_model.lp!$EDG$972</definedName>
    <definedName name="Constraint_966_RHS" localSheetId="0" hidden="1">monday_model.lp!$EDI$972</definedName>
    <definedName name="Constraint_966_Sense" localSheetId="0" hidden="1">monday_model.lp!$EDH$972</definedName>
    <definedName name="Constraint_967" localSheetId="0" hidden="1">monday_model.lp!$C$973:$EDE$973</definedName>
    <definedName name="Constraint_967_LHS" localSheetId="0" hidden="1">monday_model.lp!$EDG$973</definedName>
    <definedName name="Constraint_967_RHS" localSheetId="0" hidden="1">monday_model.lp!$EDI$973</definedName>
    <definedName name="Constraint_967_Sense" localSheetId="0" hidden="1">monday_model.lp!$EDH$973</definedName>
    <definedName name="Constraint_968" localSheetId="0" hidden="1">monday_model.lp!$C$974:$EDE$974</definedName>
    <definedName name="Constraint_968_LHS" localSheetId="0" hidden="1">monday_model.lp!$EDG$974</definedName>
    <definedName name="Constraint_968_RHS" localSheetId="0" hidden="1">monday_model.lp!$EDI$974</definedName>
    <definedName name="Constraint_968_Sense" localSheetId="0" hidden="1">monday_model.lp!$EDH$974</definedName>
    <definedName name="Constraint_969" localSheetId="0" hidden="1">monday_model.lp!$C$975:$EDE$975</definedName>
    <definedName name="Constraint_969_LHS" localSheetId="0" hidden="1">monday_model.lp!$EDG$975</definedName>
    <definedName name="Constraint_969_RHS" localSheetId="0" hidden="1">monday_model.lp!$EDI$975</definedName>
    <definedName name="Constraint_969_Sense" localSheetId="0" hidden="1">monday_model.lp!$EDH$975</definedName>
    <definedName name="Constraint_97" localSheetId="0" hidden="1">monday_model.lp!$C$103:$EDE$103</definedName>
    <definedName name="Constraint_97_LHS" localSheetId="0" hidden="1">monday_model.lp!$EDG$103</definedName>
    <definedName name="Constraint_97_RHS" localSheetId="0" hidden="1">monday_model.lp!$EDI$103</definedName>
    <definedName name="Constraint_97_Sense" localSheetId="0" hidden="1">monday_model.lp!$EDH$103</definedName>
    <definedName name="Constraint_970" localSheetId="0" hidden="1">monday_model.lp!$C$976:$EDE$976</definedName>
    <definedName name="Constraint_970_LHS" localSheetId="0" hidden="1">monday_model.lp!$EDG$976</definedName>
    <definedName name="Constraint_970_RHS" localSheetId="0" hidden="1">monday_model.lp!$EDI$976</definedName>
    <definedName name="Constraint_970_Sense" localSheetId="0" hidden="1">monday_model.lp!$EDH$976</definedName>
    <definedName name="Constraint_971" localSheetId="0" hidden="1">monday_model.lp!$C$977:$EDE$977</definedName>
    <definedName name="Constraint_971_LHS" localSheetId="0" hidden="1">monday_model.lp!$EDG$977</definedName>
    <definedName name="Constraint_971_RHS" localSheetId="0" hidden="1">monday_model.lp!$EDI$977</definedName>
    <definedName name="Constraint_971_Sense" localSheetId="0" hidden="1">monday_model.lp!$EDH$977</definedName>
    <definedName name="Constraint_972" localSheetId="0" hidden="1">monday_model.lp!$C$978:$EDE$978</definedName>
    <definedName name="Constraint_972_LHS" localSheetId="0" hidden="1">monday_model.lp!$EDG$978</definedName>
    <definedName name="Constraint_972_RHS" localSheetId="0" hidden="1">monday_model.lp!$EDI$978</definedName>
    <definedName name="Constraint_972_Sense" localSheetId="0" hidden="1">monday_model.lp!$EDH$978</definedName>
    <definedName name="Constraint_973" localSheetId="0" hidden="1">monday_model.lp!$C$979:$EDE$979</definedName>
    <definedName name="Constraint_973_LHS" localSheetId="0" hidden="1">monday_model.lp!$EDG$979</definedName>
    <definedName name="Constraint_973_RHS" localSheetId="0" hidden="1">monday_model.lp!$EDI$979</definedName>
    <definedName name="Constraint_973_Sense" localSheetId="0" hidden="1">monday_model.lp!$EDH$979</definedName>
    <definedName name="Constraint_974" localSheetId="0" hidden="1">monday_model.lp!$C$980:$EDE$980</definedName>
    <definedName name="Constraint_974_LHS" localSheetId="0" hidden="1">monday_model.lp!$EDG$980</definedName>
    <definedName name="Constraint_974_RHS" localSheetId="0" hidden="1">monday_model.lp!$EDI$980</definedName>
    <definedName name="Constraint_974_Sense" localSheetId="0" hidden="1">monday_model.lp!$EDH$980</definedName>
    <definedName name="Constraint_975" localSheetId="0" hidden="1">monday_model.lp!$C$981:$EDE$981</definedName>
    <definedName name="Constraint_975_LHS" localSheetId="0" hidden="1">monday_model.lp!$EDG$981</definedName>
    <definedName name="Constraint_975_RHS" localSheetId="0" hidden="1">monday_model.lp!$EDI$981</definedName>
    <definedName name="Constraint_975_Sense" localSheetId="0" hidden="1">monday_model.lp!$EDH$981</definedName>
    <definedName name="Constraint_976" localSheetId="0" hidden="1">monday_model.lp!$C$982:$EDE$982</definedName>
    <definedName name="Constraint_976_LHS" localSheetId="0" hidden="1">monday_model.lp!$EDG$982</definedName>
    <definedName name="Constraint_976_RHS" localSheetId="0" hidden="1">monday_model.lp!$EDI$982</definedName>
    <definedName name="Constraint_976_Sense" localSheetId="0" hidden="1">monday_model.lp!$EDH$982</definedName>
    <definedName name="Constraint_977" localSheetId="0" hidden="1">monday_model.lp!$C$983:$EDE$983</definedName>
    <definedName name="Constraint_977_LHS" localSheetId="0" hidden="1">monday_model.lp!$EDG$983</definedName>
    <definedName name="Constraint_977_RHS" localSheetId="0" hidden="1">monday_model.lp!$EDI$983</definedName>
    <definedName name="Constraint_977_Sense" localSheetId="0" hidden="1">monday_model.lp!$EDH$983</definedName>
    <definedName name="Constraint_978" localSheetId="0" hidden="1">monday_model.lp!$C$984:$EDE$984</definedName>
    <definedName name="Constraint_978_LHS" localSheetId="0" hidden="1">monday_model.lp!$EDG$984</definedName>
    <definedName name="Constraint_978_RHS" localSheetId="0" hidden="1">monday_model.lp!$EDI$984</definedName>
    <definedName name="Constraint_978_Sense" localSheetId="0" hidden="1">monday_model.lp!$EDH$984</definedName>
    <definedName name="Constraint_979" localSheetId="0" hidden="1">monday_model.lp!$C$985:$EDE$985</definedName>
    <definedName name="Constraint_979_LHS" localSheetId="0" hidden="1">monday_model.lp!$EDG$985</definedName>
    <definedName name="Constraint_979_RHS" localSheetId="0" hidden="1">monday_model.lp!$EDI$985</definedName>
    <definedName name="Constraint_979_Sense" localSheetId="0" hidden="1">monday_model.lp!$EDH$985</definedName>
    <definedName name="Constraint_98" localSheetId="0" hidden="1">monday_model.lp!$C$104:$EDE$104</definedName>
    <definedName name="Constraint_98_LHS" localSheetId="0" hidden="1">monday_model.lp!$EDG$104</definedName>
    <definedName name="Constraint_98_RHS" localSheetId="0" hidden="1">monday_model.lp!$EDI$104</definedName>
    <definedName name="Constraint_98_Sense" localSheetId="0" hidden="1">monday_model.lp!$EDH$104</definedName>
    <definedName name="Constraint_980" localSheetId="0" hidden="1">monday_model.lp!$C$986:$EDE$986</definedName>
    <definedName name="Constraint_980_LHS" localSheetId="0" hidden="1">monday_model.lp!$EDG$986</definedName>
    <definedName name="Constraint_980_RHS" localSheetId="0" hidden="1">monday_model.lp!$EDI$986</definedName>
    <definedName name="Constraint_980_Sense" localSheetId="0" hidden="1">monday_model.lp!$EDH$986</definedName>
    <definedName name="Constraint_981" localSheetId="0" hidden="1">monday_model.lp!$C$987:$EDE$987</definedName>
    <definedName name="Constraint_981_LHS" localSheetId="0" hidden="1">monday_model.lp!$EDG$987</definedName>
    <definedName name="Constraint_981_RHS" localSheetId="0" hidden="1">monday_model.lp!$EDI$987</definedName>
    <definedName name="Constraint_981_Sense" localSheetId="0" hidden="1">monday_model.lp!$EDH$987</definedName>
    <definedName name="Constraint_982" localSheetId="0" hidden="1">monday_model.lp!$C$988:$EDE$988</definedName>
    <definedName name="Constraint_982_LHS" localSheetId="0" hidden="1">monday_model.lp!$EDG$988</definedName>
    <definedName name="Constraint_982_RHS" localSheetId="0" hidden="1">monday_model.lp!$EDI$988</definedName>
    <definedName name="Constraint_982_Sense" localSheetId="0" hidden="1">monday_model.lp!$EDH$988</definedName>
    <definedName name="Constraint_983" localSheetId="0" hidden="1">monday_model.lp!$C$989:$EDE$989</definedName>
    <definedName name="Constraint_983_LHS" localSheetId="0" hidden="1">monday_model.lp!$EDG$989</definedName>
    <definedName name="Constraint_983_RHS" localSheetId="0" hidden="1">monday_model.lp!$EDI$989</definedName>
    <definedName name="Constraint_983_Sense" localSheetId="0" hidden="1">monday_model.lp!$EDH$989</definedName>
    <definedName name="Constraint_984" localSheetId="0" hidden="1">monday_model.lp!$C$990:$EDE$990</definedName>
    <definedName name="Constraint_984_LHS" localSheetId="0" hidden="1">monday_model.lp!$EDG$990</definedName>
    <definedName name="Constraint_984_RHS" localSheetId="0" hidden="1">monday_model.lp!$EDI$990</definedName>
    <definedName name="Constraint_984_Sense" localSheetId="0" hidden="1">monday_model.lp!$EDH$990</definedName>
    <definedName name="Constraint_985" localSheetId="0" hidden="1">monday_model.lp!$C$991:$EDE$991</definedName>
    <definedName name="Constraint_985_LHS" localSheetId="0" hidden="1">monday_model.lp!$EDG$991</definedName>
    <definedName name="Constraint_985_RHS" localSheetId="0" hidden="1">monday_model.lp!$EDI$991</definedName>
    <definedName name="Constraint_985_Sense" localSheetId="0" hidden="1">monday_model.lp!$EDH$991</definedName>
    <definedName name="Constraint_986" localSheetId="0" hidden="1">monday_model.lp!$C$992:$EDE$992</definedName>
    <definedName name="Constraint_986_LHS" localSheetId="0" hidden="1">monday_model.lp!$EDG$992</definedName>
    <definedName name="Constraint_986_RHS" localSheetId="0" hidden="1">monday_model.lp!$EDI$992</definedName>
    <definedName name="Constraint_986_Sense" localSheetId="0" hidden="1">monday_model.lp!$EDH$992</definedName>
    <definedName name="Constraint_987" localSheetId="0" hidden="1">monday_model.lp!$C$993:$EDE$993</definedName>
    <definedName name="Constraint_987_LHS" localSheetId="0" hidden="1">monday_model.lp!$EDG$993</definedName>
    <definedName name="Constraint_987_RHS" localSheetId="0" hidden="1">monday_model.lp!$EDI$993</definedName>
    <definedName name="Constraint_987_Sense" localSheetId="0" hidden="1">monday_model.lp!$EDH$993</definedName>
    <definedName name="Constraint_988" localSheetId="0" hidden="1">monday_model.lp!$C$994:$EDE$994</definedName>
    <definedName name="Constraint_988_LHS" localSheetId="0" hidden="1">monday_model.lp!$EDG$994</definedName>
    <definedName name="Constraint_988_RHS" localSheetId="0" hidden="1">monday_model.lp!$EDI$994</definedName>
    <definedName name="Constraint_988_Sense" localSheetId="0" hidden="1">monday_model.lp!$EDH$994</definedName>
    <definedName name="Constraint_989" localSheetId="0" hidden="1">monday_model.lp!$C$995:$EDE$995</definedName>
    <definedName name="Constraint_989_LHS" localSheetId="0" hidden="1">monday_model.lp!$EDG$995</definedName>
    <definedName name="Constraint_989_RHS" localSheetId="0" hidden="1">monday_model.lp!$EDI$995</definedName>
    <definedName name="Constraint_989_Sense" localSheetId="0" hidden="1">monday_model.lp!$EDH$995</definedName>
    <definedName name="Constraint_99" localSheetId="0" hidden="1">monday_model.lp!$C$105:$EDE$105</definedName>
    <definedName name="Constraint_99_LHS" localSheetId="0" hidden="1">monday_model.lp!$EDG$105</definedName>
    <definedName name="Constraint_99_RHS" localSheetId="0" hidden="1">monday_model.lp!$EDI$105</definedName>
    <definedName name="Constraint_99_Sense" localSheetId="0" hidden="1">monday_model.lp!$EDH$105</definedName>
    <definedName name="Constraint_990" localSheetId="0" hidden="1">monday_model.lp!$C$996:$EDE$996</definedName>
    <definedName name="Constraint_990_LHS" localSheetId="0" hidden="1">monday_model.lp!$EDG$996</definedName>
    <definedName name="Constraint_990_RHS" localSheetId="0" hidden="1">monday_model.lp!$EDI$996</definedName>
    <definedName name="Constraint_990_Sense" localSheetId="0" hidden="1">monday_model.lp!$EDH$996</definedName>
    <definedName name="Constraint_991" localSheetId="0" hidden="1">monday_model.lp!$C$997:$EDE$997</definedName>
    <definedName name="Constraint_991_LHS" localSheetId="0" hidden="1">monday_model.lp!$EDG$997</definedName>
    <definedName name="Constraint_991_RHS" localSheetId="0" hidden="1">monday_model.lp!$EDI$997</definedName>
    <definedName name="Constraint_991_Sense" localSheetId="0" hidden="1">monday_model.lp!$EDH$997</definedName>
    <definedName name="Constraint_992" localSheetId="0" hidden="1">monday_model.lp!$C$998:$EDE$998</definedName>
    <definedName name="Constraint_992_LHS" localSheetId="0" hidden="1">monday_model.lp!$EDG$998</definedName>
    <definedName name="Constraint_992_RHS" localSheetId="0" hidden="1">monday_model.lp!$EDI$998</definedName>
    <definedName name="Constraint_992_Sense" localSheetId="0" hidden="1">monday_model.lp!$EDH$998</definedName>
    <definedName name="Constraint_993" localSheetId="0" hidden="1">monday_model.lp!$C$999:$EDE$999</definedName>
    <definedName name="Constraint_993_LHS" localSheetId="0" hidden="1">monday_model.lp!$EDG$999</definedName>
    <definedName name="Constraint_993_RHS" localSheetId="0" hidden="1">monday_model.lp!$EDI$999</definedName>
    <definedName name="Constraint_993_Sense" localSheetId="0" hidden="1">monday_model.lp!$EDH$999</definedName>
    <definedName name="Constraint_994" localSheetId="0" hidden="1">monday_model.lp!$C$1000:$EDE$1000</definedName>
    <definedName name="Constraint_994_LHS" localSheetId="0" hidden="1">monday_model.lp!$EDG$1000</definedName>
    <definedName name="Constraint_994_RHS" localSheetId="0" hidden="1">monday_model.lp!$EDI$1000</definedName>
    <definedName name="Constraint_994_Sense" localSheetId="0" hidden="1">monday_model.lp!$EDH$1000</definedName>
    <definedName name="Constraint_995" localSheetId="0" hidden="1">monday_model.lp!$C$1001:$EDE$1001</definedName>
    <definedName name="Constraint_995_LHS" localSheetId="0" hidden="1">monday_model.lp!$EDG$1001</definedName>
    <definedName name="Constraint_995_RHS" localSheetId="0" hidden="1">monday_model.lp!$EDI$1001</definedName>
    <definedName name="Constraint_995_Sense" localSheetId="0" hidden="1">monday_model.lp!$EDH$1001</definedName>
    <definedName name="Constraint_996" localSheetId="0" hidden="1">monday_model.lp!$C$1002:$EDE$1002</definedName>
    <definedName name="Constraint_996_LHS" localSheetId="0" hidden="1">monday_model.lp!$EDG$1002</definedName>
    <definedName name="Constraint_996_RHS" localSheetId="0" hidden="1">monday_model.lp!$EDI$1002</definedName>
    <definedName name="Constraint_996_Sense" localSheetId="0" hidden="1">monday_model.lp!$EDH$1002</definedName>
    <definedName name="Constraint_997" localSheetId="0" hidden="1">monday_model.lp!$C$1003:$EDE$1003</definedName>
    <definedName name="Constraint_997_LHS" localSheetId="0" hidden="1">monday_model.lp!$EDG$1003</definedName>
    <definedName name="Constraint_997_RHS" localSheetId="0" hidden="1">monday_model.lp!$EDI$1003</definedName>
    <definedName name="Constraint_997_Sense" localSheetId="0" hidden="1">monday_model.lp!$EDH$1003</definedName>
    <definedName name="Constraint_998" localSheetId="0" hidden="1">monday_model.lp!$C$1004:$EDE$1004</definedName>
    <definedName name="Constraint_998_LHS" localSheetId="0" hidden="1">monday_model.lp!$EDG$1004</definedName>
    <definedName name="Constraint_998_RHS" localSheetId="0" hidden="1">monday_model.lp!$EDI$1004</definedName>
    <definedName name="Constraint_998_Sense" localSheetId="0" hidden="1">monday_model.lp!$EDH$1004</definedName>
    <definedName name="Constraint_999" localSheetId="0" hidden="1">monday_model.lp!$C$1005:$EDE$1005</definedName>
    <definedName name="Constraint_999_LHS" localSheetId="0" hidden="1">monday_model.lp!$EDG$1005</definedName>
    <definedName name="Constraint_999_RHS" localSheetId="0" hidden="1">monday_model.lp!$EDI$1005</definedName>
    <definedName name="Constraint_999_Sense" localSheetId="0" hidden="1">monday_model.lp!$EDH$1005</definedName>
    <definedName name="ConstraintBlock_0_LHS" localSheetId="0" hidden="1">monday_model.lp!$EDG$6:$EDG$60</definedName>
    <definedName name="ConstraintBlock_0_RHS" localSheetId="0" hidden="1">monday_model.lp!$EDI$6:$EDI$60</definedName>
    <definedName name="ConstraintBlock_1_LHS" localSheetId="0" hidden="1">monday_model.lp!$EDG$61:$EDG$1778</definedName>
    <definedName name="ConstraintBlock_1_RHS" localSheetId="0" hidden="1">monday_model.lp!$EDI$61:$EDI$1778</definedName>
    <definedName name="ConstraintCalcs" localSheetId="0" hidden="1">monday_model.lp!$EDG$6:$EDI$1778</definedName>
    <definedName name="ConstraintNames" localSheetId="0" hidden="1">monday_model.lp!$B$6:$B$1778</definedName>
    <definedName name="Decision_variables" localSheetId="0" hidden="1">monday_model.lp!$C$2:$EDE$2</definedName>
    <definedName name="Lower_bounds" localSheetId="0" hidden="1">monday_model.lp!$C$1780:$EDE$1780</definedName>
    <definedName name="Objective_coefficients" localSheetId="0" hidden="1">monday_model.lp!$C$4:$EDE$4</definedName>
    <definedName name="Objective_Function" localSheetId="0" hidden="1">monday_model.lp!$EDG$4</definedName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monday_model.lp!$C$2:$EDE$2</definedName>
    <definedName name="solver_itr" localSheetId="0" hidden="1">2147483647</definedName>
    <definedName name="solver_lhs1" localSheetId="0" hidden="1">monday_model.lp!$EDG$6:$EDG$60</definedName>
    <definedName name="solver_lhs10" localSheetId="0" hidden="1">monday_model.lp!$H$2</definedName>
    <definedName name="solver_lhs100" localSheetId="0" hidden="1">monday_model.lp!$CT$2</definedName>
    <definedName name="solver_lhs1000" localSheetId="0" hidden="1">monday_model.lp!$ALJ$2</definedName>
    <definedName name="solver_lhs1001" localSheetId="0" hidden="1">monday_model.lp!$ALK$2</definedName>
    <definedName name="solver_lhs1002" localSheetId="0" hidden="1">monday_model.lp!$ALL$2</definedName>
    <definedName name="solver_lhs1003" localSheetId="0" hidden="1">monday_model.lp!$ALM$2</definedName>
    <definedName name="solver_lhs1004" localSheetId="0" hidden="1">monday_model.lp!$ALN$2</definedName>
    <definedName name="solver_lhs1005" localSheetId="0" hidden="1">monday_model.lp!$ALO$2</definedName>
    <definedName name="solver_lhs1006" localSheetId="0" hidden="1">monday_model.lp!$ALP$2</definedName>
    <definedName name="solver_lhs1007" localSheetId="0" hidden="1">monday_model.lp!$ALQ$2</definedName>
    <definedName name="solver_lhs1008" localSheetId="0" hidden="1">monday_model.lp!$ALR$2</definedName>
    <definedName name="solver_lhs1009" localSheetId="0" hidden="1">monday_model.lp!$ALS$2</definedName>
    <definedName name="solver_lhs101" localSheetId="0" hidden="1">monday_model.lp!$CU$2</definedName>
    <definedName name="solver_lhs1010" localSheetId="0" hidden="1">monday_model.lp!$ALT$2</definedName>
    <definedName name="solver_lhs1011" localSheetId="0" hidden="1">monday_model.lp!$ALU$2</definedName>
    <definedName name="solver_lhs1012" localSheetId="0" hidden="1">monday_model.lp!$ALV$2</definedName>
    <definedName name="solver_lhs1013" localSheetId="0" hidden="1">monday_model.lp!$ALW$2</definedName>
    <definedName name="solver_lhs1014" localSheetId="0" hidden="1">monday_model.lp!$ALX$2</definedName>
    <definedName name="solver_lhs1015" localSheetId="0" hidden="1">monday_model.lp!$ALY$2</definedName>
    <definedName name="solver_lhs1016" localSheetId="0" hidden="1">monday_model.lp!$ALZ$2</definedName>
    <definedName name="solver_lhs1017" localSheetId="0" hidden="1">monday_model.lp!$AMA$2</definedName>
    <definedName name="solver_lhs1018" localSheetId="0" hidden="1">monday_model.lp!$AMB$2</definedName>
    <definedName name="solver_lhs1019" localSheetId="0" hidden="1">monday_model.lp!$AMC$2</definedName>
    <definedName name="solver_lhs102" localSheetId="0" hidden="1">monday_model.lp!$CV$2</definedName>
    <definedName name="solver_lhs1020" localSheetId="0" hidden="1">monday_model.lp!$AMD$2</definedName>
    <definedName name="solver_lhs1021" localSheetId="0" hidden="1">monday_model.lp!$AME$2</definedName>
    <definedName name="solver_lhs1022" localSheetId="0" hidden="1">monday_model.lp!$AMF$2</definedName>
    <definedName name="solver_lhs1023" localSheetId="0" hidden="1">monday_model.lp!$AMG$2</definedName>
    <definedName name="solver_lhs1024" localSheetId="0" hidden="1">monday_model.lp!$AMH$2</definedName>
    <definedName name="solver_lhs1025" localSheetId="0" hidden="1">monday_model.lp!$AMI$2</definedName>
    <definedName name="solver_lhs1026" localSheetId="0" hidden="1">monday_model.lp!$AMJ$2</definedName>
    <definedName name="solver_lhs1027" localSheetId="0" hidden="1">monday_model.lp!$AMK$2</definedName>
    <definedName name="solver_lhs1028" localSheetId="0" hidden="1">monday_model.lp!$AML$2</definedName>
    <definedName name="solver_lhs1029" localSheetId="0" hidden="1">monday_model.lp!$AMM$2</definedName>
    <definedName name="solver_lhs103" localSheetId="0" hidden="1">monday_model.lp!$CW$2</definedName>
    <definedName name="solver_lhs1030" localSheetId="0" hidden="1">monday_model.lp!$AMN$2</definedName>
    <definedName name="solver_lhs1031" localSheetId="0" hidden="1">monday_model.lp!$AMO$2</definedName>
    <definedName name="solver_lhs1032" localSheetId="0" hidden="1">monday_model.lp!$AMP$2</definedName>
    <definedName name="solver_lhs1033" localSheetId="0" hidden="1">monday_model.lp!$AMQ$2</definedName>
    <definedName name="solver_lhs1034" localSheetId="0" hidden="1">monday_model.lp!$AMR$2</definedName>
    <definedName name="solver_lhs1035" localSheetId="0" hidden="1">monday_model.lp!$AMS$2</definedName>
    <definedName name="solver_lhs1036" localSheetId="0" hidden="1">monday_model.lp!$AMT$2</definedName>
    <definedName name="solver_lhs1037" localSheetId="0" hidden="1">monday_model.lp!$AMU$2</definedName>
    <definedName name="solver_lhs1038" localSheetId="0" hidden="1">monday_model.lp!$AMV$2</definedName>
    <definedName name="solver_lhs1039" localSheetId="0" hidden="1">monday_model.lp!$AMW$2</definedName>
    <definedName name="solver_lhs104" localSheetId="0" hidden="1">monday_model.lp!$CX$2</definedName>
    <definedName name="solver_lhs1040" localSheetId="0" hidden="1">monday_model.lp!$AMX$2</definedName>
    <definedName name="solver_lhs1041" localSheetId="0" hidden="1">monday_model.lp!$AMY$2</definedName>
    <definedName name="solver_lhs1042" localSheetId="0" hidden="1">monday_model.lp!$AMZ$2</definedName>
    <definedName name="solver_lhs1043" localSheetId="0" hidden="1">monday_model.lp!$ANA$2</definedName>
    <definedName name="solver_lhs1044" localSheetId="0" hidden="1">monday_model.lp!$ANB$2</definedName>
    <definedName name="solver_lhs1045" localSheetId="0" hidden="1">monday_model.lp!$ANC$2</definedName>
    <definedName name="solver_lhs1046" localSheetId="0" hidden="1">monday_model.lp!$AND$2</definedName>
    <definedName name="solver_lhs1047" localSheetId="0" hidden="1">monday_model.lp!$ANE$2</definedName>
    <definedName name="solver_lhs1048" localSheetId="0" hidden="1">monday_model.lp!$ANF$2</definedName>
    <definedName name="solver_lhs1049" localSheetId="0" hidden="1">monday_model.lp!$ANG$2</definedName>
    <definedName name="solver_lhs105" localSheetId="0" hidden="1">monday_model.lp!$CY$2</definedName>
    <definedName name="solver_lhs1050" localSheetId="0" hidden="1">monday_model.lp!$ANH$2</definedName>
    <definedName name="solver_lhs1051" localSheetId="0" hidden="1">monday_model.lp!$ANI$2</definedName>
    <definedName name="solver_lhs1052" localSheetId="0" hidden="1">monday_model.lp!$ANJ$2</definedName>
    <definedName name="solver_lhs1053" localSheetId="0" hidden="1">monday_model.lp!$ANK$2</definedName>
    <definedName name="solver_lhs1054" localSheetId="0" hidden="1">monday_model.lp!$ANL$2</definedName>
    <definedName name="solver_lhs1055" localSheetId="0" hidden="1">monday_model.lp!$ANM$2</definedName>
    <definedName name="solver_lhs1056" localSheetId="0" hidden="1">monday_model.lp!$ANN$2</definedName>
    <definedName name="solver_lhs1057" localSheetId="0" hidden="1">monday_model.lp!$ANO$2</definedName>
    <definedName name="solver_lhs1058" localSheetId="0" hidden="1">monday_model.lp!$ANP$2</definedName>
    <definedName name="solver_lhs1059" localSheetId="0" hidden="1">monday_model.lp!$ANQ$2</definedName>
    <definedName name="solver_lhs106" localSheetId="0" hidden="1">monday_model.lp!$CZ$2</definedName>
    <definedName name="solver_lhs1060" localSheetId="0" hidden="1">monday_model.lp!$ANR$2</definedName>
    <definedName name="solver_lhs1061" localSheetId="0" hidden="1">monday_model.lp!$ANS$2</definedName>
    <definedName name="solver_lhs1062" localSheetId="0" hidden="1">monday_model.lp!$ANT$2</definedName>
    <definedName name="solver_lhs1063" localSheetId="0" hidden="1">monday_model.lp!$ANU$2</definedName>
    <definedName name="solver_lhs1064" localSheetId="0" hidden="1">monday_model.lp!$ANV$2</definedName>
    <definedName name="solver_lhs1065" localSheetId="0" hidden="1">monday_model.lp!$ANW$2</definedName>
    <definedName name="solver_lhs1066" localSheetId="0" hidden="1">monday_model.lp!$ANX$2</definedName>
    <definedName name="solver_lhs1067" localSheetId="0" hidden="1">monday_model.lp!$ANY$2</definedName>
    <definedName name="solver_lhs1068" localSheetId="0" hidden="1">monday_model.lp!$ANZ$2</definedName>
    <definedName name="solver_lhs1069" localSheetId="0" hidden="1">monday_model.lp!$AOA$2</definedName>
    <definedName name="solver_lhs107" localSheetId="0" hidden="1">monday_model.lp!$DA$2</definedName>
    <definedName name="solver_lhs1070" localSheetId="0" hidden="1">monday_model.lp!$AOB$2</definedName>
    <definedName name="solver_lhs1071" localSheetId="0" hidden="1">monday_model.lp!$AOC$2</definedName>
    <definedName name="solver_lhs1072" localSheetId="0" hidden="1">monday_model.lp!$AOD$2</definedName>
    <definedName name="solver_lhs1073" localSheetId="0" hidden="1">monday_model.lp!$AOE$2</definedName>
    <definedName name="solver_lhs1074" localSheetId="0" hidden="1">monday_model.lp!$AOF$2</definedName>
    <definedName name="solver_lhs1075" localSheetId="0" hidden="1">monday_model.lp!$AOG$2</definedName>
    <definedName name="solver_lhs1076" localSheetId="0" hidden="1">monday_model.lp!$AOH$2</definedName>
    <definedName name="solver_lhs1077" localSheetId="0" hidden="1">monday_model.lp!$AOI$2</definedName>
    <definedName name="solver_lhs1078" localSheetId="0" hidden="1">monday_model.lp!$AOJ$2</definedName>
    <definedName name="solver_lhs1079" localSheetId="0" hidden="1">monday_model.lp!$AOK$2</definedName>
    <definedName name="solver_lhs108" localSheetId="0" hidden="1">monday_model.lp!$DB$2</definedName>
    <definedName name="solver_lhs1080" localSheetId="0" hidden="1">monday_model.lp!$AOL$2</definedName>
    <definedName name="solver_lhs1081" localSheetId="0" hidden="1">monday_model.lp!$AOM$2</definedName>
    <definedName name="solver_lhs1082" localSheetId="0" hidden="1">monday_model.lp!$AON$2</definedName>
    <definedName name="solver_lhs1083" localSheetId="0" hidden="1">monday_model.lp!$AOO$2</definedName>
    <definedName name="solver_lhs1084" localSheetId="0" hidden="1">monday_model.lp!$AOP$2</definedName>
    <definedName name="solver_lhs1085" localSheetId="0" hidden="1">monday_model.lp!$AOQ$2</definedName>
    <definedName name="solver_lhs1086" localSheetId="0" hidden="1">monday_model.lp!$AOR$2</definedName>
    <definedName name="solver_lhs1087" localSheetId="0" hidden="1">monday_model.lp!$AOS$2</definedName>
    <definedName name="solver_lhs1088" localSheetId="0" hidden="1">monday_model.lp!$AOT$2</definedName>
    <definedName name="solver_lhs1089" localSheetId="0" hidden="1">monday_model.lp!$AOU$2</definedName>
    <definedName name="solver_lhs109" localSheetId="0" hidden="1">monday_model.lp!$DC$2</definedName>
    <definedName name="solver_lhs1090" localSheetId="0" hidden="1">monday_model.lp!$AOV$2</definedName>
    <definedName name="solver_lhs1091" localSheetId="0" hidden="1">monday_model.lp!$AOW$2</definedName>
    <definedName name="solver_lhs1092" localSheetId="0" hidden="1">monday_model.lp!$AOX$2</definedName>
    <definedName name="solver_lhs1093" localSheetId="0" hidden="1">monday_model.lp!$AOY$2</definedName>
    <definedName name="solver_lhs1094" localSheetId="0" hidden="1">monday_model.lp!$AOZ$2</definedName>
    <definedName name="solver_lhs1095" localSheetId="0" hidden="1">monday_model.lp!$APA$2</definedName>
    <definedName name="solver_lhs1096" localSheetId="0" hidden="1">monday_model.lp!$APB$2</definedName>
    <definedName name="solver_lhs1097" localSheetId="0" hidden="1">monday_model.lp!$APC$2</definedName>
    <definedName name="solver_lhs1098" localSheetId="0" hidden="1">monday_model.lp!$APD$2</definedName>
    <definedName name="solver_lhs1099" localSheetId="0" hidden="1">monday_model.lp!$APE$2</definedName>
    <definedName name="solver_lhs11" localSheetId="0" hidden="1">monday_model.lp!$I$2</definedName>
    <definedName name="solver_lhs110" localSheetId="0" hidden="1">monday_model.lp!$DD$2</definedName>
    <definedName name="solver_lhs1100" localSheetId="0" hidden="1">monday_model.lp!$APF$2</definedName>
    <definedName name="solver_lhs1101" localSheetId="0" hidden="1">monday_model.lp!$APG$2</definedName>
    <definedName name="solver_lhs1102" localSheetId="0" hidden="1">monday_model.lp!$APH$2</definedName>
    <definedName name="solver_lhs1103" localSheetId="0" hidden="1">monday_model.lp!$API$2</definedName>
    <definedName name="solver_lhs1104" localSheetId="0" hidden="1">monday_model.lp!$APJ$2</definedName>
    <definedName name="solver_lhs1105" localSheetId="0" hidden="1">monday_model.lp!$APK$2</definedName>
    <definedName name="solver_lhs1106" localSheetId="0" hidden="1">monday_model.lp!$APL$2</definedName>
    <definedName name="solver_lhs1107" localSheetId="0" hidden="1">monday_model.lp!$APM$2</definedName>
    <definedName name="solver_lhs1108" localSheetId="0" hidden="1">monday_model.lp!$APN$2</definedName>
    <definedName name="solver_lhs1109" localSheetId="0" hidden="1">monday_model.lp!$APO$2</definedName>
    <definedName name="solver_lhs111" localSheetId="0" hidden="1">monday_model.lp!$DE$2</definedName>
    <definedName name="solver_lhs1110" localSheetId="0" hidden="1">monday_model.lp!$APP$2</definedName>
    <definedName name="solver_lhs1111" localSheetId="0" hidden="1">monday_model.lp!$APQ$2</definedName>
    <definedName name="solver_lhs1112" localSheetId="0" hidden="1">monday_model.lp!$APR$2</definedName>
    <definedName name="solver_lhs1113" localSheetId="0" hidden="1">monday_model.lp!$APS$2</definedName>
    <definedName name="solver_lhs1114" localSheetId="0" hidden="1">monday_model.lp!$APT$2</definedName>
    <definedName name="solver_lhs1115" localSheetId="0" hidden="1">monday_model.lp!$APU$2</definedName>
    <definedName name="solver_lhs1116" localSheetId="0" hidden="1">monday_model.lp!$APV$2</definedName>
    <definedName name="solver_lhs1117" localSheetId="0" hidden="1">monday_model.lp!$APW$2</definedName>
    <definedName name="solver_lhs1118" localSheetId="0" hidden="1">monday_model.lp!$APX$2</definedName>
    <definedName name="solver_lhs1119" localSheetId="0" hidden="1">monday_model.lp!$APY$2</definedName>
    <definedName name="solver_lhs112" localSheetId="0" hidden="1">monday_model.lp!$DF$2</definedName>
    <definedName name="solver_lhs1120" localSheetId="0" hidden="1">monday_model.lp!$APZ$2</definedName>
    <definedName name="solver_lhs1121" localSheetId="0" hidden="1">monday_model.lp!$AQA$2</definedName>
    <definedName name="solver_lhs1122" localSheetId="0" hidden="1">monday_model.lp!$AQB$2</definedName>
    <definedName name="solver_lhs1123" localSheetId="0" hidden="1">monday_model.lp!$AQC$2</definedName>
    <definedName name="solver_lhs1124" localSheetId="0" hidden="1">monday_model.lp!$AQD$2</definedName>
    <definedName name="solver_lhs1125" localSheetId="0" hidden="1">monday_model.lp!$AQE$2</definedName>
    <definedName name="solver_lhs1126" localSheetId="0" hidden="1">monday_model.lp!$AQF$2</definedName>
    <definedName name="solver_lhs1127" localSheetId="0" hidden="1">monday_model.lp!$AQG$2</definedName>
    <definedName name="solver_lhs1128" localSheetId="0" hidden="1">monday_model.lp!$AQH$2</definedName>
    <definedName name="solver_lhs1129" localSheetId="0" hidden="1">monday_model.lp!$AQI$2</definedName>
    <definedName name="solver_lhs113" localSheetId="0" hidden="1">monday_model.lp!$DG$2</definedName>
    <definedName name="solver_lhs1130" localSheetId="0" hidden="1">monday_model.lp!$AQJ$2</definedName>
    <definedName name="solver_lhs1131" localSheetId="0" hidden="1">monday_model.lp!$AQK$2</definedName>
    <definedName name="solver_lhs1132" localSheetId="0" hidden="1">monday_model.lp!$AQL$2</definedName>
    <definedName name="solver_lhs1133" localSheetId="0" hidden="1">monday_model.lp!$AQM$2</definedName>
    <definedName name="solver_lhs1134" localSheetId="0" hidden="1">monday_model.lp!$AQN$2</definedName>
    <definedName name="solver_lhs1135" localSheetId="0" hidden="1">monday_model.lp!$AQO$2</definedName>
    <definedName name="solver_lhs1136" localSheetId="0" hidden="1">monday_model.lp!$AQP$2</definedName>
    <definedName name="solver_lhs1137" localSheetId="0" hidden="1">monday_model.lp!$AQQ$2</definedName>
    <definedName name="solver_lhs1138" localSheetId="0" hidden="1">monday_model.lp!$AQR$2</definedName>
    <definedName name="solver_lhs1139" localSheetId="0" hidden="1">monday_model.lp!$AQS$2</definedName>
    <definedName name="solver_lhs114" localSheetId="0" hidden="1">monday_model.lp!$DH$2</definedName>
    <definedName name="solver_lhs1140" localSheetId="0" hidden="1">monday_model.lp!$AQT$2</definedName>
    <definedName name="solver_lhs1141" localSheetId="0" hidden="1">monday_model.lp!$AQU$2</definedName>
    <definedName name="solver_lhs1142" localSheetId="0" hidden="1">monday_model.lp!$AQV$2</definedName>
    <definedName name="solver_lhs1143" localSheetId="0" hidden="1">monday_model.lp!$AQW$2</definedName>
    <definedName name="solver_lhs1144" localSheetId="0" hidden="1">monday_model.lp!$AQX$2</definedName>
    <definedName name="solver_lhs1145" localSheetId="0" hidden="1">monday_model.lp!$AQY$2</definedName>
    <definedName name="solver_lhs1146" localSheetId="0" hidden="1">monday_model.lp!$AQZ$2</definedName>
    <definedName name="solver_lhs1147" localSheetId="0" hidden="1">monday_model.lp!$ARA$2</definedName>
    <definedName name="solver_lhs1148" localSheetId="0" hidden="1">monday_model.lp!$ARB$2</definedName>
    <definedName name="solver_lhs1149" localSheetId="0" hidden="1">monday_model.lp!$ARC$2</definedName>
    <definedName name="solver_lhs115" localSheetId="0" hidden="1">monday_model.lp!$DI$2</definedName>
    <definedName name="solver_lhs1150" localSheetId="0" hidden="1">monday_model.lp!$ARD$2</definedName>
    <definedName name="solver_lhs1151" localSheetId="0" hidden="1">monday_model.lp!$ARE$2</definedName>
    <definedName name="solver_lhs1152" localSheetId="0" hidden="1">monday_model.lp!$ARF$2</definedName>
    <definedName name="solver_lhs1153" localSheetId="0" hidden="1">monday_model.lp!$ARG$2</definedName>
    <definedName name="solver_lhs1154" localSheetId="0" hidden="1">monday_model.lp!$ARH$2</definedName>
    <definedName name="solver_lhs1155" localSheetId="0" hidden="1">monday_model.lp!$ARI$2</definedName>
    <definedName name="solver_lhs1156" localSheetId="0" hidden="1">monday_model.lp!$ARJ$2</definedName>
    <definedName name="solver_lhs1157" localSheetId="0" hidden="1">monday_model.lp!$ARK$2</definedName>
    <definedName name="solver_lhs1158" localSheetId="0" hidden="1">monday_model.lp!$ARL$2</definedName>
    <definedName name="solver_lhs1159" localSheetId="0" hidden="1">monday_model.lp!$ARM$2</definedName>
    <definedName name="solver_lhs116" localSheetId="0" hidden="1">monday_model.lp!$DJ$2</definedName>
    <definedName name="solver_lhs1160" localSheetId="0" hidden="1">monday_model.lp!$ARN$2</definedName>
    <definedName name="solver_lhs1161" localSheetId="0" hidden="1">monday_model.lp!$ARO$2</definedName>
    <definedName name="solver_lhs1162" localSheetId="0" hidden="1">monday_model.lp!$ARP$2</definedName>
    <definedName name="solver_lhs1163" localSheetId="0" hidden="1">monday_model.lp!$ARQ$2</definedName>
    <definedName name="solver_lhs1164" localSheetId="0" hidden="1">monday_model.lp!$ARR$2</definedName>
    <definedName name="solver_lhs1165" localSheetId="0" hidden="1">monday_model.lp!$ARS$2</definedName>
    <definedName name="solver_lhs1166" localSheetId="0" hidden="1">monday_model.lp!$ART$2</definedName>
    <definedName name="solver_lhs1167" localSheetId="0" hidden="1">monday_model.lp!$ARU$2</definedName>
    <definedName name="solver_lhs1168" localSheetId="0" hidden="1">monday_model.lp!$ARV$2</definedName>
    <definedName name="solver_lhs1169" localSheetId="0" hidden="1">monday_model.lp!$ARW$2</definedName>
    <definedName name="solver_lhs117" localSheetId="0" hidden="1">monday_model.lp!$DK$2</definedName>
    <definedName name="solver_lhs1170" localSheetId="0" hidden="1">monday_model.lp!$ARX$2</definedName>
    <definedName name="solver_lhs1171" localSheetId="0" hidden="1">monday_model.lp!$ARY$2</definedName>
    <definedName name="solver_lhs1172" localSheetId="0" hidden="1">monday_model.lp!$ARZ$2</definedName>
    <definedName name="solver_lhs1173" localSheetId="0" hidden="1">monday_model.lp!$ASA$2</definedName>
    <definedName name="solver_lhs1174" localSheetId="0" hidden="1">monday_model.lp!$ASB$2</definedName>
    <definedName name="solver_lhs1175" localSheetId="0" hidden="1">monday_model.lp!$ASC$2</definedName>
    <definedName name="solver_lhs1176" localSheetId="0" hidden="1">monday_model.lp!$ASD$2</definedName>
    <definedName name="solver_lhs1177" localSheetId="0" hidden="1">monday_model.lp!$ASE$2</definedName>
    <definedName name="solver_lhs1178" localSheetId="0" hidden="1">monday_model.lp!$ASF$2</definedName>
    <definedName name="solver_lhs1179" localSheetId="0" hidden="1">monday_model.lp!$ASG$2</definedName>
    <definedName name="solver_lhs118" localSheetId="0" hidden="1">monday_model.lp!$DL$2</definedName>
    <definedName name="solver_lhs1180" localSheetId="0" hidden="1">monday_model.lp!$ASH$2</definedName>
    <definedName name="solver_lhs1181" localSheetId="0" hidden="1">monday_model.lp!$ASI$2</definedName>
    <definedName name="solver_lhs1182" localSheetId="0" hidden="1">monday_model.lp!$ASJ$2</definedName>
    <definedName name="solver_lhs1183" localSheetId="0" hidden="1">monday_model.lp!$ASK$2</definedName>
    <definedName name="solver_lhs1184" localSheetId="0" hidden="1">monday_model.lp!$ASL$2</definedName>
    <definedName name="solver_lhs1185" localSheetId="0" hidden="1">monday_model.lp!$ASM$2</definedName>
    <definedName name="solver_lhs1186" localSheetId="0" hidden="1">monday_model.lp!$ASN$2</definedName>
    <definedName name="solver_lhs1187" localSheetId="0" hidden="1">monday_model.lp!$ASO$2</definedName>
    <definedName name="solver_lhs1188" localSheetId="0" hidden="1">monday_model.lp!$ASP$2</definedName>
    <definedName name="solver_lhs1189" localSheetId="0" hidden="1">monday_model.lp!$ASQ$2</definedName>
    <definedName name="solver_lhs119" localSheetId="0" hidden="1">monday_model.lp!$DM$2</definedName>
    <definedName name="solver_lhs1190" localSheetId="0" hidden="1">monday_model.lp!$ASR$2</definedName>
    <definedName name="solver_lhs1191" localSheetId="0" hidden="1">monday_model.lp!$ASS$2</definedName>
    <definedName name="solver_lhs1192" localSheetId="0" hidden="1">monday_model.lp!$AST$2</definedName>
    <definedName name="solver_lhs1193" localSheetId="0" hidden="1">monday_model.lp!$ASU$2</definedName>
    <definedName name="solver_lhs1194" localSheetId="0" hidden="1">monday_model.lp!$ASV$2</definedName>
    <definedName name="solver_lhs1195" localSheetId="0" hidden="1">monday_model.lp!$ASW$2</definedName>
    <definedName name="solver_lhs1196" localSheetId="0" hidden="1">monday_model.lp!$ASX$2</definedName>
    <definedName name="solver_lhs1197" localSheetId="0" hidden="1">monday_model.lp!$ASY$2</definedName>
    <definedName name="solver_lhs1198" localSheetId="0" hidden="1">monday_model.lp!$ASZ$2</definedName>
    <definedName name="solver_lhs1199" localSheetId="0" hidden="1">monday_model.lp!$ATA$2</definedName>
    <definedName name="solver_lhs12" localSheetId="0" hidden="1">monday_model.lp!$J$2</definedName>
    <definedName name="solver_lhs120" localSheetId="0" hidden="1">monday_model.lp!$DN$2</definedName>
    <definedName name="solver_lhs1200" localSheetId="0" hidden="1">monday_model.lp!$ATB$2</definedName>
    <definedName name="solver_lhs1201" localSheetId="0" hidden="1">monday_model.lp!$ATC$2</definedName>
    <definedName name="solver_lhs1202" localSheetId="0" hidden="1">monday_model.lp!$ATD$2</definedName>
    <definedName name="solver_lhs1203" localSheetId="0" hidden="1">monday_model.lp!$ATE$2</definedName>
    <definedName name="solver_lhs1204" localSheetId="0" hidden="1">monday_model.lp!$ATF$2</definedName>
    <definedName name="solver_lhs1205" localSheetId="0" hidden="1">monday_model.lp!$ATG$2</definedName>
    <definedName name="solver_lhs1206" localSheetId="0" hidden="1">monday_model.lp!$ATH$2</definedName>
    <definedName name="solver_lhs1207" localSheetId="0" hidden="1">monday_model.lp!$ATI$2</definedName>
    <definedName name="solver_lhs1208" localSheetId="0" hidden="1">monday_model.lp!$ATJ$2</definedName>
    <definedName name="solver_lhs1209" localSheetId="0" hidden="1">monday_model.lp!$ATK$2</definedName>
    <definedName name="solver_lhs121" localSheetId="0" hidden="1">monday_model.lp!$DO$2</definedName>
    <definedName name="solver_lhs1210" localSheetId="0" hidden="1">monday_model.lp!$ATL$2</definedName>
    <definedName name="solver_lhs1211" localSheetId="0" hidden="1">monday_model.lp!$ATM$2</definedName>
    <definedName name="solver_lhs1212" localSheetId="0" hidden="1">monday_model.lp!$ATN$2</definedName>
    <definedName name="solver_lhs1213" localSheetId="0" hidden="1">monday_model.lp!$ATO$2</definedName>
    <definedName name="solver_lhs1214" localSheetId="0" hidden="1">monday_model.lp!$ATP$2</definedName>
    <definedName name="solver_lhs1215" localSheetId="0" hidden="1">monday_model.lp!$ATQ$2</definedName>
    <definedName name="solver_lhs1216" localSheetId="0" hidden="1">monday_model.lp!$ATR$2</definedName>
    <definedName name="solver_lhs1217" localSheetId="0" hidden="1">monday_model.lp!$ATS$2</definedName>
    <definedName name="solver_lhs1218" localSheetId="0" hidden="1">monday_model.lp!$ATT$2</definedName>
    <definedName name="solver_lhs1219" localSheetId="0" hidden="1">monday_model.lp!$ATU$2</definedName>
    <definedName name="solver_lhs122" localSheetId="0" hidden="1">monday_model.lp!$DP$2</definedName>
    <definedName name="solver_lhs1220" localSheetId="0" hidden="1">monday_model.lp!$ATV$2</definedName>
    <definedName name="solver_lhs1221" localSheetId="0" hidden="1">monday_model.lp!$ATW$2</definedName>
    <definedName name="solver_lhs1222" localSheetId="0" hidden="1">monday_model.lp!$ATX$2</definedName>
    <definedName name="solver_lhs1223" localSheetId="0" hidden="1">monday_model.lp!$ATY$2</definedName>
    <definedName name="solver_lhs1224" localSheetId="0" hidden="1">monday_model.lp!$ATZ$2</definedName>
    <definedName name="solver_lhs1225" localSheetId="0" hidden="1">monday_model.lp!$AUA$2</definedName>
    <definedName name="solver_lhs1226" localSheetId="0" hidden="1">monday_model.lp!$AUB$2</definedName>
    <definedName name="solver_lhs1227" localSheetId="0" hidden="1">monday_model.lp!$AUC$2</definedName>
    <definedName name="solver_lhs1228" localSheetId="0" hidden="1">monday_model.lp!$AUD$2</definedName>
    <definedName name="solver_lhs1229" localSheetId="0" hidden="1">monday_model.lp!$AUE$2</definedName>
    <definedName name="solver_lhs123" localSheetId="0" hidden="1">monday_model.lp!$DQ$2</definedName>
    <definedName name="solver_lhs1230" localSheetId="0" hidden="1">monday_model.lp!$AUF$2</definedName>
    <definedName name="solver_lhs1231" localSheetId="0" hidden="1">monday_model.lp!$AUG$2</definedName>
    <definedName name="solver_lhs1232" localSheetId="0" hidden="1">monday_model.lp!$AUH$2</definedName>
    <definedName name="solver_lhs1233" localSheetId="0" hidden="1">monday_model.lp!$AUI$2</definedName>
    <definedName name="solver_lhs1234" localSheetId="0" hidden="1">monday_model.lp!$AUJ$2</definedName>
    <definedName name="solver_lhs1235" localSheetId="0" hidden="1">monday_model.lp!$AUK$2</definedName>
    <definedName name="solver_lhs1236" localSheetId="0" hidden="1">monday_model.lp!$AUL$2</definedName>
    <definedName name="solver_lhs1237" localSheetId="0" hidden="1">monday_model.lp!$AUM$2</definedName>
    <definedName name="solver_lhs1238" localSheetId="0" hidden="1">monday_model.lp!$AUN$2</definedName>
    <definedName name="solver_lhs1239" localSheetId="0" hidden="1">monday_model.lp!$AUO$2</definedName>
    <definedName name="solver_lhs124" localSheetId="0" hidden="1">monday_model.lp!$DR$2</definedName>
    <definedName name="solver_lhs1240" localSheetId="0" hidden="1">monday_model.lp!$AUP$2</definedName>
    <definedName name="solver_lhs1241" localSheetId="0" hidden="1">monday_model.lp!$AUQ$2</definedName>
    <definedName name="solver_lhs1242" localSheetId="0" hidden="1">monday_model.lp!$AUR$2</definedName>
    <definedName name="solver_lhs1243" localSheetId="0" hidden="1">monday_model.lp!$AUS$2</definedName>
    <definedName name="solver_lhs1244" localSheetId="0" hidden="1">monday_model.lp!$AUT$2</definedName>
    <definedName name="solver_lhs1245" localSheetId="0" hidden="1">monday_model.lp!$AUU$2</definedName>
    <definedName name="solver_lhs1246" localSheetId="0" hidden="1">monday_model.lp!$AUV$2</definedName>
    <definedName name="solver_lhs1247" localSheetId="0" hidden="1">monday_model.lp!$AUW$2</definedName>
    <definedName name="solver_lhs1248" localSheetId="0" hidden="1">monday_model.lp!$AUX$2</definedName>
    <definedName name="solver_lhs1249" localSheetId="0" hidden="1">monday_model.lp!$AUY$2</definedName>
    <definedName name="solver_lhs125" localSheetId="0" hidden="1">monday_model.lp!$DS$2</definedName>
    <definedName name="solver_lhs1250" localSheetId="0" hidden="1">monday_model.lp!$AUZ$2</definedName>
    <definedName name="solver_lhs1251" localSheetId="0" hidden="1">monday_model.lp!$AVA$2</definedName>
    <definedName name="solver_lhs1252" localSheetId="0" hidden="1">monday_model.lp!$AVB$2</definedName>
    <definedName name="solver_lhs1253" localSheetId="0" hidden="1">monday_model.lp!$AVC$2</definedName>
    <definedName name="solver_lhs1254" localSheetId="0" hidden="1">monday_model.lp!$AVD$2</definedName>
    <definedName name="solver_lhs1255" localSheetId="0" hidden="1">monday_model.lp!$AVE$2</definedName>
    <definedName name="solver_lhs1256" localSheetId="0" hidden="1">monday_model.lp!$AVF$2</definedName>
    <definedName name="solver_lhs1257" localSheetId="0" hidden="1">monday_model.lp!$AVG$2</definedName>
    <definedName name="solver_lhs1258" localSheetId="0" hidden="1">monday_model.lp!$AVH$2</definedName>
    <definedName name="solver_lhs1259" localSheetId="0" hidden="1">monday_model.lp!$AVI$2</definedName>
    <definedName name="solver_lhs126" localSheetId="0" hidden="1">monday_model.lp!$DT$2</definedName>
    <definedName name="solver_lhs1260" localSheetId="0" hidden="1">monday_model.lp!$AVJ$2</definedName>
    <definedName name="solver_lhs1261" localSheetId="0" hidden="1">monday_model.lp!$AVK$2</definedName>
    <definedName name="solver_lhs1262" localSheetId="0" hidden="1">monday_model.lp!$AVL$2</definedName>
    <definedName name="solver_lhs1263" localSheetId="0" hidden="1">monday_model.lp!$AVM$2</definedName>
    <definedName name="solver_lhs1264" localSheetId="0" hidden="1">monday_model.lp!$AVN$2</definedName>
    <definedName name="solver_lhs1265" localSheetId="0" hidden="1">monday_model.lp!$AVO$2</definedName>
    <definedName name="solver_lhs1266" localSheetId="0" hidden="1">monday_model.lp!$AVP$2</definedName>
    <definedName name="solver_lhs1267" localSheetId="0" hidden="1">monday_model.lp!$AVQ$2</definedName>
    <definedName name="solver_lhs1268" localSheetId="0" hidden="1">monday_model.lp!$AVR$2</definedName>
    <definedName name="solver_lhs1269" localSheetId="0" hidden="1">monday_model.lp!$AVS$2</definedName>
    <definedName name="solver_lhs127" localSheetId="0" hidden="1">monday_model.lp!$DU$2</definedName>
    <definedName name="solver_lhs1270" localSheetId="0" hidden="1">monday_model.lp!$AVT$2</definedName>
    <definedName name="solver_lhs1271" localSheetId="0" hidden="1">monday_model.lp!$AVU$2</definedName>
    <definedName name="solver_lhs1272" localSheetId="0" hidden="1">monday_model.lp!$AVV$2</definedName>
    <definedName name="solver_lhs1273" localSheetId="0" hidden="1">monday_model.lp!$AVW$2</definedName>
    <definedName name="solver_lhs1274" localSheetId="0" hidden="1">monday_model.lp!$AVX$2</definedName>
    <definedName name="solver_lhs1275" localSheetId="0" hidden="1">monday_model.lp!$AVY$2</definedName>
    <definedName name="solver_lhs1276" localSheetId="0" hidden="1">monday_model.lp!$AVZ$2</definedName>
    <definedName name="solver_lhs1277" localSheetId="0" hidden="1">monday_model.lp!$AWA$2</definedName>
    <definedName name="solver_lhs1278" localSheetId="0" hidden="1">monday_model.lp!$AWB$2</definedName>
    <definedName name="solver_lhs1279" localSheetId="0" hidden="1">monday_model.lp!$AWC$2</definedName>
    <definedName name="solver_lhs128" localSheetId="0" hidden="1">monday_model.lp!$DV$2</definedName>
    <definedName name="solver_lhs1280" localSheetId="0" hidden="1">monday_model.lp!$AWD$2</definedName>
    <definedName name="solver_lhs1281" localSheetId="0" hidden="1">monday_model.lp!$AWE$2</definedName>
    <definedName name="solver_lhs1282" localSheetId="0" hidden="1">monday_model.lp!$AWF$2</definedName>
    <definedName name="solver_lhs1283" localSheetId="0" hidden="1">monday_model.lp!$AWG$2</definedName>
    <definedName name="solver_lhs1284" localSheetId="0" hidden="1">monday_model.lp!$AWH$2</definedName>
    <definedName name="solver_lhs1285" localSheetId="0" hidden="1">monday_model.lp!$AWI$2</definedName>
    <definedName name="solver_lhs1286" localSheetId="0" hidden="1">monday_model.lp!$AWJ$2</definedName>
    <definedName name="solver_lhs1287" localSheetId="0" hidden="1">monday_model.lp!$AWK$2</definedName>
    <definedName name="solver_lhs1288" localSheetId="0" hidden="1">monday_model.lp!$AWL$2</definedName>
    <definedName name="solver_lhs1289" localSheetId="0" hidden="1">monday_model.lp!$AWM$2</definedName>
    <definedName name="solver_lhs129" localSheetId="0" hidden="1">monday_model.lp!$DW$2</definedName>
    <definedName name="solver_lhs1290" localSheetId="0" hidden="1">monday_model.lp!$AWN$2</definedName>
    <definedName name="solver_lhs1291" localSheetId="0" hidden="1">monday_model.lp!$AWO$2</definedName>
    <definedName name="solver_lhs1292" localSheetId="0" hidden="1">monday_model.lp!$AWP$2</definedName>
    <definedName name="solver_lhs1293" localSheetId="0" hidden="1">monday_model.lp!$AWQ$2</definedName>
    <definedName name="solver_lhs1294" localSheetId="0" hidden="1">monday_model.lp!$AWR$2</definedName>
    <definedName name="solver_lhs1295" localSheetId="0" hidden="1">monday_model.lp!$AWS$2</definedName>
    <definedName name="solver_lhs1296" localSheetId="0" hidden="1">monday_model.lp!$AWT$2</definedName>
    <definedName name="solver_lhs1297" localSheetId="0" hidden="1">monday_model.lp!$AWU$2</definedName>
    <definedName name="solver_lhs1298" localSheetId="0" hidden="1">monday_model.lp!$AWV$2</definedName>
    <definedName name="solver_lhs1299" localSheetId="0" hidden="1">monday_model.lp!$AWW$2</definedName>
    <definedName name="solver_lhs13" localSheetId="0" hidden="1">monday_model.lp!$K$2</definedName>
    <definedName name="solver_lhs130" localSheetId="0" hidden="1">monday_model.lp!$DX$2</definedName>
    <definedName name="solver_lhs1300" localSheetId="0" hidden="1">monday_model.lp!$AWX$2</definedName>
    <definedName name="solver_lhs1301" localSheetId="0" hidden="1">monday_model.lp!$AWY$2</definedName>
    <definedName name="solver_lhs1302" localSheetId="0" hidden="1">monday_model.lp!$AWZ$2</definedName>
    <definedName name="solver_lhs1303" localSheetId="0" hidden="1">monday_model.lp!$AXA$2</definedName>
    <definedName name="solver_lhs1304" localSheetId="0" hidden="1">monday_model.lp!$AXB$2</definedName>
    <definedName name="solver_lhs1305" localSheetId="0" hidden="1">monday_model.lp!$AXC$2</definedName>
    <definedName name="solver_lhs1306" localSheetId="0" hidden="1">monday_model.lp!$AXD$2</definedName>
    <definedName name="solver_lhs1307" localSheetId="0" hidden="1">monday_model.lp!$AXE$2</definedName>
    <definedName name="solver_lhs1308" localSheetId="0" hidden="1">monday_model.lp!$AXF$2</definedName>
    <definedName name="solver_lhs1309" localSheetId="0" hidden="1">monday_model.lp!$AXG$2</definedName>
    <definedName name="solver_lhs131" localSheetId="0" hidden="1">monday_model.lp!$DY$2</definedName>
    <definedName name="solver_lhs1310" localSheetId="0" hidden="1">monday_model.lp!$AXH$2</definedName>
    <definedName name="solver_lhs1311" localSheetId="0" hidden="1">monday_model.lp!$AXI$2</definedName>
    <definedName name="solver_lhs1312" localSheetId="0" hidden="1">monday_model.lp!$AXJ$2</definedName>
    <definedName name="solver_lhs1313" localSheetId="0" hidden="1">monday_model.lp!$AXK$2</definedName>
    <definedName name="solver_lhs1314" localSheetId="0" hidden="1">monday_model.lp!$AXL$2</definedName>
    <definedName name="solver_lhs1315" localSheetId="0" hidden="1">monday_model.lp!$AXM$2</definedName>
    <definedName name="solver_lhs1316" localSheetId="0" hidden="1">monday_model.lp!$AXN$2</definedName>
    <definedName name="solver_lhs1317" localSheetId="0" hidden="1">monday_model.lp!$AXO$2</definedName>
    <definedName name="solver_lhs1318" localSheetId="0" hidden="1">monday_model.lp!$AXP$2</definedName>
    <definedName name="solver_lhs1319" localSheetId="0" hidden="1">monday_model.lp!$AXQ$2</definedName>
    <definedName name="solver_lhs132" localSheetId="0" hidden="1">monday_model.lp!$DZ$2</definedName>
    <definedName name="solver_lhs1320" localSheetId="0" hidden="1">monday_model.lp!$AXR$2</definedName>
    <definedName name="solver_lhs1321" localSheetId="0" hidden="1">monday_model.lp!$AXS$2</definedName>
    <definedName name="solver_lhs1322" localSheetId="0" hidden="1">monday_model.lp!$AXT$2</definedName>
    <definedName name="solver_lhs1323" localSheetId="0" hidden="1">monday_model.lp!$AXU$2</definedName>
    <definedName name="solver_lhs1324" localSheetId="0" hidden="1">monday_model.lp!$AXV$2</definedName>
    <definedName name="solver_lhs1325" localSheetId="0" hidden="1">monday_model.lp!$AXW$2</definedName>
    <definedName name="solver_lhs1326" localSheetId="0" hidden="1">monday_model.lp!$AXX$2</definedName>
    <definedName name="solver_lhs1327" localSheetId="0" hidden="1">monday_model.lp!$AXY$2</definedName>
    <definedName name="solver_lhs1328" localSheetId="0" hidden="1">monday_model.lp!$AXZ$2</definedName>
    <definedName name="solver_lhs1329" localSheetId="0" hidden="1">monday_model.lp!$AYA$2</definedName>
    <definedName name="solver_lhs133" localSheetId="0" hidden="1">monday_model.lp!$EA$2</definedName>
    <definedName name="solver_lhs1330" localSheetId="0" hidden="1">monday_model.lp!$AYB$2</definedName>
    <definedName name="solver_lhs1331" localSheetId="0" hidden="1">monday_model.lp!$AYC$2</definedName>
    <definedName name="solver_lhs1332" localSheetId="0" hidden="1">monday_model.lp!$AYD$2</definedName>
    <definedName name="solver_lhs1333" localSheetId="0" hidden="1">monday_model.lp!$AYE$2</definedName>
    <definedName name="solver_lhs1334" localSheetId="0" hidden="1">monday_model.lp!$AYF$2</definedName>
    <definedName name="solver_lhs1335" localSheetId="0" hidden="1">monday_model.lp!$AYG$2</definedName>
    <definedName name="solver_lhs1336" localSheetId="0" hidden="1">monday_model.lp!$AYH$2</definedName>
    <definedName name="solver_lhs1337" localSheetId="0" hidden="1">monday_model.lp!$AYI$2</definedName>
    <definedName name="solver_lhs1338" localSheetId="0" hidden="1">monday_model.lp!$AYJ$2</definedName>
    <definedName name="solver_lhs1339" localSheetId="0" hidden="1">monday_model.lp!$AYK$2</definedName>
    <definedName name="solver_lhs134" localSheetId="0" hidden="1">monday_model.lp!$EB$2</definedName>
    <definedName name="solver_lhs1340" localSheetId="0" hidden="1">monday_model.lp!$AYL$2</definedName>
    <definedName name="solver_lhs1341" localSheetId="0" hidden="1">monday_model.lp!$AYM$2</definedName>
    <definedName name="solver_lhs1342" localSheetId="0" hidden="1">monday_model.lp!$AYN$2</definedName>
    <definedName name="solver_lhs1343" localSheetId="0" hidden="1">monday_model.lp!$AYO$2</definedName>
    <definedName name="solver_lhs1344" localSheetId="0" hidden="1">monday_model.lp!$AYP$2</definedName>
    <definedName name="solver_lhs1345" localSheetId="0" hidden="1">monday_model.lp!$AYQ$2</definedName>
    <definedName name="solver_lhs1346" localSheetId="0" hidden="1">monday_model.lp!$AYR$2</definedName>
    <definedName name="solver_lhs1347" localSheetId="0" hidden="1">monday_model.lp!$AYS$2</definedName>
    <definedName name="solver_lhs1348" localSheetId="0" hidden="1">monday_model.lp!$AYT$2</definedName>
    <definedName name="solver_lhs1349" localSheetId="0" hidden="1">monday_model.lp!$AYU$2</definedName>
    <definedName name="solver_lhs135" localSheetId="0" hidden="1">monday_model.lp!$EC$2</definedName>
    <definedName name="solver_lhs1350" localSheetId="0" hidden="1">monday_model.lp!$AYV$2</definedName>
    <definedName name="solver_lhs1351" localSheetId="0" hidden="1">monday_model.lp!$AYW$2</definedName>
    <definedName name="solver_lhs1352" localSheetId="0" hidden="1">monday_model.lp!$AYX$2</definedName>
    <definedName name="solver_lhs1353" localSheetId="0" hidden="1">monday_model.lp!$AYY$2</definedName>
    <definedName name="solver_lhs1354" localSheetId="0" hidden="1">monday_model.lp!$AYZ$2</definedName>
    <definedName name="solver_lhs1355" localSheetId="0" hidden="1">monday_model.lp!$AZA$2</definedName>
    <definedName name="solver_lhs1356" localSheetId="0" hidden="1">monday_model.lp!$AZB$2</definedName>
    <definedName name="solver_lhs1357" localSheetId="0" hidden="1">monday_model.lp!$AZC$2</definedName>
    <definedName name="solver_lhs1358" localSheetId="0" hidden="1">monday_model.lp!$AZD$2</definedName>
    <definedName name="solver_lhs1359" localSheetId="0" hidden="1">monday_model.lp!$AZE$2</definedName>
    <definedName name="solver_lhs136" localSheetId="0" hidden="1">monday_model.lp!$ED$2</definedName>
    <definedName name="solver_lhs1360" localSheetId="0" hidden="1">monday_model.lp!$AZF$2</definedName>
    <definedName name="solver_lhs1361" localSheetId="0" hidden="1">monday_model.lp!$AZG$2</definedName>
    <definedName name="solver_lhs1362" localSheetId="0" hidden="1">monday_model.lp!$AZH$2</definedName>
    <definedName name="solver_lhs1363" localSheetId="0" hidden="1">monday_model.lp!$AZI$2</definedName>
    <definedName name="solver_lhs1364" localSheetId="0" hidden="1">monday_model.lp!$AZJ$2</definedName>
    <definedName name="solver_lhs1365" localSheetId="0" hidden="1">monday_model.lp!$AZK$2</definedName>
    <definedName name="solver_lhs1366" localSheetId="0" hidden="1">monday_model.lp!$AZL$2</definedName>
    <definedName name="solver_lhs1367" localSheetId="0" hidden="1">monday_model.lp!$AZM$2</definedName>
    <definedName name="solver_lhs1368" localSheetId="0" hidden="1">monday_model.lp!$AZN$2</definedName>
    <definedName name="solver_lhs1369" localSheetId="0" hidden="1">monday_model.lp!$AZO$2</definedName>
    <definedName name="solver_lhs137" localSheetId="0" hidden="1">monday_model.lp!$EE$2</definedName>
    <definedName name="solver_lhs1370" localSheetId="0" hidden="1">monday_model.lp!$AZP$2</definedName>
    <definedName name="solver_lhs1371" localSheetId="0" hidden="1">monday_model.lp!$AZQ$2</definedName>
    <definedName name="solver_lhs1372" localSheetId="0" hidden="1">monday_model.lp!$AZR$2</definedName>
    <definedName name="solver_lhs1373" localSheetId="0" hidden="1">monday_model.lp!$AZS$2</definedName>
    <definedName name="solver_lhs1374" localSheetId="0" hidden="1">monday_model.lp!$AZT$2</definedName>
    <definedName name="solver_lhs1375" localSheetId="0" hidden="1">monday_model.lp!$AZU$2</definedName>
    <definedName name="solver_lhs1376" localSheetId="0" hidden="1">monday_model.lp!$AZV$2</definedName>
    <definedName name="solver_lhs1377" localSheetId="0" hidden="1">monday_model.lp!$AZW$2</definedName>
    <definedName name="solver_lhs1378" localSheetId="0" hidden="1">monday_model.lp!$AZX$2</definedName>
    <definedName name="solver_lhs1379" localSheetId="0" hidden="1">monday_model.lp!$AZY$2</definedName>
    <definedName name="solver_lhs138" localSheetId="0" hidden="1">monday_model.lp!$EF$2</definedName>
    <definedName name="solver_lhs1380" localSheetId="0" hidden="1">monday_model.lp!$AZZ$2</definedName>
    <definedName name="solver_lhs1381" localSheetId="0" hidden="1">monday_model.lp!$BAA$2</definedName>
    <definedName name="solver_lhs1382" localSheetId="0" hidden="1">monday_model.lp!$BAB$2</definedName>
    <definedName name="solver_lhs1383" localSheetId="0" hidden="1">monday_model.lp!$BAC$2</definedName>
    <definedName name="solver_lhs1384" localSheetId="0" hidden="1">monday_model.lp!$BAD$2</definedName>
    <definedName name="solver_lhs1385" localSheetId="0" hidden="1">monday_model.lp!$BAE$2</definedName>
    <definedName name="solver_lhs1386" localSheetId="0" hidden="1">monday_model.lp!$BAF$2</definedName>
    <definedName name="solver_lhs1387" localSheetId="0" hidden="1">monday_model.lp!$BAG$2</definedName>
    <definedName name="solver_lhs1388" localSheetId="0" hidden="1">monday_model.lp!$BAH$2</definedName>
    <definedName name="solver_lhs1389" localSheetId="0" hidden="1">monday_model.lp!$BAI$2</definedName>
    <definedName name="solver_lhs139" localSheetId="0" hidden="1">monday_model.lp!$EG$2</definedName>
    <definedName name="solver_lhs1390" localSheetId="0" hidden="1">monday_model.lp!$BAJ$2</definedName>
    <definedName name="solver_lhs1391" localSheetId="0" hidden="1">monday_model.lp!$BAK$2</definedName>
    <definedName name="solver_lhs1392" localSheetId="0" hidden="1">monday_model.lp!$BAL$2</definedName>
    <definedName name="solver_lhs1393" localSheetId="0" hidden="1">monday_model.lp!$BAM$2</definedName>
    <definedName name="solver_lhs1394" localSheetId="0" hidden="1">monday_model.lp!$BAN$2</definedName>
    <definedName name="solver_lhs1395" localSheetId="0" hidden="1">monday_model.lp!$BAO$2</definedName>
    <definedName name="solver_lhs1396" localSheetId="0" hidden="1">monday_model.lp!$BAP$2</definedName>
    <definedName name="solver_lhs1397" localSheetId="0" hidden="1">monday_model.lp!$BAQ$2</definedName>
    <definedName name="solver_lhs1398" localSheetId="0" hidden="1">monday_model.lp!$BAR$2</definedName>
    <definedName name="solver_lhs1399" localSheetId="0" hidden="1">monday_model.lp!$BAS$2</definedName>
    <definedName name="solver_lhs14" localSheetId="0" hidden="1">monday_model.lp!$L$2</definedName>
    <definedName name="solver_lhs140" localSheetId="0" hidden="1">monday_model.lp!$EH$2</definedName>
    <definedName name="solver_lhs1400" localSheetId="0" hidden="1">monday_model.lp!$BAT$2</definedName>
    <definedName name="solver_lhs1401" localSheetId="0" hidden="1">monday_model.lp!$BAU$2</definedName>
    <definedName name="solver_lhs1402" localSheetId="0" hidden="1">monday_model.lp!$BAV$2</definedName>
    <definedName name="solver_lhs1403" localSheetId="0" hidden="1">monday_model.lp!$BAW$2</definedName>
    <definedName name="solver_lhs1404" localSheetId="0" hidden="1">monday_model.lp!$BAX$2</definedName>
    <definedName name="solver_lhs1405" localSheetId="0" hidden="1">monday_model.lp!$BAY$2</definedName>
    <definedName name="solver_lhs1406" localSheetId="0" hidden="1">monday_model.lp!$BAZ$2</definedName>
    <definedName name="solver_lhs1407" localSheetId="0" hidden="1">monday_model.lp!$BBA$2</definedName>
    <definedName name="solver_lhs1408" localSheetId="0" hidden="1">monday_model.lp!$BBB$2</definedName>
    <definedName name="solver_lhs1409" localSheetId="0" hidden="1">monday_model.lp!$BBC$2</definedName>
    <definedName name="solver_lhs141" localSheetId="0" hidden="1">monday_model.lp!$EI$2</definedName>
    <definedName name="solver_lhs1410" localSheetId="0" hidden="1">monday_model.lp!$BBD$2</definedName>
    <definedName name="solver_lhs1411" localSheetId="0" hidden="1">monday_model.lp!$BBE$2</definedName>
    <definedName name="solver_lhs1412" localSheetId="0" hidden="1">monday_model.lp!$BBF$2</definedName>
    <definedName name="solver_lhs1413" localSheetId="0" hidden="1">monday_model.lp!$BBG$2</definedName>
    <definedName name="solver_lhs1414" localSheetId="0" hidden="1">monday_model.lp!$BBH$2</definedName>
    <definedName name="solver_lhs1415" localSheetId="0" hidden="1">monday_model.lp!$BBI$2</definedName>
    <definedName name="solver_lhs1416" localSheetId="0" hidden="1">monday_model.lp!$BBJ$2</definedName>
    <definedName name="solver_lhs1417" localSheetId="0" hidden="1">monday_model.lp!$BBK$2</definedName>
    <definedName name="solver_lhs1418" localSheetId="0" hidden="1">monday_model.lp!$BBL$2</definedName>
    <definedName name="solver_lhs1419" localSheetId="0" hidden="1">monday_model.lp!$BBM$2</definedName>
    <definedName name="solver_lhs142" localSheetId="0" hidden="1">monday_model.lp!$EJ$2</definedName>
    <definedName name="solver_lhs1420" localSheetId="0" hidden="1">monday_model.lp!$BBN$2</definedName>
    <definedName name="solver_lhs1421" localSheetId="0" hidden="1">monday_model.lp!$BBO$2</definedName>
    <definedName name="solver_lhs1422" localSheetId="0" hidden="1">monday_model.lp!$BBP$2</definedName>
    <definedName name="solver_lhs1423" localSheetId="0" hidden="1">monday_model.lp!$BBQ$2</definedName>
    <definedName name="solver_lhs1424" localSheetId="0" hidden="1">monday_model.lp!$BBR$2</definedName>
    <definedName name="solver_lhs1425" localSheetId="0" hidden="1">monday_model.lp!$BBS$2</definedName>
    <definedName name="solver_lhs1426" localSheetId="0" hidden="1">monday_model.lp!$BBT$2</definedName>
    <definedName name="solver_lhs1427" localSheetId="0" hidden="1">monday_model.lp!$BBU$2</definedName>
    <definedName name="solver_lhs1428" localSheetId="0" hidden="1">monday_model.lp!$BBV$2</definedName>
    <definedName name="solver_lhs1429" localSheetId="0" hidden="1">monday_model.lp!$BBW$2</definedName>
    <definedName name="solver_lhs143" localSheetId="0" hidden="1">monday_model.lp!$EK$2</definedName>
    <definedName name="solver_lhs1430" localSheetId="0" hidden="1">monday_model.lp!$BBX$2</definedName>
    <definedName name="solver_lhs1431" localSheetId="0" hidden="1">monday_model.lp!$BBY$2</definedName>
    <definedName name="solver_lhs1432" localSheetId="0" hidden="1">monday_model.lp!$BBZ$2</definedName>
    <definedName name="solver_lhs1433" localSheetId="0" hidden="1">monday_model.lp!$BCA$2</definedName>
    <definedName name="solver_lhs1434" localSheetId="0" hidden="1">monday_model.lp!$BCB$2</definedName>
    <definedName name="solver_lhs1435" localSheetId="0" hidden="1">monday_model.lp!$BCC$2</definedName>
    <definedName name="solver_lhs1436" localSheetId="0" hidden="1">monday_model.lp!$BCD$2</definedName>
    <definedName name="solver_lhs1437" localSheetId="0" hidden="1">monday_model.lp!$BCE$2</definedName>
    <definedName name="solver_lhs1438" localSheetId="0" hidden="1">monday_model.lp!$BCF$2</definedName>
    <definedName name="solver_lhs1439" localSheetId="0" hidden="1">monday_model.lp!$BCG$2</definedName>
    <definedName name="solver_lhs144" localSheetId="0" hidden="1">monday_model.lp!$EL$2</definedName>
    <definedName name="solver_lhs1440" localSheetId="0" hidden="1">monday_model.lp!$BCH$2</definedName>
    <definedName name="solver_lhs1441" localSheetId="0" hidden="1">monday_model.lp!$BCI$2</definedName>
    <definedName name="solver_lhs1442" localSheetId="0" hidden="1">monday_model.lp!$BCJ$2</definedName>
    <definedName name="solver_lhs1443" localSheetId="0" hidden="1">monday_model.lp!$BCK$2</definedName>
    <definedName name="solver_lhs1444" localSheetId="0" hidden="1">monday_model.lp!$BCL$2</definedName>
    <definedName name="solver_lhs1445" localSheetId="0" hidden="1">monday_model.lp!$BCM$2</definedName>
    <definedName name="solver_lhs1446" localSheetId="0" hidden="1">monday_model.lp!$BCN$2</definedName>
    <definedName name="solver_lhs1447" localSheetId="0" hidden="1">monday_model.lp!$BCO$2</definedName>
    <definedName name="solver_lhs1448" localSheetId="0" hidden="1">monday_model.lp!$BCP$2</definedName>
    <definedName name="solver_lhs1449" localSheetId="0" hidden="1">monday_model.lp!$BCQ$2</definedName>
    <definedName name="solver_lhs145" localSheetId="0" hidden="1">monday_model.lp!$EM$2</definedName>
    <definedName name="solver_lhs1450" localSheetId="0" hidden="1">monday_model.lp!$BCR$2</definedName>
    <definedName name="solver_lhs1451" localSheetId="0" hidden="1">monday_model.lp!$BCS$2</definedName>
    <definedName name="solver_lhs1452" localSheetId="0" hidden="1">monday_model.lp!$BCT$2</definedName>
    <definedName name="solver_lhs1453" localSheetId="0" hidden="1">monday_model.lp!$BCU$2</definedName>
    <definedName name="solver_lhs1454" localSheetId="0" hidden="1">monday_model.lp!$BCV$2</definedName>
    <definedName name="solver_lhs1455" localSheetId="0" hidden="1">monday_model.lp!$BCW$2</definedName>
    <definedName name="solver_lhs1456" localSheetId="0" hidden="1">monday_model.lp!$BCX$2</definedName>
    <definedName name="solver_lhs1457" localSheetId="0" hidden="1">monday_model.lp!$BCY$2</definedName>
    <definedName name="solver_lhs1458" localSheetId="0" hidden="1">monday_model.lp!$BCZ$2</definedName>
    <definedName name="solver_lhs1459" localSheetId="0" hidden="1">monday_model.lp!$BDA$2</definedName>
    <definedName name="solver_lhs146" localSheetId="0" hidden="1">monday_model.lp!$EN$2</definedName>
    <definedName name="solver_lhs1460" localSheetId="0" hidden="1">monday_model.lp!$BDB$2</definedName>
    <definedName name="solver_lhs1461" localSheetId="0" hidden="1">monday_model.lp!$BDC$2</definedName>
    <definedName name="solver_lhs1462" localSheetId="0" hidden="1">monday_model.lp!$BDD$2</definedName>
    <definedName name="solver_lhs1463" localSheetId="0" hidden="1">monday_model.lp!$BDE$2</definedName>
    <definedName name="solver_lhs1464" localSheetId="0" hidden="1">monday_model.lp!$BDF$2</definedName>
    <definedName name="solver_lhs1465" localSheetId="0" hidden="1">monday_model.lp!$BDG$2</definedName>
    <definedName name="solver_lhs1466" localSheetId="0" hidden="1">monday_model.lp!$BDH$2</definedName>
    <definedName name="solver_lhs1467" localSheetId="0" hidden="1">monday_model.lp!$BDI$2</definedName>
    <definedName name="solver_lhs1468" localSheetId="0" hidden="1">monday_model.lp!$BDJ$2</definedName>
    <definedName name="solver_lhs1469" localSheetId="0" hidden="1">monday_model.lp!$BDK$2</definedName>
    <definedName name="solver_lhs147" localSheetId="0" hidden="1">monday_model.lp!$EO$2</definedName>
    <definedName name="solver_lhs1470" localSheetId="0" hidden="1">monday_model.lp!$BDL$2</definedName>
    <definedName name="solver_lhs1471" localSheetId="0" hidden="1">monday_model.lp!$BDM$2</definedName>
    <definedName name="solver_lhs1472" localSheetId="0" hidden="1">monday_model.lp!$BDN$2</definedName>
    <definedName name="solver_lhs1473" localSheetId="0" hidden="1">monday_model.lp!$BDO$2</definedName>
    <definedName name="solver_lhs1474" localSheetId="0" hidden="1">monday_model.lp!$BDP$2</definedName>
    <definedName name="solver_lhs1475" localSheetId="0" hidden="1">monday_model.lp!$BDQ$2</definedName>
    <definedName name="solver_lhs1476" localSheetId="0" hidden="1">monday_model.lp!$BDR$2</definedName>
    <definedName name="solver_lhs1477" localSheetId="0" hidden="1">monday_model.lp!$BDS$2</definedName>
    <definedName name="solver_lhs1478" localSheetId="0" hidden="1">monday_model.lp!$BDT$2</definedName>
    <definedName name="solver_lhs1479" localSheetId="0" hidden="1">monday_model.lp!$BDU$2</definedName>
    <definedName name="solver_lhs148" localSheetId="0" hidden="1">monday_model.lp!$EP$2</definedName>
    <definedName name="solver_lhs1480" localSheetId="0" hidden="1">monday_model.lp!$BDV$2</definedName>
    <definedName name="solver_lhs1481" localSheetId="0" hidden="1">monday_model.lp!$BDW$2</definedName>
    <definedName name="solver_lhs1482" localSheetId="0" hidden="1">monday_model.lp!$BDX$2</definedName>
    <definedName name="solver_lhs1483" localSheetId="0" hidden="1">monday_model.lp!$BDY$2</definedName>
    <definedName name="solver_lhs1484" localSheetId="0" hidden="1">monday_model.lp!$BDZ$2</definedName>
    <definedName name="solver_lhs1485" localSheetId="0" hidden="1">monday_model.lp!$BEA$2</definedName>
    <definedName name="solver_lhs1486" localSheetId="0" hidden="1">monday_model.lp!$BEB$2</definedName>
    <definedName name="solver_lhs1487" localSheetId="0" hidden="1">monday_model.lp!$BEC$2</definedName>
    <definedName name="solver_lhs1488" localSheetId="0" hidden="1">monday_model.lp!$BED$2</definedName>
    <definedName name="solver_lhs1489" localSheetId="0" hidden="1">monday_model.lp!$BEE$2</definedName>
    <definedName name="solver_lhs149" localSheetId="0" hidden="1">monday_model.lp!$EQ$2</definedName>
    <definedName name="solver_lhs1490" localSheetId="0" hidden="1">monday_model.lp!$BEF$2</definedName>
    <definedName name="solver_lhs1491" localSheetId="0" hidden="1">monday_model.lp!$BEG$2</definedName>
    <definedName name="solver_lhs1492" localSheetId="0" hidden="1">monday_model.lp!$BEH$2</definedName>
    <definedName name="solver_lhs1493" localSheetId="0" hidden="1">monday_model.lp!$BEI$2</definedName>
    <definedName name="solver_lhs1494" localSheetId="0" hidden="1">monday_model.lp!$BEJ$2</definedName>
    <definedName name="solver_lhs1495" localSheetId="0" hidden="1">monday_model.lp!$BEK$2</definedName>
    <definedName name="solver_lhs1496" localSheetId="0" hidden="1">monday_model.lp!$BEL$2</definedName>
    <definedName name="solver_lhs1497" localSheetId="0" hidden="1">monday_model.lp!$BEM$2</definedName>
    <definedName name="solver_lhs1498" localSheetId="0" hidden="1">monday_model.lp!$BEN$2</definedName>
    <definedName name="solver_lhs1499" localSheetId="0" hidden="1">monday_model.lp!$BEO$2</definedName>
    <definedName name="solver_lhs15" localSheetId="0" hidden="1">monday_model.lp!$M$2</definedName>
    <definedName name="solver_lhs150" localSheetId="0" hidden="1">monday_model.lp!$ER$2</definedName>
    <definedName name="solver_lhs1500" localSheetId="0" hidden="1">monday_model.lp!$BEP$2</definedName>
    <definedName name="solver_lhs1501" localSheetId="0" hidden="1">monday_model.lp!$BEQ$2</definedName>
    <definedName name="solver_lhs1502" localSheetId="0" hidden="1">monday_model.lp!$BER$2</definedName>
    <definedName name="solver_lhs1503" localSheetId="0" hidden="1">monday_model.lp!$BES$2</definedName>
    <definedName name="solver_lhs1504" localSheetId="0" hidden="1">monday_model.lp!$BET$2</definedName>
    <definedName name="solver_lhs1505" localSheetId="0" hidden="1">monday_model.lp!$BEU$2</definedName>
    <definedName name="solver_lhs1506" localSheetId="0" hidden="1">monday_model.lp!$BEV$2</definedName>
    <definedName name="solver_lhs1507" localSheetId="0" hidden="1">monday_model.lp!$BEW$2</definedName>
    <definedName name="solver_lhs1508" localSheetId="0" hidden="1">monday_model.lp!$BEX$2</definedName>
    <definedName name="solver_lhs1509" localSheetId="0" hidden="1">monday_model.lp!$BEY$2</definedName>
    <definedName name="solver_lhs151" localSheetId="0" hidden="1">monday_model.lp!$ES$2</definedName>
    <definedName name="solver_lhs1510" localSheetId="0" hidden="1">monday_model.lp!$BEZ$2</definedName>
    <definedName name="solver_lhs1511" localSheetId="0" hidden="1">monday_model.lp!$BFA$2</definedName>
    <definedName name="solver_lhs1512" localSheetId="0" hidden="1">monday_model.lp!$BFB$2</definedName>
    <definedName name="solver_lhs1513" localSheetId="0" hidden="1">monday_model.lp!$BFC$2</definedName>
    <definedName name="solver_lhs1514" localSheetId="0" hidden="1">monday_model.lp!$BFD$2</definedName>
    <definedName name="solver_lhs1515" localSheetId="0" hidden="1">monday_model.lp!$BFE$2</definedName>
    <definedName name="solver_lhs1516" localSheetId="0" hidden="1">monday_model.lp!$BFF$2</definedName>
    <definedName name="solver_lhs1517" localSheetId="0" hidden="1">monday_model.lp!$BFG$2</definedName>
    <definedName name="solver_lhs1518" localSheetId="0" hidden="1">monday_model.lp!$BFH$2</definedName>
    <definedName name="solver_lhs1519" localSheetId="0" hidden="1">monday_model.lp!$BFI$2</definedName>
    <definedName name="solver_lhs152" localSheetId="0" hidden="1">monday_model.lp!$ET$2</definedName>
    <definedName name="solver_lhs1520" localSheetId="0" hidden="1">monday_model.lp!$BFJ$2</definedName>
    <definedName name="solver_lhs1521" localSheetId="0" hidden="1">monday_model.lp!$BFK$2</definedName>
    <definedName name="solver_lhs1522" localSheetId="0" hidden="1">monday_model.lp!$BFL$2</definedName>
    <definedName name="solver_lhs1523" localSheetId="0" hidden="1">monday_model.lp!$BFM$2</definedName>
    <definedName name="solver_lhs1524" localSheetId="0" hidden="1">monday_model.lp!$BFN$2</definedName>
    <definedName name="solver_lhs1525" localSheetId="0" hidden="1">monday_model.lp!$BFO$2</definedName>
    <definedName name="solver_lhs1526" localSheetId="0" hidden="1">monday_model.lp!$BFP$2</definedName>
    <definedName name="solver_lhs1527" localSheetId="0" hidden="1">monday_model.lp!$BFQ$2</definedName>
    <definedName name="solver_lhs1528" localSheetId="0" hidden="1">monday_model.lp!$BFR$2</definedName>
    <definedName name="solver_lhs1529" localSheetId="0" hidden="1">monday_model.lp!$BFS$2</definedName>
    <definedName name="solver_lhs153" localSheetId="0" hidden="1">monday_model.lp!$EU$2</definedName>
    <definedName name="solver_lhs1530" localSheetId="0" hidden="1">monday_model.lp!$BFT$2</definedName>
    <definedName name="solver_lhs1531" localSheetId="0" hidden="1">monday_model.lp!$BFU$2</definedName>
    <definedName name="solver_lhs1532" localSheetId="0" hidden="1">monday_model.lp!$BFV$2</definedName>
    <definedName name="solver_lhs1533" localSheetId="0" hidden="1">monday_model.lp!$BFW$2</definedName>
    <definedName name="solver_lhs1534" localSheetId="0" hidden="1">monday_model.lp!$BFX$2</definedName>
    <definedName name="solver_lhs1535" localSheetId="0" hidden="1">monday_model.lp!$BFY$2</definedName>
    <definedName name="solver_lhs1536" localSheetId="0" hidden="1">monday_model.lp!$BFZ$2</definedName>
    <definedName name="solver_lhs1537" localSheetId="0" hidden="1">monday_model.lp!$BGA$2</definedName>
    <definedName name="solver_lhs1538" localSheetId="0" hidden="1">monday_model.lp!$BGB$2</definedName>
    <definedName name="solver_lhs1539" localSheetId="0" hidden="1">monday_model.lp!$BGC$2</definedName>
    <definedName name="solver_lhs154" localSheetId="0" hidden="1">monday_model.lp!$EV$2</definedName>
    <definedName name="solver_lhs1540" localSheetId="0" hidden="1">monday_model.lp!$BGD$2</definedName>
    <definedName name="solver_lhs1541" localSheetId="0" hidden="1">monday_model.lp!$BGE$2</definedName>
    <definedName name="solver_lhs1542" localSheetId="0" hidden="1">monday_model.lp!$BGF$2</definedName>
    <definedName name="solver_lhs1543" localSheetId="0" hidden="1">monday_model.lp!$BGG$2</definedName>
    <definedName name="solver_lhs1544" localSheetId="0" hidden="1">monday_model.lp!$BGH$2</definedName>
    <definedName name="solver_lhs1545" localSheetId="0" hidden="1">monday_model.lp!$BGI$2</definedName>
    <definedName name="solver_lhs1546" localSheetId="0" hidden="1">monday_model.lp!$BGJ$2</definedName>
    <definedName name="solver_lhs1547" localSheetId="0" hidden="1">monday_model.lp!$BGK$2</definedName>
    <definedName name="solver_lhs1548" localSheetId="0" hidden="1">monday_model.lp!$BGL$2</definedName>
    <definedName name="solver_lhs1549" localSheetId="0" hidden="1">monday_model.lp!$BGM$2</definedName>
    <definedName name="solver_lhs155" localSheetId="0" hidden="1">monday_model.lp!$EW$2</definedName>
    <definedName name="solver_lhs1550" localSheetId="0" hidden="1">monday_model.lp!$BGN$2</definedName>
    <definedName name="solver_lhs1551" localSheetId="0" hidden="1">monday_model.lp!$BGO$2</definedName>
    <definedName name="solver_lhs1552" localSheetId="0" hidden="1">monday_model.lp!$BGP$2</definedName>
    <definedName name="solver_lhs1553" localSheetId="0" hidden="1">monday_model.lp!$BGQ$2</definedName>
    <definedName name="solver_lhs1554" localSheetId="0" hidden="1">monday_model.lp!$BGR$2</definedName>
    <definedName name="solver_lhs1555" localSheetId="0" hidden="1">monday_model.lp!$BGS$2</definedName>
    <definedName name="solver_lhs1556" localSheetId="0" hidden="1">monday_model.lp!$BGT$2</definedName>
    <definedName name="solver_lhs1557" localSheetId="0" hidden="1">monday_model.lp!$BGU$2</definedName>
    <definedName name="solver_lhs1558" localSheetId="0" hidden="1">monday_model.lp!$BGV$2</definedName>
    <definedName name="solver_lhs1559" localSheetId="0" hidden="1">monday_model.lp!$BGW$2</definedName>
    <definedName name="solver_lhs156" localSheetId="0" hidden="1">monday_model.lp!$EX$2</definedName>
    <definedName name="solver_lhs1560" localSheetId="0" hidden="1">monday_model.lp!$BGX$2</definedName>
    <definedName name="solver_lhs1561" localSheetId="0" hidden="1">monday_model.lp!$BGY$2</definedName>
    <definedName name="solver_lhs1562" localSheetId="0" hidden="1">monday_model.lp!$BGZ$2</definedName>
    <definedName name="solver_lhs1563" localSheetId="0" hidden="1">monday_model.lp!$BHA$2</definedName>
    <definedName name="solver_lhs1564" localSheetId="0" hidden="1">monday_model.lp!$BHB$2</definedName>
    <definedName name="solver_lhs1565" localSheetId="0" hidden="1">monday_model.lp!$BHC$2</definedName>
    <definedName name="solver_lhs1566" localSheetId="0" hidden="1">monday_model.lp!$BHD$2</definedName>
    <definedName name="solver_lhs1567" localSheetId="0" hidden="1">monday_model.lp!$BHE$2</definedName>
    <definedName name="solver_lhs1568" localSheetId="0" hidden="1">monday_model.lp!$BHF$2</definedName>
    <definedName name="solver_lhs1569" localSheetId="0" hidden="1">monday_model.lp!$BHG$2</definedName>
    <definedName name="solver_lhs157" localSheetId="0" hidden="1">monday_model.lp!$EY$2</definedName>
    <definedName name="solver_lhs1570" localSheetId="0" hidden="1">monday_model.lp!$BHH$2</definedName>
    <definedName name="solver_lhs1571" localSheetId="0" hidden="1">monday_model.lp!$BHI$2</definedName>
    <definedName name="solver_lhs1572" localSheetId="0" hidden="1">monday_model.lp!$BHJ$2</definedName>
    <definedName name="solver_lhs1573" localSheetId="0" hidden="1">monday_model.lp!$BHK$2</definedName>
    <definedName name="solver_lhs1574" localSheetId="0" hidden="1">monday_model.lp!$BHL$2</definedName>
    <definedName name="solver_lhs1575" localSheetId="0" hidden="1">monday_model.lp!$BHM$2</definedName>
    <definedName name="solver_lhs1576" localSheetId="0" hidden="1">monday_model.lp!$BHN$2</definedName>
    <definedName name="solver_lhs1577" localSheetId="0" hidden="1">monday_model.lp!$BHO$2</definedName>
    <definedName name="solver_lhs1578" localSheetId="0" hidden="1">monday_model.lp!$BHP$2</definedName>
    <definedName name="solver_lhs1579" localSheetId="0" hidden="1">monday_model.lp!$BHQ$2</definedName>
    <definedName name="solver_lhs158" localSheetId="0" hidden="1">monday_model.lp!$EZ$2</definedName>
    <definedName name="solver_lhs1580" localSheetId="0" hidden="1">monday_model.lp!$BHR$2</definedName>
    <definedName name="solver_lhs1581" localSheetId="0" hidden="1">monday_model.lp!$BHS$2</definedName>
    <definedName name="solver_lhs1582" localSheetId="0" hidden="1">monday_model.lp!$BHT$2</definedName>
    <definedName name="solver_lhs1583" localSheetId="0" hidden="1">monday_model.lp!$BHU$2</definedName>
    <definedName name="solver_lhs1584" localSheetId="0" hidden="1">monday_model.lp!$BHV$2</definedName>
    <definedName name="solver_lhs1585" localSheetId="0" hidden="1">monday_model.lp!$BHW$2</definedName>
    <definedName name="solver_lhs1586" localSheetId="0" hidden="1">monday_model.lp!$BHX$2</definedName>
    <definedName name="solver_lhs1587" localSheetId="0" hidden="1">monday_model.lp!$BHY$2</definedName>
    <definedName name="solver_lhs1588" localSheetId="0" hidden="1">monday_model.lp!$BHZ$2</definedName>
    <definedName name="solver_lhs1589" localSheetId="0" hidden="1">monday_model.lp!$BIA$2</definedName>
    <definedName name="solver_lhs159" localSheetId="0" hidden="1">monday_model.lp!$FA$2</definedName>
    <definedName name="solver_lhs1590" localSheetId="0" hidden="1">monday_model.lp!$BIB$2</definedName>
    <definedName name="solver_lhs1591" localSheetId="0" hidden="1">monday_model.lp!$BIC$2</definedName>
    <definedName name="solver_lhs1592" localSheetId="0" hidden="1">monday_model.lp!$BID$2</definedName>
    <definedName name="solver_lhs1593" localSheetId="0" hidden="1">monday_model.lp!$BIE$2</definedName>
    <definedName name="solver_lhs1594" localSheetId="0" hidden="1">monday_model.lp!$BIF$2</definedName>
    <definedName name="solver_lhs1595" localSheetId="0" hidden="1">monday_model.lp!$BIG$2</definedName>
    <definedName name="solver_lhs1596" localSheetId="0" hidden="1">monday_model.lp!$BIH$2</definedName>
    <definedName name="solver_lhs1597" localSheetId="0" hidden="1">monday_model.lp!$BII$2</definedName>
    <definedName name="solver_lhs1598" localSheetId="0" hidden="1">monday_model.lp!$BIJ$2</definedName>
    <definedName name="solver_lhs1599" localSheetId="0" hidden="1">monday_model.lp!$BIK$2</definedName>
    <definedName name="solver_lhs16" localSheetId="0" hidden="1">monday_model.lp!$N$2</definedName>
    <definedName name="solver_lhs160" localSheetId="0" hidden="1">monday_model.lp!$FB$2</definedName>
    <definedName name="solver_lhs1600" localSheetId="0" hidden="1">monday_model.lp!$BIL$2</definedName>
    <definedName name="solver_lhs1601" localSheetId="0" hidden="1">monday_model.lp!$BIM$2</definedName>
    <definedName name="solver_lhs1602" localSheetId="0" hidden="1">monday_model.lp!$BIN$2</definedName>
    <definedName name="solver_lhs1603" localSheetId="0" hidden="1">monday_model.lp!$BIO$2</definedName>
    <definedName name="solver_lhs1604" localSheetId="0" hidden="1">monday_model.lp!$BIP$2</definedName>
    <definedName name="solver_lhs1605" localSheetId="0" hidden="1">monday_model.lp!$BIQ$2</definedName>
    <definedName name="solver_lhs1606" localSheetId="0" hidden="1">monday_model.lp!$BIR$2</definedName>
    <definedName name="solver_lhs1607" localSheetId="0" hidden="1">monday_model.lp!$BIS$2</definedName>
    <definedName name="solver_lhs1608" localSheetId="0" hidden="1">monday_model.lp!$BIT$2</definedName>
    <definedName name="solver_lhs1609" localSheetId="0" hidden="1">monday_model.lp!$BIU$2</definedName>
    <definedName name="solver_lhs161" localSheetId="0" hidden="1">monday_model.lp!$FC$2</definedName>
    <definedName name="solver_lhs1610" localSheetId="0" hidden="1">monday_model.lp!$BIV$2</definedName>
    <definedName name="solver_lhs1611" localSheetId="0" hidden="1">monday_model.lp!$BIW$2</definedName>
    <definedName name="solver_lhs1612" localSheetId="0" hidden="1">monday_model.lp!$BIX$2</definedName>
    <definedName name="solver_lhs1613" localSheetId="0" hidden="1">monday_model.lp!$BIY$2</definedName>
    <definedName name="solver_lhs1614" localSheetId="0" hidden="1">monday_model.lp!$BIZ$2</definedName>
    <definedName name="solver_lhs1615" localSheetId="0" hidden="1">monday_model.lp!$BJA$2</definedName>
    <definedName name="solver_lhs1616" localSheetId="0" hidden="1">monday_model.lp!$BJB$2</definedName>
    <definedName name="solver_lhs1617" localSheetId="0" hidden="1">monday_model.lp!$BJC$2</definedName>
    <definedName name="solver_lhs1618" localSheetId="0" hidden="1">monday_model.lp!$BJD$2</definedName>
    <definedName name="solver_lhs1619" localSheetId="0" hidden="1">monday_model.lp!$BJE$2</definedName>
    <definedName name="solver_lhs162" localSheetId="0" hidden="1">monday_model.lp!$FD$2</definedName>
    <definedName name="solver_lhs1620" localSheetId="0" hidden="1">monday_model.lp!$BJF$2</definedName>
    <definedName name="solver_lhs1621" localSheetId="0" hidden="1">monday_model.lp!$BJG$2</definedName>
    <definedName name="solver_lhs1622" localSheetId="0" hidden="1">monday_model.lp!$BJH$2</definedName>
    <definedName name="solver_lhs1623" localSheetId="0" hidden="1">monday_model.lp!$BJI$2</definedName>
    <definedName name="solver_lhs1624" localSheetId="0" hidden="1">monday_model.lp!$BJJ$2</definedName>
    <definedName name="solver_lhs1625" localSheetId="0" hidden="1">monday_model.lp!$BJK$2</definedName>
    <definedName name="solver_lhs1626" localSheetId="0" hidden="1">monday_model.lp!$BJL$2</definedName>
    <definedName name="solver_lhs1627" localSheetId="0" hidden="1">monday_model.lp!$BJM$2</definedName>
    <definedName name="solver_lhs1628" localSheetId="0" hidden="1">monday_model.lp!$BJN$2</definedName>
    <definedName name="solver_lhs1629" localSheetId="0" hidden="1">monday_model.lp!$BJO$2</definedName>
    <definedName name="solver_lhs163" localSheetId="0" hidden="1">monday_model.lp!$FE$2</definedName>
    <definedName name="solver_lhs1630" localSheetId="0" hidden="1">monday_model.lp!$BJP$2</definedName>
    <definedName name="solver_lhs1631" localSheetId="0" hidden="1">monday_model.lp!$BJQ$2</definedName>
    <definedName name="solver_lhs1632" localSheetId="0" hidden="1">monday_model.lp!$BJR$2</definedName>
    <definedName name="solver_lhs1633" localSheetId="0" hidden="1">monday_model.lp!$BJS$2</definedName>
    <definedName name="solver_lhs1634" localSheetId="0" hidden="1">monday_model.lp!$BJT$2</definedName>
    <definedName name="solver_lhs1635" localSheetId="0" hidden="1">monday_model.lp!$BJU$2</definedName>
    <definedName name="solver_lhs1636" localSheetId="0" hidden="1">monday_model.lp!$BJV$2</definedName>
    <definedName name="solver_lhs1637" localSheetId="0" hidden="1">monday_model.lp!$BJW$2</definedName>
    <definedName name="solver_lhs1638" localSheetId="0" hidden="1">monday_model.lp!$BJX$2</definedName>
    <definedName name="solver_lhs1639" localSheetId="0" hidden="1">monday_model.lp!$BJY$2</definedName>
    <definedName name="solver_lhs164" localSheetId="0" hidden="1">monday_model.lp!$FF$2</definedName>
    <definedName name="solver_lhs1640" localSheetId="0" hidden="1">monday_model.lp!$BJZ$2</definedName>
    <definedName name="solver_lhs1641" localSheetId="0" hidden="1">monday_model.lp!$BKA$2</definedName>
    <definedName name="solver_lhs1642" localSheetId="0" hidden="1">monday_model.lp!$BKB$2</definedName>
    <definedName name="solver_lhs1643" localSheetId="0" hidden="1">monday_model.lp!$BKC$2</definedName>
    <definedName name="solver_lhs1644" localSheetId="0" hidden="1">monday_model.lp!$BKD$2</definedName>
    <definedName name="solver_lhs1645" localSheetId="0" hidden="1">monday_model.lp!$BKE$2</definedName>
    <definedName name="solver_lhs1646" localSheetId="0" hidden="1">monday_model.lp!$BKF$2</definedName>
    <definedName name="solver_lhs1647" localSheetId="0" hidden="1">monday_model.lp!$BKG$2</definedName>
    <definedName name="solver_lhs1648" localSheetId="0" hidden="1">monday_model.lp!$BKH$2</definedName>
    <definedName name="solver_lhs1649" localSheetId="0" hidden="1">monday_model.lp!$BKI$2</definedName>
    <definedName name="solver_lhs165" localSheetId="0" hidden="1">monday_model.lp!$FG$2</definedName>
    <definedName name="solver_lhs1650" localSheetId="0" hidden="1">monday_model.lp!$BKJ$2</definedName>
    <definedName name="solver_lhs1651" localSheetId="0" hidden="1">monday_model.lp!$BKK$2</definedName>
    <definedName name="solver_lhs1652" localSheetId="0" hidden="1">monday_model.lp!$BKL$2</definedName>
    <definedName name="solver_lhs1653" localSheetId="0" hidden="1">monday_model.lp!$BKM$2</definedName>
    <definedName name="solver_lhs1654" localSheetId="0" hidden="1">monday_model.lp!$BKN$2</definedName>
    <definedName name="solver_lhs1655" localSheetId="0" hidden="1">monday_model.lp!$BKO$2</definedName>
    <definedName name="solver_lhs1656" localSheetId="0" hidden="1">monday_model.lp!$BKP$2</definedName>
    <definedName name="solver_lhs1657" localSheetId="0" hidden="1">monday_model.lp!$BKQ$2</definedName>
    <definedName name="solver_lhs1658" localSheetId="0" hidden="1">monday_model.lp!$BKR$2</definedName>
    <definedName name="solver_lhs1659" localSheetId="0" hidden="1">monday_model.lp!$BKS$2</definedName>
    <definedName name="solver_lhs166" localSheetId="0" hidden="1">monday_model.lp!$FH$2</definedName>
    <definedName name="solver_lhs1660" localSheetId="0" hidden="1">monday_model.lp!$BKT$2</definedName>
    <definedName name="solver_lhs1661" localSheetId="0" hidden="1">monday_model.lp!$BKU$2</definedName>
    <definedName name="solver_lhs1662" localSheetId="0" hidden="1">monday_model.lp!$BKV$2</definedName>
    <definedName name="solver_lhs1663" localSheetId="0" hidden="1">monday_model.lp!$BKW$2</definedName>
    <definedName name="solver_lhs1664" localSheetId="0" hidden="1">monday_model.lp!$BKX$2</definedName>
    <definedName name="solver_lhs1665" localSheetId="0" hidden="1">monday_model.lp!$BKY$2</definedName>
    <definedName name="solver_lhs1666" localSheetId="0" hidden="1">monday_model.lp!$BKZ$2</definedName>
    <definedName name="solver_lhs1667" localSheetId="0" hidden="1">monday_model.lp!$BLA$2</definedName>
    <definedName name="solver_lhs1668" localSheetId="0" hidden="1">monday_model.lp!$BLB$2</definedName>
    <definedName name="solver_lhs1669" localSheetId="0" hidden="1">monday_model.lp!$BLC$2</definedName>
    <definedName name="solver_lhs167" localSheetId="0" hidden="1">monday_model.lp!$FI$2</definedName>
    <definedName name="solver_lhs1670" localSheetId="0" hidden="1">monday_model.lp!$BLD$2</definedName>
    <definedName name="solver_lhs1671" localSheetId="0" hidden="1">monday_model.lp!$BLE$2</definedName>
    <definedName name="solver_lhs1672" localSheetId="0" hidden="1">monday_model.lp!$BLF$2</definedName>
    <definedName name="solver_lhs1673" localSheetId="0" hidden="1">monday_model.lp!$BLG$2</definedName>
    <definedName name="solver_lhs1674" localSheetId="0" hidden="1">monday_model.lp!$BLH$2</definedName>
    <definedName name="solver_lhs1675" localSheetId="0" hidden="1">monday_model.lp!$BLI$2</definedName>
    <definedName name="solver_lhs1676" localSheetId="0" hidden="1">monday_model.lp!$BLJ$2</definedName>
    <definedName name="solver_lhs1677" localSheetId="0" hidden="1">monday_model.lp!$BLK$2</definedName>
    <definedName name="solver_lhs1678" localSheetId="0" hidden="1">monday_model.lp!$BLL$2</definedName>
    <definedName name="solver_lhs1679" localSheetId="0" hidden="1">monday_model.lp!$BLM$2</definedName>
    <definedName name="solver_lhs168" localSheetId="0" hidden="1">monday_model.lp!$FJ$2</definedName>
    <definedName name="solver_lhs1680" localSheetId="0" hidden="1">monday_model.lp!$BLN$2</definedName>
    <definedName name="solver_lhs1681" localSheetId="0" hidden="1">monday_model.lp!$BLO$2</definedName>
    <definedName name="solver_lhs1682" localSheetId="0" hidden="1">monday_model.lp!$BLP$2</definedName>
    <definedName name="solver_lhs1683" localSheetId="0" hidden="1">monday_model.lp!$BLQ$2</definedName>
    <definedName name="solver_lhs1684" localSheetId="0" hidden="1">monday_model.lp!$BLR$2</definedName>
    <definedName name="solver_lhs1685" localSheetId="0" hidden="1">monday_model.lp!$BLS$2</definedName>
    <definedName name="solver_lhs1686" localSheetId="0" hidden="1">monday_model.lp!$BLT$2</definedName>
    <definedName name="solver_lhs1687" localSheetId="0" hidden="1">monday_model.lp!$BLU$2</definedName>
    <definedName name="solver_lhs1688" localSheetId="0" hidden="1">monday_model.lp!$BLV$2</definedName>
    <definedName name="solver_lhs1689" localSheetId="0" hidden="1">monday_model.lp!$BLW$2</definedName>
    <definedName name="solver_lhs169" localSheetId="0" hidden="1">monday_model.lp!$FK$2</definedName>
    <definedName name="solver_lhs1690" localSheetId="0" hidden="1">monday_model.lp!$BLX$2</definedName>
    <definedName name="solver_lhs1691" localSheetId="0" hidden="1">monday_model.lp!$BLY$2</definedName>
    <definedName name="solver_lhs1692" localSheetId="0" hidden="1">monday_model.lp!$BLZ$2</definedName>
    <definedName name="solver_lhs1693" localSheetId="0" hidden="1">monday_model.lp!$BMA$2</definedName>
    <definedName name="solver_lhs1694" localSheetId="0" hidden="1">monday_model.lp!$BMB$2</definedName>
    <definedName name="solver_lhs1695" localSheetId="0" hidden="1">monday_model.lp!$BMC$2</definedName>
    <definedName name="solver_lhs1696" localSheetId="0" hidden="1">monday_model.lp!$BMD$2</definedName>
    <definedName name="solver_lhs1697" localSheetId="0" hidden="1">monday_model.lp!$BME$2</definedName>
    <definedName name="solver_lhs1698" localSheetId="0" hidden="1">monday_model.lp!$BMF$2</definedName>
    <definedName name="solver_lhs1699" localSheetId="0" hidden="1">monday_model.lp!$BMG$2</definedName>
    <definedName name="solver_lhs17" localSheetId="0" hidden="1">monday_model.lp!$O$2</definedName>
    <definedName name="solver_lhs170" localSheetId="0" hidden="1">monday_model.lp!$FL$2</definedName>
    <definedName name="solver_lhs1700" localSheetId="0" hidden="1">monday_model.lp!$BMH$2</definedName>
    <definedName name="solver_lhs1701" localSheetId="0" hidden="1">monday_model.lp!$BMI$2</definedName>
    <definedName name="solver_lhs1702" localSheetId="0" hidden="1">monday_model.lp!$BMJ$2</definedName>
    <definedName name="solver_lhs1703" localSheetId="0" hidden="1">monday_model.lp!$BMK$2</definedName>
    <definedName name="solver_lhs1704" localSheetId="0" hidden="1">monday_model.lp!$BML$2</definedName>
    <definedName name="solver_lhs1705" localSheetId="0" hidden="1">monday_model.lp!$BMM$2</definedName>
    <definedName name="solver_lhs1706" localSheetId="0" hidden="1">monday_model.lp!$BMN$2</definedName>
    <definedName name="solver_lhs1707" localSheetId="0" hidden="1">monday_model.lp!$BMO$2</definedName>
    <definedName name="solver_lhs1708" localSheetId="0" hidden="1">monday_model.lp!$BMP$2</definedName>
    <definedName name="solver_lhs1709" localSheetId="0" hidden="1">monday_model.lp!$BMQ$2</definedName>
    <definedName name="solver_lhs171" localSheetId="0" hidden="1">monday_model.lp!$FM$2</definedName>
    <definedName name="solver_lhs1710" localSheetId="0" hidden="1">monday_model.lp!$BMR$2</definedName>
    <definedName name="solver_lhs1711" localSheetId="0" hidden="1">monday_model.lp!$BMS$2</definedName>
    <definedName name="solver_lhs1712" localSheetId="0" hidden="1">monday_model.lp!$BMT$2</definedName>
    <definedName name="solver_lhs1713" localSheetId="0" hidden="1">monday_model.lp!$BMU$2</definedName>
    <definedName name="solver_lhs1714" localSheetId="0" hidden="1">monday_model.lp!$BMV$2</definedName>
    <definedName name="solver_lhs1715" localSheetId="0" hidden="1">monday_model.lp!$BMW$2</definedName>
    <definedName name="solver_lhs1716" localSheetId="0" hidden="1">monday_model.lp!$BMX$2</definedName>
    <definedName name="solver_lhs1717" localSheetId="0" hidden="1">monday_model.lp!$BMY$2</definedName>
    <definedName name="solver_lhs1718" localSheetId="0" hidden="1">monday_model.lp!$BMZ$2</definedName>
    <definedName name="solver_lhs1719" localSheetId="0" hidden="1">monday_model.lp!$BNA$2</definedName>
    <definedName name="solver_lhs172" localSheetId="0" hidden="1">monday_model.lp!$FN$2</definedName>
    <definedName name="solver_lhs1720" localSheetId="0" hidden="1">monday_model.lp!$BNB$2</definedName>
    <definedName name="solver_lhs1721" localSheetId="0" hidden="1">monday_model.lp!$BNC$2</definedName>
    <definedName name="solver_lhs1722" localSheetId="0" hidden="1">monday_model.lp!$BND$2</definedName>
    <definedName name="solver_lhs1723" localSheetId="0" hidden="1">monday_model.lp!$BNE$2</definedName>
    <definedName name="solver_lhs1724" localSheetId="0" hidden="1">monday_model.lp!$BNF$2</definedName>
    <definedName name="solver_lhs1725" localSheetId="0" hidden="1">monday_model.lp!$BNG$2</definedName>
    <definedName name="solver_lhs1726" localSheetId="0" hidden="1">monday_model.lp!$BNH$2</definedName>
    <definedName name="solver_lhs1727" localSheetId="0" hidden="1">monday_model.lp!$BNI$2</definedName>
    <definedName name="solver_lhs1728" localSheetId="0" hidden="1">monday_model.lp!$BNJ$2</definedName>
    <definedName name="solver_lhs1729" localSheetId="0" hidden="1">monday_model.lp!$BNK$2</definedName>
    <definedName name="solver_lhs173" localSheetId="0" hidden="1">monday_model.lp!$FO$2</definedName>
    <definedName name="solver_lhs1730" localSheetId="0" hidden="1">monday_model.lp!$BNL$2</definedName>
    <definedName name="solver_lhs1731" localSheetId="0" hidden="1">monday_model.lp!$BNM$2</definedName>
    <definedName name="solver_lhs1732" localSheetId="0" hidden="1">monday_model.lp!$BNN$2</definedName>
    <definedName name="solver_lhs1733" localSheetId="0" hidden="1">monday_model.lp!$BNO$2</definedName>
    <definedName name="solver_lhs1734" localSheetId="0" hidden="1">monday_model.lp!$BNP$2</definedName>
    <definedName name="solver_lhs1735" localSheetId="0" hidden="1">monday_model.lp!$BNQ$2</definedName>
    <definedName name="solver_lhs1736" localSheetId="0" hidden="1">monday_model.lp!$BNR$2</definedName>
    <definedName name="solver_lhs1737" localSheetId="0" hidden="1">monday_model.lp!$BNS$2</definedName>
    <definedName name="solver_lhs1738" localSheetId="0" hidden="1">monday_model.lp!$BNT$2</definedName>
    <definedName name="solver_lhs1739" localSheetId="0" hidden="1">monday_model.lp!$BNU$2</definedName>
    <definedName name="solver_lhs174" localSheetId="0" hidden="1">monday_model.lp!$FP$2</definedName>
    <definedName name="solver_lhs1740" localSheetId="0" hidden="1">monday_model.lp!$BNV$2</definedName>
    <definedName name="solver_lhs1741" localSheetId="0" hidden="1">monday_model.lp!$BNW$2</definedName>
    <definedName name="solver_lhs1742" localSheetId="0" hidden="1">monday_model.lp!$BNX$2</definedName>
    <definedName name="solver_lhs1743" localSheetId="0" hidden="1">monday_model.lp!$BNY$2</definedName>
    <definedName name="solver_lhs1744" localSheetId="0" hidden="1">monday_model.lp!$BNZ$2</definedName>
    <definedName name="solver_lhs1745" localSheetId="0" hidden="1">monday_model.lp!$BOA$2</definedName>
    <definedName name="solver_lhs1746" localSheetId="0" hidden="1">monday_model.lp!$BOB$2</definedName>
    <definedName name="solver_lhs1747" localSheetId="0" hidden="1">monday_model.lp!$BOC$2</definedName>
    <definedName name="solver_lhs1748" localSheetId="0" hidden="1">monday_model.lp!$BOD$2</definedName>
    <definedName name="solver_lhs1749" localSheetId="0" hidden="1">monday_model.lp!$BOE$2</definedName>
    <definedName name="solver_lhs175" localSheetId="0" hidden="1">monday_model.lp!$FQ$2</definedName>
    <definedName name="solver_lhs1750" localSheetId="0" hidden="1">monday_model.lp!$BOF$2</definedName>
    <definedName name="solver_lhs1751" localSheetId="0" hidden="1">monday_model.lp!$BOG$2</definedName>
    <definedName name="solver_lhs1752" localSheetId="0" hidden="1">monday_model.lp!$BOH$2</definedName>
    <definedName name="solver_lhs1753" localSheetId="0" hidden="1">monday_model.lp!$BOI$2</definedName>
    <definedName name="solver_lhs1754" localSheetId="0" hidden="1">monday_model.lp!$BOJ$2</definedName>
    <definedName name="solver_lhs1755" localSheetId="0" hidden="1">monday_model.lp!$BOK$2</definedName>
    <definedName name="solver_lhs1756" localSheetId="0" hidden="1">monday_model.lp!$BOL$2</definedName>
    <definedName name="solver_lhs1757" localSheetId="0" hidden="1">monday_model.lp!$BOM$2</definedName>
    <definedName name="solver_lhs1758" localSheetId="0" hidden="1">monday_model.lp!$BON$2</definedName>
    <definedName name="solver_lhs1759" localSheetId="0" hidden="1">monday_model.lp!$BOO$2</definedName>
    <definedName name="solver_lhs176" localSheetId="0" hidden="1">monday_model.lp!$FR$2</definedName>
    <definedName name="solver_lhs1760" localSheetId="0" hidden="1">monday_model.lp!$BOP$2</definedName>
    <definedName name="solver_lhs1761" localSheetId="0" hidden="1">monday_model.lp!$BOQ$2</definedName>
    <definedName name="solver_lhs1762" localSheetId="0" hidden="1">monday_model.lp!$BOR$2</definedName>
    <definedName name="solver_lhs1763" localSheetId="0" hidden="1">monday_model.lp!$BOS$2</definedName>
    <definedName name="solver_lhs1764" localSheetId="0" hidden="1">monday_model.lp!$BOT$2</definedName>
    <definedName name="solver_lhs1765" localSheetId="0" hidden="1">monday_model.lp!$BOU$2</definedName>
    <definedName name="solver_lhs1766" localSheetId="0" hidden="1">monday_model.lp!$BOV$2</definedName>
    <definedName name="solver_lhs1767" localSheetId="0" hidden="1">monday_model.lp!$BOW$2</definedName>
    <definedName name="solver_lhs1768" localSheetId="0" hidden="1">monday_model.lp!$BOX$2</definedName>
    <definedName name="solver_lhs1769" localSheetId="0" hidden="1">monday_model.lp!$BOY$2</definedName>
    <definedName name="solver_lhs177" localSheetId="0" hidden="1">monday_model.lp!$FS$2</definedName>
    <definedName name="solver_lhs1770" localSheetId="0" hidden="1">monday_model.lp!$BOZ$2</definedName>
    <definedName name="solver_lhs1771" localSheetId="0" hidden="1">monday_model.lp!$BPA$2</definedName>
    <definedName name="solver_lhs1772" localSheetId="0" hidden="1">monday_model.lp!$BPB$2</definedName>
    <definedName name="solver_lhs1773" localSheetId="0" hidden="1">monday_model.lp!$BPC$2</definedName>
    <definedName name="solver_lhs1774" localSheetId="0" hidden="1">monday_model.lp!$BPD$2</definedName>
    <definedName name="solver_lhs1775" localSheetId="0" hidden="1">monday_model.lp!$BPE$2</definedName>
    <definedName name="solver_lhs1776" localSheetId="0" hidden="1">monday_model.lp!$BPF$2</definedName>
    <definedName name="solver_lhs1777" localSheetId="0" hidden="1">monday_model.lp!$BPG$2</definedName>
    <definedName name="solver_lhs1778" localSheetId="0" hidden="1">monday_model.lp!$BPH$2</definedName>
    <definedName name="solver_lhs1779" localSheetId="0" hidden="1">monday_model.lp!$BPI$2</definedName>
    <definedName name="solver_lhs178" localSheetId="0" hidden="1">monday_model.lp!$FT$2</definedName>
    <definedName name="solver_lhs1780" localSheetId="0" hidden="1">monday_model.lp!$BPJ$2</definedName>
    <definedName name="solver_lhs1781" localSheetId="0" hidden="1">monday_model.lp!$BPK$2</definedName>
    <definedName name="solver_lhs1782" localSheetId="0" hidden="1">monday_model.lp!$BPL$2</definedName>
    <definedName name="solver_lhs1783" localSheetId="0" hidden="1">monday_model.lp!$BPM$2</definedName>
    <definedName name="solver_lhs1784" localSheetId="0" hidden="1">monday_model.lp!$BPN$2</definedName>
    <definedName name="solver_lhs1785" localSheetId="0" hidden="1">monday_model.lp!$BPO$2</definedName>
    <definedName name="solver_lhs1786" localSheetId="0" hidden="1">monday_model.lp!$BPP$2</definedName>
    <definedName name="solver_lhs1787" localSheetId="0" hidden="1">monday_model.lp!$BPQ$2</definedName>
    <definedName name="solver_lhs1788" localSheetId="0" hidden="1">monday_model.lp!$BPR$2</definedName>
    <definedName name="solver_lhs1789" localSheetId="0" hidden="1">monday_model.lp!$BPS$2</definedName>
    <definedName name="solver_lhs179" localSheetId="0" hidden="1">monday_model.lp!$FU$2</definedName>
    <definedName name="solver_lhs1790" localSheetId="0" hidden="1">monday_model.lp!$BPT$2</definedName>
    <definedName name="solver_lhs1791" localSheetId="0" hidden="1">monday_model.lp!$BPU$2</definedName>
    <definedName name="solver_lhs1792" localSheetId="0" hidden="1">monday_model.lp!$BPV$2</definedName>
    <definedName name="solver_lhs1793" localSheetId="0" hidden="1">monday_model.lp!$BPW$2</definedName>
    <definedName name="solver_lhs1794" localSheetId="0" hidden="1">monday_model.lp!$BPX$2</definedName>
    <definedName name="solver_lhs1795" localSheetId="0" hidden="1">monday_model.lp!$BPY$2</definedName>
    <definedName name="solver_lhs1796" localSheetId="0" hidden="1">monday_model.lp!$BPZ$2</definedName>
    <definedName name="solver_lhs1797" localSheetId="0" hidden="1">monday_model.lp!$BQA$2</definedName>
    <definedName name="solver_lhs1798" localSheetId="0" hidden="1">monday_model.lp!$BQB$2</definedName>
    <definedName name="solver_lhs1799" localSheetId="0" hidden="1">monday_model.lp!$BQC$2</definedName>
    <definedName name="solver_lhs18" localSheetId="0" hidden="1">monday_model.lp!$P$2</definedName>
    <definedName name="solver_lhs180" localSheetId="0" hidden="1">monday_model.lp!$FV$2</definedName>
    <definedName name="solver_lhs1800" localSheetId="0" hidden="1">monday_model.lp!$BQD$2</definedName>
    <definedName name="solver_lhs1801" localSheetId="0" hidden="1">monday_model.lp!$BQE$2</definedName>
    <definedName name="solver_lhs1802" localSheetId="0" hidden="1">monday_model.lp!$BQF$2</definedName>
    <definedName name="solver_lhs1803" localSheetId="0" hidden="1">monday_model.lp!$BQG$2</definedName>
    <definedName name="solver_lhs1804" localSheetId="0" hidden="1">monday_model.lp!$BQH$2</definedName>
    <definedName name="solver_lhs1805" localSheetId="0" hidden="1">monday_model.lp!$BQI$2</definedName>
    <definedName name="solver_lhs1806" localSheetId="0" hidden="1">monday_model.lp!$BQJ$2</definedName>
    <definedName name="solver_lhs1807" localSheetId="0" hidden="1">monday_model.lp!$BQK$2</definedName>
    <definedName name="solver_lhs1808" localSheetId="0" hidden="1">monday_model.lp!$BQL$2</definedName>
    <definedName name="solver_lhs1809" localSheetId="0" hidden="1">monday_model.lp!$BQM$2</definedName>
    <definedName name="solver_lhs181" localSheetId="0" hidden="1">monday_model.lp!$FW$2</definedName>
    <definedName name="solver_lhs1810" localSheetId="0" hidden="1">monday_model.lp!$BQN$2</definedName>
    <definedName name="solver_lhs1811" localSheetId="0" hidden="1">monday_model.lp!$BQO$2</definedName>
    <definedName name="solver_lhs1812" localSheetId="0" hidden="1">monday_model.lp!$BQP$2</definedName>
    <definedName name="solver_lhs1813" localSheetId="0" hidden="1">monday_model.lp!$BQQ$2</definedName>
    <definedName name="solver_lhs1814" localSheetId="0" hidden="1">monday_model.lp!$BQR$2</definedName>
    <definedName name="solver_lhs1815" localSheetId="0" hidden="1">monday_model.lp!$BQS$2</definedName>
    <definedName name="solver_lhs1816" localSheetId="0" hidden="1">monday_model.lp!$BQT$2</definedName>
    <definedName name="solver_lhs1817" localSheetId="0" hidden="1">monday_model.lp!$BQU$2</definedName>
    <definedName name="solver_lhs1818" localSheetId="0" hidden="1">monday_model.lp!$BQV$2</definedName>
    <definedName name="solver_lhs1819" localSheetId="0" hidden="1">monday_model.lp!$BQW$2</definedName>
    <definedName name="solver_lhs182" localSheetId="0" hidden="1">monday_model.lp!$FX$2</definedName>
    <definedName name="solver_lhs1820" localSheetId="0" hidden="1">monday_model.lp!$BQX$2</definedName>
    <definedName name="solver_lhs1821" localSheetId="0" hidden="1">monday_model.lp!$BQY$2</definedName>
    <definedName name="solver_lhs1822" localSheetId="0" hidden="1">monday_model.lp!$BQZ$2</definedName>
    <definedName name="solver_lhs1823" localSheetId="0" hidden="1">monday_model.lp!$BRA$2</definedName>
    <definedName name="solver_lhs1824" localSheetId="0" hidden="1">monday_model.lp!$BRB$2</definedName>
    <definedName name="solver_lhs1825" localSheetId="0" hidden="1">monday_model.lp!$BRC$2</definedName>
    <definedName name="solver_lhs1826" localSheetId="0" hidden="1">monday_model.lp!$BRD$2</definedName>
    <definedName name="solver_lhs1827" localSheetId="0" hidden="1">monday_model.lp!$BRE$2</definedName>
    <definedName name="solver_lhs1828" localSheetId="0" hidden="1">monday_model.lp!$BRF$2</definedName>
    <definedName name="solver_lhs1829" localSheetId="0" hidden="1">monday_model.lp!$BRG$2</definedName>
    <definedName name="solver_lhs183" localSheetId="0" hidden="1">monday_model.lp!$FY$2</definedName>
    <definedName name="solver_lhs1830" localSheetId="0" hidden="1">monday_model.lp!$BRH$2</definedName>
    <definedName name="solver_lhs1831" localSheetId="0" hidden="1">monday_model.lp!$BRI$2</definedName>
    <definedName name="solver_lhs1832" localSheetId="0" hidden="1">monday_model.lp!$BRJ$2</definedName>
    <definedName name="solver_lhs1833" localSheetId="0" hidden="1">monday_model.lp!$BRK$2</definedName>
    <definedName name="solver_lhs1834" localSheetId="0" hidden="1">monday_model.lp!$BRL$2</definedName>
    <definedName name="solver_lhs1835" localSheetId="0" hidden="1">monday_model.lp!$BRM$2</definedName>
    <definedName name="solver_lhs1836" localSheetId="0" hidden="1">monday_model.lp!$BRN$2</definedName>
    <definedName name="solver_lhs1837" localSheetId="0" hidden="1">monday_model.lp!$BRO$2</definedName>
    <definedName name="solver_lhs1838" localSheetId="0" hidden="1">monday_model.lp!$BRP$2</definedName>
    <definedName name="solver_lhs1839" localSheetId="0" hidden="1">monday_model.lp!$BRQ$2</definedName>
    <definedName name="solver_lhs184" localSheetId="0" hidden="1">monday_model.lp!$FZ$2</definedName>
    <definedName name="solver_lhs1840" localSheetId="0" hidden="1">monday_model.lp!$BRR$2</definedName>
    <definedName name="solver_lhs1841" localSheetId="0" hidden="1">monday_model.lp!$BRS$2</definedName>
    <definedName name="solver_lhs1842" localSheetId="0" hidden="1">monday_model.lp!$BRT$2</definedName>
    <definedName name="solver_lhs1843" localSheetId="0" hidden="1">monday_model.lp!$BRU$2</definedName>
    <definedName name="solver_lhs1844" localSheetId="0" hidden="1">monday_model.lp!$BRV$2</definedName>
    <definedName name="solver_lhs1845" localSheetId="0" hidden="1">monday_model.lp!$BRW$2</definedName>
    <definedName name="solver_lhs1846" localSheetId="0" hidden="1">monday_model.lp!$BRX$2</definedName>
    <definedName name="solver_lhs1847" localSheetId="0" hidden="1">monday_model.lp!$BRY$2</definedName>
    <definedName name="solver_lhs1848" localSheetId="0" hidden="1">monday_model.lp!$BRZ$2</definedName>
    <definedName name="solver_lhs1849" localSheetId="0" hidden="1">monday_model.lp!$BSA$2</definedName>
    <definedName name="solver_lhs185" localSheetId="0" hidden="1">monday_model.lp!$GA$2</definedName>
    <definedName name="solver_lhs1850" localSheetId="0" hidden="1">monday_model.lp!$BSB$2</definedName>
    <definedName name="solver_lhs1851" localSheetId="0" hidden="1">monday_model.lp!$BSC$2</definedName>
    <definedName name="solver_lhs1852" localSheetId="0" hidden="1">monday_model.lp!$BSD$2</definedName>
    <definedName name="solver_lhs1853" localSheetId="0" hidden="1">monday_model.lp!$BSE$2</definedName>
    <definedName name="solver_lhs1854" localSheetId="0" hidden="1">monday_model.lp!$BSF$2</definedName>
    <definedName name="solver_lhs1855" localSheetId="0" hidden="1">monday_model.lp!$BSG$2</definedName>
    <definedName name="solver_lhs1856" localSheetId="0" hidden="1">monday_model.lp!$BSH$2</definedName>
    <definedName name="solver_lhs1857" localSheetId="0" hidden="1">monday_model.lp!$BSI$2</definedName>
    <definedName name="solver_lhs1858" localSheetId="0" hidden="1">monday_model.lp!$BSJ$2</definedName>
    <definedName name="solver_lhs1859" localSheetId="0" hidden="1">monday_model.lp!$BSK$2</definedName>
    <definedName name="solver_lhs186" localSheetId="0" hidden="1">monday_model.lp!$GB$2</definedName>
    <definedName name="solver_lhs1860" localSheetId="0" hidden="1">monday_model.lp!$BSL$2</definedName>
    <definedName name="solver_lhs1861" localSheetId="0" hidden="1">monday_model.lp!$BSM$2</definedName>
    <definedName name="solver_lhs1862" localSheetId="0" hidden="1">monday_model.lp!$BSN$2</definedName>
    <definedName name="solver_lhs1863" localSheetId="0" hidden="1">monday_model.lp!$BSO$2</definedName>
    <definedName name="solver_lhs1864" localSheetId="0" hidden="1">monday_model.lp!$BSP$2</definedName>
    <definedName name="solver_lhs1865" localSheetId="0" hidden="1">monday_model.lp!$BSQ$2</definedName>
    <definedName name="solver_lhs1866" localSheetId="0" hidden="1">monday_model.lp!$BSR$2</definedName>
    <definedName name="solver_lhs1867" localSheetId="0" hidden="1">monday_model.lp!$BSS$2</definedName>
    <definedName name="solver_lhs1868" localSheetId="0" hidden="1">monday_model.lp!$BST$2</definedName>
    <definedName name="solver_lhs1869" localSheetId="0" hidden="1">monday_model.lp!$BSU$2</definedName>
    <definedName name="solver_lhs187" localSheetId="0" hidden="1">monday_model.lp!$GC$2</definedName>
    <definedName name="solver_lhs1870" localSheetId="0" hidden="1">monday_model.lp!$BSV$2</definedName>
    <definedName name="solver_lhs1871" localSheetId="0" hidden="1">monday_model.lp!$BSW$2</definedName>
    <definedName name="solver_lhs1872" localSheetId="0" hidden="1">monday_model.lp!$BSX$2</definedName>
    <definedName name="solver_lhs1873" localSheetId="0" hidden="1">monday_model.lp!$BSY$2</definedName>
    <definedName name="solver_lhs1874" localSheetId="0" hidden="1">monday_model.lp!$BSZ$2</definedName>
    <definedName name="solver_lhs1875" localSheetId="0" hidden="1">monday_model.lp!$BTA$2</definedName>
    <definedName name="solver_lhs1876" localSheetId="0" hidden="1">monday_model.lp!$BTB$2</definedName>
    <definedName name="solver_lhs1877" localSheetId="0" hidden="1">monday_model.lp!$BTC$2</definedName>
    <definedName name="solver_lhs1878" localSheetId="0" hidden="1">monday_model.lp!$BTD$2</definedName>
    <definedName name="solver_lhs1879" localSheetId="0" hidden="1">monday_model.lp!$BTE$2</definedName>
    <definedName name="solver_lhs188" localSheetId="0" hidden="1">monday_model.lp!$GD$2</definedName>
    <definedName name="solver_lhs1880" localSheetId="0" hidden="1">monday_model.lp!$BTF$2</definedName>
    <definedName name="solver_lhs1881" localSheetId="0" hidden="1">monday_model.lp!$BTG$2</definedName>
    <definedName name="solver_lhs1882" localSheetId="0" hidden="1">monday_model.lp!$BTH$2</definedName>
    <definedName name="solver_lhs1883" localSheetId="0" hidden="1">monday_model.lp!$BTI$2</definedName>
    <definedName name="solver_lhs1884" localSheetId="0" hidden="1">monday_model.lp!$BTJ$2</definedName>
    <definedName name="solver_lhs1885" localSheetId="0" hidden="1">monday_model.lp!$BTK$2</definedName>
    <definedName name="solver_lhs1886" localSheetId="0" hidden="1">monday_model.lp!$BTL$2</definedName>
    <definedName name="solver_lhs1887" localSheetId="0" hidden="1">monday_model.lp!$BTM$2</definedName>
    <definedName name="solver_lhs1888" localSheetId="0" hidden="1">monday_model.lp!$BTN$2</definedName>
    <definedName name="solver_lhs1889" localSheetId="0" hidden="1">monday_model.lp!$BTO$2</definedName>
    <definedName name="solver_lhs189" localSheetId="0" hidden="1">monday_model.lp!$GE$2</definedName>
    <definedName name="solver_lhs1890" localSheetId="0" hidden="1">monday_model.lp!$BTP$2</definedName>
    <definedName name="solver_lhs1891" localSheetId="0" hidden="1">monday_model.lp!$BTQ$2</definedName>
    <definedName name="solver_lhs1892" localSheetId="0" hidden="1">monday_model.lp!$BTR$2</definedName>
    <definedName name="solver_lhs1893" localSheetId="0" hidden="1">monday_model.lp!$BTS$2</definedName>
    <definedName name="solver_lhs1894" localSheetId="0" hidden="1">monday_model.lp!$BTT$2</definedName>
    <definedName name="solver_lhs1895" localSheetId="0" hidden="1">monday_model.lp!$BTU$2</definedName>
    <definedName name="solver_lhs1896" localSheetId="0" hidden="1">monday_model.lp!$BTV$2</definedName>
    <definedName name="solver_lhs1897" localSheetId="0" hidden="1">monday_model.lp!$BTW$2</definedName>
    <definedName name="solver_lhs1898" localSheetId="0" hidden="1">monday_model.lp!$BTX$2</definedName>
    <definedName name="solver_lhs1899" localSheetId="0" hidden="1">monday_model.lp!$BTY$2</definedName>
    <definedName name="solver_lhs19" localSheetId="0" hidden="1">monday_model.lp!$Q$2</definedName>
    <definedName name="solver_lhs190" localSheetId="0" hidden="1">monday_model.lp!$GF$2</definedName>
    <definedName name="solver_lhs1900" localSheetId="0" hidden="1">monday_model.lp!$BTZ$2</definedName>
    <definedName name="solver_lhs1901" localSheetId="0" hidden="1">monday_model.lp!$BUA$2</definedName>
    <definedName name="solver_lhs1902" localSheetId="0" hidden="1">monday_model.lp!$BUB$2</definedName>
    <definedName name="solver_lhs1903" localSheetId="0" hidden="1">monday_model.lp!$BUC$2</definedName>
    <definedName name="solver_lhs1904" localSheetId="0" hidden="1">monday_model.lp!$BUD$2</definedName>
    <definedName name="solver_lhs1905" localSheetId="0" hidden="1">monday_model.lp!$BUE$2</definedName>
    <definedName name="solver_lhs1906" localSheetId="0" hidden="1">monday_model.lp!$BUF$2</definedName>
    <definedName name="solver_lhs1907" localSheetId="0" hidden="1">monday_model.lp!$BUG$2</definedName>
    <definedName name="solver_lhs1908" localSheetId="0" hidden="1">monday_model.lp!$BUH$2</definedName>
    <definedName name="solver_lhs1909" localSheetId="0" hidden="1">monday_model.lp!$BUI$2</definedName>
    <definedName name="solver_lhs191" localSheetId="0" hidden="1">monday_model.lp!$GG$2</definedName>
    <definedName name="solver_lhs1910" localSheetId="0" hidden="1">monday_model.lp!$BUJ$2</definedName>
    <definedName name="solver_lhs1911" localSheetId="0" hidden="1">monday_model.lp!$BUK$2</definedName>
    <definedName name="solver_lhs1912" localSheetId="0" hidden="1">monday_model.lp!$BUL$2</definedName>
    <definedName name="solver_lhs1913" localSheetId="0" hidden="1">monday_model.lp!$BUM$2</definedName>
    <definedName name="solver_lhs1914" localSheetId="0" hidden="1">monday_model.lp!$BUN$2</definedName>
    <definedName name="solver_lhs1915" localSheetId="0" hidden="1">monday_model.lp!$BUO$2</definedName>
    <definedName name="solver_lhs1916" localSheetId="0" hidden="1">monday_model.lp!$BUP$2</definedName>
    <definedName name="solver_lhs1917" localSheetId="0" hidden="1">monday_model.lp!$BUQ$2</definedName>
    <definedName name="solver_lhs1918" localSheetId="0" hidden="1">monday_model.lp!$BUR$2</definedName>
    <definedName name="solver_lhs1919" localSheetId="0" hidden="1">monday_model.lp!$BUS$2</definedName>
    <definedName name="solver_lhs192" localSheetId="0" hidden="1">monday_model.lp!$GH$2</definedName>
    <definedName name="solver_lhs1920" localSheetId="0" hidden="1">monday_model.lp!$BUT$2</definedName>
    <definedName name="solver_lhs1921" localSheetId="0" hidden="1">monday_model.lp!$BUU$2</definedName>
    <definedName name="solver_lhs1922" localSheetId="0" hidden="1">monday_model.lp!$BUV$2</definedName>
    <definedName name="solver_lhs1923" localSheetId="0" hidden="1">monday_model.lp!$BUW$2</definedName>
    <definedName name="solver_lhs1924" localSheetId="0" hidden="1">monday_model.lp!$BUX$2</definedName>
    <definedName name="solver_lhs1925" localSheetId="0" hidden="1">monday_model.lp!$BUY$2</definedName>
    <definedName name="solver_lhs1926" localSheetId="0" hidden="1">monday_model.lp!$BUZ$2</definedName>
    <definedName name="solver_lhs1927" localSheetId="0" hidden="1">monday_model.lp!$BVA$2</definedName>
    <definedName name="solver_lhs1928" localSheetId="0" hidden="1">monday_model.lp!$BVB$2</definedName>
    <definedName name="solver_lhs1929" localSheetId="0" hidden="1">monday_model.lp!$BVC$2</definedName>
    <definedName name="solver_lhs193" localSheetId="0" hidden="1">monday_model.lp!$GI$2</definedName>
    <definedName name="solver_lhs1930" localSheetId="0" hidden="1">monday_model.lp!$BVD$2</definedName>
    <definedName name="solver_lhs1931" localSheetId="0" hidden="1">monday_model.lp!$BVE$2</definedName>
    <definedName name="solver_lhs1932" localSheetId="0" hidden="1">monday_model.lp!$BVF$2</definedName>
    <definedName name="solver_lhs1933" localSheetId="0" hidden="1">monday_model.lp!$BVG$2</definedName>
    <definedName name="solver_lhs1934" localSheetId="0" hidden="1">monday_model.lp!$BVH$2</definedName>
    <definedName name="solver_lhs1935" localSheetId="0" hidden="1">monday_model.lp!$BVI$2</definedName>
    <definedName name="solver_lhs1936" localSheetId="0" hidden="1">monday_model.lp!$BVJ$2</definedName>
    <definedName name="solver_lhs1937" localSheetId="0" hidden="1">monday_model.lp!$BVK$2</definedName>
    <definedName name="solver_lhs1938" localSheetId="0" hidden="1">monday_model.lp!$BVL$2</definedName>
    <definedName name="solver_lhs1939" localSheetId="0" hidden="1">monday_model.lp!$BVM$2</definedName>
    <definedName name="solver_lhs194" localSheetId="0" hidden="1">monday_model.lp!$GJ$2</definedName>
    <definedName name="solver_lhs1940" localSheetId="0" hidden="1">monday_model.lp!$BVN$2</definedName>
    <definedName name="solver_lhs1941" localSheetId="0" hidden="1">monday_model.lp!$BVO$2</definedName>
    <definedName name="solver_lhs1942" localSheetId="0" hidden="1">monday_model.lp!$BVP$2</definedName>
    <definedName name="solver_lhs1943" localSheetId="0" hidden="1">monday_model.lp!$BVQ$2</definedName>
    <definedName name="solver_lhs1944" localSheetId="0" hidden="1">monday_model.lp!$BVR$2</definedName>
    <definedName name="solver_lhs1945" localSheetId="0" hidden="1">monday_model.lp!$BVS$2</definedName>
    <definedName name="solver_lhs1946" localSheetId="0" hidden="1">monday_model.lp!$BVT$2</definedName>
    <definedName name="solver_lhs1947" localSheetId="0" hidden="1">monday_model.lp!$BVU$2</definedName>
    <definedName name="solver_lhs1948" localSheetId="0" hidden="1">monday_model.lp!$BVV$2</definedName>
    <definedName name="solver_lhs1949" localSheetId="0" hidden="1">monday_model.lp!$BVW$2</definedName>
    <definedName name="solver_lhs195" localSheetId="0" hidden="1">monday_model.lp!$GK$2</definedName>
    <definedName name="solver_lhs1950" localSheetId="0" hidden="1">monday_model.lp!$BVX$2</definedName>
    <definedName name="solver_lhs1951" localSheetId="0" hidden="1">monday_model.lp!$BVY$2</definedName>
    <definedName name="solver_lhs1952" localSheetId="0" hidden="1">monday_model.lp!$BVZ$2</definedName>
    <definedName name="solver_lhs1953" localSheetId="0" hidden="1">monday_model.lp!$BWA$2</definedName>
    <definedName name="solver_lhs1954" localSheetId="0" hidden="1">monday_model.lp!$BWB$2</definedName>
    <definedName name="solver_lhs1955" localSheetId="0" hidden="1">monday_model.lp!$BWC$2</definedName>
    <definedName name="solver_lhs1956" localSheetId="0" hidden="1">monday_model.lp!$BWD$2</definedName>
    <definedName name="solver_lhs1957" localSheetId="0" hidden="1">monday_model.lp!$BWE$2</definedName>
    <definedName name="solver_lhs1958" localSheetId="0" hidden="1">monday_model.lp!$BWF$2</definedName>
    <definedName name="solver_lhs1959" localSheetId="0" hidden="1">monday_model.lp!$BWG$2</definedName>
    <definedName name="solver_lhs196" localSheetId="0" hidden="1">monday_model.lp!$GL$2</definedName>
    <definedName name="solver_lhs1960" localSheetId="0" hidden="1">monday_model.lp!$BWH$2</definedName>
    <definedName name="solver_lhs1961" localSheetId="0" hidden="1">monday_model.lp!$BWI$2</definedName>
    <definedName name="solver_lhs1962" localSheetId="0" hidden="1">monday_model.lp!$BWJ$2</definedName>
    <definedName name="solver_lhs1963" localSheetId="0" hidden="1">monday_model.lp!$BWK$2</definedName>
    <definedName name="solver_lhs1964" localSheetId="0" hidden="1">monday_model.lp!$BWL$2</definedName>
    <definedName name="solver_lhs1965" localSheetId="0" hidden="1">monday_model.lp!$BWM$2</definedName>
    <definedName name="solver_lhs1966" localSheetId="0" hidden="1">monday_model.lp!$BWN$2</definedName>
    <definedName name="solver_lhs1967" localSheetId="0" hidden="1">monday_model.lp!$BWO$2</definedName>
    <definedName name="solver_lhs1968" localSheetId="0" hidden="1">monday_model.lp!$BWP$2</definedName>
    <definedName name="solver_lhs1969" localSheetId="0" hidden="1">monday_model.lp!$BWQ$2</definedName>
    <definedName name="solver_lhs197" localSheetId="0" hidden="1">monday_model.lp!$GM$2</definedName>
    <definedName name="solver_lhs1970" localSheetId="0" hidden="1">monday_model.lp!$BWR$2</definedName>
    <definedName name="solver_lhs1971" localSheetId="0" hidden="1">monday_model.lp!$BWS$2</definedName>
    <definedName name="solver_lhs1972" localSheetId="0" hidden="1">monday_model.lp!$BWT$2</definedName>
    <definedName name="solver_lhs1973" localSheetId="0" hidden="1">monday_model.lp!$BWU$2</definedName>
    <definedName name="solver_lhs1974" localSheetId="0" hidden="1">monday_model.lp!$BWV$2</definedName>
    <definedName name="solver_lhs1975" localSheetId="0" hidden="1">monday_model.lp!$BWW$2</definedName>
    <definedName name="solver_lhs1976" localSheetId="0" hidden="1">monday_model.lp!$BWX$2</definedName>
    <definedName name="solver_lhs1977" localSheetId="0" hidden="1">monday_model.lp!$BWY$2</definedName>
    <definedName name="solver_lhs1978" localSheetId="0" hidden="1">monday_model.lp!$BWZ$2</definedName>
    <definedName name="solver_lhs1979" localSheetId="0" hidden="1">monday_model.lp!$BXA$2</definedName>
    <definedName name="solver_lhs198" localSheetId="0" hidden="1">monday_model.lp!$GN$2</definedName>
    <definedName name="solver_lhs1980" localSheetId="0" hidden="1">monday_model.lp!$BXB$2</definedName>
    <definedName name="solver_lhs1981" localSheetId="0" hidden="1">monday_model.lp!$BXC$2</definedName>
    <definedName name="solver_lhs1982" localSheetId="0" hidden="1">monday_model.lp!$BXD$2</definedName>
    <definedName name="solver_lhs1983" localSheetId="0" hidden="1">monday_model.lp!$BXE$2</definedName>
    <definedName name="solver_lhs1984" localSheetId="0" hidden="1">monday_model.lp!$BXF$2</definedName>
    <definedName name="solver_lhs1985" localSheetId="0" hidden="1">monday_model.lp!$BXG$2</definedName>
    <definedName name="solver_lhs1986" localSheetId="0" hidden="1">monday_model.lp!$BXH$2</definedName>
    <definedName name="solver_lhs1987" localSheetId="0" hidden="1">monday_model.lp!$BXI$2</definedName>
    <definedName name="solver_lhs1988" localSheetId="0" hidden="1">monday_model.lp!$BXJ$2</definedName>
    <definedName name="solver_lhs1989" localSheetId="0" hidden="1">monday_model.lp!$BXK$2</definedName>
    <definedName name="solver_lhs199" localSheetId="0" hidden="1">monday_model.lp!$GO$2</definedName>
    <definedName name="solver_lhs1990" localSheetId="0" hidden="1">monday_model.lp!$BXL$2</definedName>
    <definedName name="solver_lhs1991" localSheetId="0" hidden="1">monday_model.lp!$BXM$2</definedName>
    <definedName name="solver_lhs1992" localSheetId="0" hidden="1">monday_model.lp!$BXN$2</definedName>
    <definedName name="solver_lhs1993" localSheetId="0" hidden="1">monday_model.lp!$BXO$2</definedName>
    <definedName name="solver_lhs1994" localSheetId="0" hidden="1">monday_model.lp!$BXP$2</definedName>
    <definedName name="solver_lhs1995" localSheetId="0" hidden="1">monday_model.lp!$BXQ$2</definedName>
    <definedName name="solver_lhs1996" localSheetId="0" hidden="1">monday_model.lp!$BXR$2</definedName>
    <definedName name="solver_lhs1997" localSheetId="0" hidden="1">monday_model.lp!$BXS$2</definedName>
    <definedName name="solver_lhs1998" localSheetId="0" hidden="1">monday_model.lp!$BXT$2</definedName>
    <definedName name="solver_lhs1999" localSheetId="0" hidden="1">monday_model.lp!$BXU$2</definedName>
    <definedName name="solver_lhs2" localSheetId="0" hidden="1">monday_model.lp!$EDG$61:$EDG$1778</definedName>
    <definedName name="solver_lhs20" localSheetId="0" hidden="1">monday_model.lp!$R$2</definedName>
    <definedName name="solver_lhs200" localSheetId="0" hidden="1">monday_model.lp!$GP$2</definedName>
    <definedName name="solver_lhs2000" localSheetId="0" hidden="1">monday_model.lp!$BXV$2</definedName>
    <definedName name="solver_lhs2001" localSheetId="0" hidden="1">monday_model.lp!$BXW$2</definedName>
    <definedName name="solver_lhs2002" localSheetId="0" hidden="1">monday_model.lp!$BXX$2</definedName>
    <definedName name="solver_lhs2003" localSheetId="0" hidden="1">monday_model.lp!$BXY$2</definedName>
    <definedName name="solver_lhs2004" localSheetId="0" hidden="1">monday_model.lp!$BXZ$2</definedName>
    <definedName name="solver_lhs2005" localSheetId="0" hidden="1">monday_model.lp!$BYA$2</definedName>
    <definedName name="solver_lhs2006" localSheetId="0" hidden="1">monday_model.lp!$BYB$2</definedName>
    <definedName name="solver_lhs2007" localSheetId="0" hidden="1">monday_model.lp!$BYC$2</definedName>
    <definedName name="solver_lhs2008" localSheetId="0" hidden="1">monday_model.lp!$BYD$2</definedName>
    <definedName name="solver_lhs2009" localSheetId="0" hidden="1">monday_model.lp!$BYE$2</definedName>
    <definedName name="solver_lhs201" localSheetId="0" hidden="1">monday_model.lp!$GQ$2</definedName>
    <definedName name="solver_lhs2010" localSheetId="0" hidden="1">monday_model.lp!$BYF$2</definedName>
    <definedName name="solver_lhs2011" localSheetId="0" hidden="1">monday_model.lp!$BYG$2</definedName>
    <definedName name="solver_lhs2012" localSheetId="0" hidden="1">monday_model.lp!$BYH$2</definedName>
    <definedName name="solver_lhs2013" localSheetId="0" hidden="1">monday_model.lp!$BYI$2</definedName>
    <definedName name="solver_lhs2014" localSheetId="0" hidden="1">monday_model.lp!$BYJ$2</definedName>
    <definedName name="solver_lhs2015" localSheetId="0" hidden="1">monday_model.lp!$BYK$2</definedName>
    <definedName name="solver_lhs2016" localSheetId="0" hidden="1">monday_model.lp!$BYL$2</definedName>
    <definedName name="solver_lhs2017" localSheetId="0" hidden="1">monday_model.lp!$BYM$2</definedName>
    <definedName name="solver_lhs2018" localSheetId="0" hidden="1">monday_model.lp!$BYN$2</definedName>
    <definedName name="solver_lhs2019" localSheetId="0" hidden="1">monday_model.lp!$BYO$2</definedName>
    <definedName name="solver_lhs202" localSheetId="0" hidden="1">monday_model.lp!$GR$2</definedName>
    <definedName name="solver_lhs2020" localSheetId="0" hidden="1">monday_model.lp!$BYP$2</definedName>
    <definedName name="solver_lhs2021" localSheetId="0" hidden="1">monday_model.lp!$BYQ$2</definedName>
    <definedName name="solver_lhs2022" localSheetId="0" hidden="1">monday_model.lp!$BYR$2</definedName>
    <definedName name="solver_lhs2023" localSheetId="0" hidden="1">monday_model.lp!$BYS$2</definedName>
    <definedName name="solver_lhs2024" localSheetId="0" hidden="1">monday_model.lp!$BYT$2</definedName>
    <definedName name="solver_lhs2025" localSheetId="0" hidden="1">monday_model.lp!$BYU$2</definedName>
    <definedName name="solver_lhs2026" localSheetId="0" hidden="1">monday_model.lp!$BYV$2</definedName>
    <definedName name="solver_lhs2027" localSheetId="0" hidden="1">monday_model.lp!$BYW$2</definedName>
    <definedName name="solver_lhs2028" localSheetId="0" hidden="1">monday_model.lp!$BYX$2</definedName>
    <definedName name="solver_lhs2029" localSheetId="0" hidden="1">monday_model.lp!$BYY$2</definedName>
    <definedName name="solver_lhs203" localSheetId="0" hidden="1">monday_model.lp!$GS$2</definedName>
    <definedName name="solver_lhs2030" localSheetId="0" hidden="1">monday_model.lp!$BYZ$2</definedName>
    <definedName name="solver_lhs2031" localSheetId="0" hidden="1">monday_model.lp!$BZA$2</definedName>
    <definedName name="solver_lhs2032" localSheetId="0" hidden="1">monday_model.lp!$BZB$2</definedName>
    <definedName name="solver_lhs2033" localSheetId="0" hidden="1">monday_model.lp!$BZC$2</definedName>
    <definedName name="solver_lhs2034" localSheetId="0" hidden="1">monday_model.lp!$BZD$2</definedName>
    <definedName name="solver_lhs2035" localSheetId="0" hidden="1">monday_model.lp!$BZE$2</definedName>
    <definedName name="solver_lhs2036" localSheetId="0" hidden="1">monday_model.lp!$BZF$2</definedName>
    <definedName name="solver_lhs2037" localSheetId="0" hidden="1">monday_model.lp!$BZG$2</definedName>
    <definedName name="solver_lhs2038" localSheetId="0" hidden="1">monday_model.lp!$BZH$2</definedName>
    <definedName name="solver_lhs2039" localSheetId="0" hidden="1">monday_model.lp!$BZI$2</definedName>
    <definedName name="solver_lhs204" localSheetId="0" hidden="1">monday_model.lp!$GT$2</definedName>
    <definedName name="solver_lhs2040" localSheetId="0" hidden="1">monday_model.lp!$BZJ$2</definedName>
    <definedName name="solver_lhs2041" localSheetId="0" hidden="1">monday_model.lp!$BZK$2</definedName>
    <definedName name="solver_lhs2042" localSheetId="0" hidden="1">monday_model.lp!$BZL$2</definedName>
    <definedName name="solver_lhs2043" localSheetId="0" hidden="1">monday_model.lp!$BZM$2</definedName>
    <definedName name="solver_lhs2044" localSheetId="0" hidden="1">monday_model.lp!$BZN$2</definedName>
    <definedName name="solver_lhs2045" localSheetId="0" hidden="1">monday_model.lp!$BZO$2</definedName>
    <definedName name="solver_lhs2046" localSheetId="0" hidden="1">monday_model.lp!$BZP$2</definedName>
    <definedName name="solver_lhs2047" localSheetId="0" hidden="1">monday_model.lp!$BZQ$2</definedName>
    <definedName name="solver_lhs2048" localSheetId="0" hidden="1">monday_model.lp!$BZR$2</definedName>
    <definedName name="solver_lhs2049" localSheetId="0" hidden="1">monday_model.lp!$BZS$2</definedName>
    <definedName name="solver_lhs205" localSheetId="0" hidden="1">monday_model.lp!$GU$2</definedName>
    <definedName name="solver_lhs2050" localSheetId="0" hidden="1">monday_model.lp!$BZT$2</definedName>
    <definedName name="solver_lhs2051" localSheetId="0" hidden="1">monday_model.lp!$BZU$2</definedName>
    <definedName name="solver_lhs2052" localSheetId="0" hidden="1">monday_model.lp!$BZV$2</definedName>
    <definedName name="solver_lhs2053" localSheetId="0" hidden="1">monday_model.lp!$BZW$2</definedName>
    <definedName name="solver_lhs2054" localSheetId="0" hidden="1">monday_model.lp!$BZX$2</definedName>
    <definedName name="solver_lhs2055" localSheetId="0" hidden="1">monday_model.lp!$BZY$2</definedName>
    <definedName name="solver_lhs2056" localSheetId="0" hidden="1">monday_model.lp!$BZZ$2</definedName>
    <definedName name="solver_lhs2057" localSheetId="0" hidden="1">monday_model.lp!$CAA$2</definedName>
    <definedName name="solver_lhs2058" localSheetId="0" hidden="1">monday_model.lp!$CAB$2</definedName>
    <definedName name="solver_lhs2059" localSheetId="0" hidden="1">monday_model.lp!$CAC$2</definedName>
    <definedName name="solver_lhs206" localSheetId="0" hidden="1">monday_model.lp!$GV$2</definedName>
    <definedName name="solver_lhs2060" localSheetId="0" hidden="1">monday_model.lp!$CAD$2</definedName>
    <definedName name="solver_lhs2061" localSheetId="0" hidden="1">monday_model.lp!$CAE$2</definedName>
    <definedName name="solver_lhs2062" localSheetId="0" hidden="1">monday_model.lp!$CAF$2</definedName>
    <definedName name="solver_lhs2063" localSheetId="0" hidden="1">monday_model.lp!$CAG$2</definedName>
    <definedName name="solver_lhs2064" localSheetId="0" hidden="1">monday_model.lp!$CAH$2</definedName>
    <definedName name="solver_lhs2065" localSheetId="0" hidden="1">monday_model.lp!$CAI$2</definedName>
    <definedName name="solver_lhs2066" localSheetId="0" hidden="1">monday_model.lp!$CAJ$2</definedName>
    <definedName name="solver_lhs2067" localSheetId="0" hidden="1">monday_model.lp!$CAK$2</definedName>
    <definedName name="solver_lhs2068" localSheetId="0" hidden="1">monday_model.lp!$CAL$2</definedName>
    <definedName name="solver_lhs2069" localSheetId="0" hidden="1">monday_model.lp!$CAM$2</definedName>
    <definedName name="solver_lhs207" localSheetId="0" hidden="1">monday_model.lp!$GW$2</definedName>
    <definedName name="solver_lhs2070" localSheetId="0" hidden="1">monday_model.lp!$CAN$2</definedName>
    <definedName name="solver_lhs2071" localSheetId="0" hidden="1">monday_model.lp!$CAO$2</definedName>
    <definedName name="solver_lhs2072" localSheetId="0" hidden="1">monday_model.lp!$CAP$2</definedName>
    <definedName name="solver_lhs2073" localSheetId="0" hidden="1">monday_model.lp!$CAQ$2</definedName>
    <definedName name="solver_lhs2074" localSheetId="0" hidden="1">monday_model.lp!$CAR$2</definedName>
    <definedName name="solver_lhs2075" localSheetId="0" hidden="1">monday_model.lp!$CAS$2</definedName>
    <definedName name="solver_lhs2076" localSheetId="0" hidden="1">monday_model.lp!$CAT$2</definedName>
    <definedName name="solver_lhs2077" localSheetId="0" hidden="1">monday_model.lp!$CAU$2</definedName>
    <definedName name="solver_lhs2078" localSheetId="0" hidden="1">monday_model.lp!$CAV$2</definedName>
    <definedName name="solver_lhs2079" localSheetId="0" hidden="1">monday_model.lp!$CAW$2</definedName>
    <definedName name="solver_lhs208" localSheetId="0" hidden="1">monday_model.lp!$GX$2</definedName>
    <definedName name="solver_lhs2080" localSheetId="0" hidden="1">monday_model.lp!$CAX$2</definedName>
    <definedName name="solver_lhs2081" localSheetId="0" hidden="1">monday_model.lp!$CAY$2</definedName>
    <definedName name="solver_lhs2082" localSheetId="0" hidden="1">monday_model.lp!$CAZ$2</definedName>
    <definedName name="solver_lhs2083" localSheetId="0" hidden="1">monday_model.lp!$CBA$2</definedName>
    <definedName name="solver_lhs2084" localSheetId="0" hidden="1">monday_model.lp!$CBB$2</definedName>
    <definedName name="solver_lhs2085" localSheetId="0" hidden="1">monday_model.lp!$CBC$2</definedName>
    <definedName name="solver_lhs2086" localSheetId="0" hidden="1">monday_model.lp!$CBD$2</definedName>
    <definedName name="solver_lhs2087" localSheetId="0" hidden="1">monday_model.lp!$CBE$2</definedName>
    <definedName name="solver_lhs2088" localSheetId="0" hidden="1">monday_model.lp!$CBF$2</definedName>
    <definedName name="solver_lhs2089" localSheetId="0" hidden="1">monday_model.lp!$CBG$2</definedName>
    <definedName name="solver_lhs209" localSheetId="0" hidden="1">monday_model.lp!$GY$2</definedName>
    <definedName name="solver_lhs2090" localSheetId="0" hidden="1">monday_model.lp!$CBH$2</definedName>
    <definedName name="solver_lhs2091" localSheetId="0" hidden="1">monday_model.lp!$CBI$2</definedName>
    <definedName name="solver_lhs2092" localSheetId="0" hidden="1">monday_model.lp!$CBJ$2</definedName>
    <definedName name="solver_lhs2093" localSheetId="0" hidden="1">monday_model.lp!$CBK$2</definedName>
    <definedName name="solver_lhs2094" localSheetId="0" hidden="1">monday_model.lp!$CBL$2</definedName>
    <definedName name="solver_lhs2095" localSheetId="0" hidden="1">monday_model.lp!$CBM$2</definedName>
    <definedName name="solver_lhs2096" localSheetId="0" hidden="1">monday_model.lp!$CBN$2</definedName>
    <definedName name="solver_lhs2097" localSheetId="0" hidden="1">monday_model.lp!$CBO$2</definedName>
    <definedName name="solver_lhs2098" localSheetId="0" hidden="1">monday_model.lp!$CBP$2</definedName>
    <definedName name="solver_lhs2099" localSheetId="0" hidden="1">monday_model.lp!$CBQ$2</definedName>
    <definedName name="solver_lhs21" localSheetId="0" hidden="1">monday_model.lp!$S$2</definedName>
    <definedName name="solver_lhs210" localSheetId="0" hidden="1">monday_model.lp!$GZ$2</definedName>
    <definedName name="solver_lhs2100" localSheetId="0" hidden="1">monday_model.lp!$CBR$2</definedName>
    <definedName name="solver_lhs2101" localSheetId="0" hidden="1">monday_model.lp!$CBS$2</definedName>
    <definedName name="solver_lhs2102" localSheetId="0" hidden="1">monday_model.lp!$CBT$2</definedName>
    <definedName name="solver_lhs2103" localSheetId="0" hidden="1">monday_model.lp!$CBU$2</definedName>
    <definedName name="solver_lhs2104" localSheetId="0" hidden="1">monday_model.lp!$CBV$2</definedName>
    <definedName name="solver_lhs2105" localSheetId="0" hidden="1">monday_model.lp!$CBW$2</definedName>
    <definedName name="solver_lhs2106" localSheetId="0" hidden="1">monday_model.lp!$CBX$2</definedName>
    <definedName name="solver_lhs2107" localSheetId="0" hidden="1">monday_model.lp!$CBY$2</definedName>
    <definedName name="solver_lhs2108" localSheetId="0" hidden="1">monday_model.lp!$CBZ$2</definedName>
    <definedName name="solver_lhs2109" localSheetId="0" hidden="1">monday_model.lp!$CCA$2</definedName>
    <definedName name="solver_lhs211" localSheetId="0" hidden="1">monday_model.lp!$HA$2</definedName>
    <definedName name="solver_lhs2110" localSheetId="0" hidden="1">monday_model.lp!$CCB$2</definedName>
    <definedName name="solver_lhs2111" localSheetId="0" hidden="1">monday_model.lp!$CCC$2</definedName>
    <definedName name="solver_lhs2112" localSheetId="0" hidden="1">monday_model.lp!$CCD$2</definedName>
    <definedName name="solver_lhs2113" localSheetId="0" hidden="1">monday_model.lp!$CCE$2</definedName>
    <definedName name="solver_lhs2114" localSheetId="0" hidden="1">monday_model.lp!$CCF$2</definedName>
    <definedName name="solver_lhs2115" localSheetId="0" hidden="1">monday_model.lp!$CCG$2</definedName>
    <definedName name="solver_lhs2116" localSheetId="0" hidden="1">monday_model.lp!$CCH$2</definedName>
    <definedName name="solver_lhs2117" localSheetId="0" hidden="1">monday_model.lp!$CCI$2</definedName>
    <definedName name="solver_lhs2118" localSheetId="0" hidden="1">monday_model.lp!$CCJ$2</definedName>
    <definedName name="solver_lhs2119" localSheetId="0" hidden="1">monday_model.lp!$CCK$2</definedName>
    <definedName name="solver_lhs212" localSheetId="0" hidden="1">monday_model.lp!$HB$2</definedName>
    <definedName name="solver_lhs2120" localSheetId="0" hidden="1">monday_model.lp!$CCL$2</definedName>
    <definedName name="solver_lhs2121" localSheetId="0" hidden="1">monday_model.lp!$CCM$2</definedName>
    <definedName name="solver_lhs2122" localSheetId="0" hidden="1">monday_model.lp!$CCN$2</definedName>
    <definedName name="solver_lhs2123" localSheetId="0" hidden="1">monday_model.lp!$CCO$2</definedName>
    <definedName name="solver_lhs2124" localSheetId="0" hidden="1">monday_model.lp!$CCP$2</definedName>
    <definedName name="solver_lhs2125" localSheetId="0" hidden="1">monday_model.lp!$CCQ$2</definedName>
    <definedName name="solver_lhs2126" localSheetId="0" hidden="1">monday_model.lp!$CCR$2</definedName>
    <definedName name="solver_lhs2127" localSheetId="0" hidden="1">monday_model.lp!$CCS$2</definedName>
    <definedName name="solver_lhs2128" localSheetId="0" hidden="1">monday_model.lp!$CCT$2</definedName>
    <definedName name="solver_lhs2129" localSheetId="0" hidden="1">monday_model.lp!$CCU$2</definedName>
    <definedName name="solver_lhs213" localSheetId="0" hidden="1">monday_model.lp!$HC$2</definedName>
    <definedName name="solver_lhs2130" localSheetId="0" hidden="1">monday_model.lp!$CCV$2</definedName>
    <definedName name="solver_lhs2131" localSheetId="0" hidden="1">monday_model.lp!$CCW$2</definedName>
    <definedName name="solver_lhs2132" localSheetId="0" hidden="1">monday_model.lp!$CCX$2</definedName>
    <definedName name="solver_lhs2133" localSheetId="0" hidden="1">monday_model.lp!$CCY$2</definedName>
    <definedName name="solver_lhs2134" localSheetId="0" hidden="1">monday_model.lp!$CCZ$2</definedName>
    <definedName name="solver_lhs2135" localSheetId="0" hidden="1">monday_model.lp!$CDA$2</definedName>
    <definedName name="solver_lhs2136" localSheetId="0" hidden="1">monday_model.lp!$CDB$2</definedName>
    <definedName name="solver_lhs2137" localSheetId="0" hidden="1">monday_model.lp!$CDC$2</definedName>
    <definedName name="solver_lhs2138" localSheetId="0" hidden="1">monday_model.lp!$CDD$2</definedName>
    <definedName name="solver_lhs2139" localSheetId="0" hidden="1">monday_model.lp!$CDE$2</definedName>
    <definedName name="solver_lhs214" localSheetId="0" hidden="1">monday_model.lp!$HD$2</definedName>
    <definedName name="solver_lhs2140" localSheetId="0" hidden="1">monday_model.lp!$CDF$2</definedName>
    <definedName name="solver_lhs2141" localSheetId="0" hidden="1">monday_model.lp!$CDG$2</definedName>
    <definedName name="solver_lhs2142" localSheetId="0" hidden="1">monday_model.lp!$CDH$2</definedName>
    <definedName name="solver_lhs2143" localSheetId="0" hidden="1">monday_model.lp!$CDI$2</definedName>
    <definedName name="solver_lhs2144" localSheetId="0" hidden="1">monday_model.lp!$CDJ$2</definedName>
    <definedName name="solver_lhs2145" localSheetId="0" hidden="1">monday_model.lp!$CDK$2</definedName>
    <definedName name="solver_lhs2146" localSheetId="0" hidden="1">monday_model.lp!$CDL$2</definedName>
    <definedName name="solver_lhs2147" localSheetId="0" hidden="1">monday_model.lp!$CDM$2</definedName>
    <definedName name="solver_lhs2148" localSheetId="0" hidden="1">monday_model.lp!$CDN$2</definedName>
    <definedName name="solver_lhs2149" localSheetId="0" hidden="1">monday_model.lp!$CDO$2</definedName>
    <definedName name="solver_lhs215" localSheetId="0" hidden="1">monday_model.lp!$HE$2</definedName>
    <definedName name="solver_lhs2150" localSheetId="0" hidden="1">monday_model.lp!$CDP$2</definedName>
    <definedName name="solver_lhs2151" localSheetId="0" hidden="1">monday_model.lp!$CDQ$2</definedName>
    <definedName name="solver_lhs2152" localSheetId="0" hidden="1">monday_model.lp!$CDR$2</definedName>
    <definedName name="solver_lhs2153" localSheetId="0" hidden="1">monday_model.lp!$CDS$2</definedName>
    <definedName name="solver_lhs2154" localSheetId="0" hidden="1">monday_model.lp!$CDT$2</definedName>
    <definedName name="solver_lhs2155" localSheetId="0" hidden="1">monday_model.lp!$CDU$2</definedName>
    <definedName name="solver_lhs2156" localSheetId="0" hidden="1">monday_model.lp!$CDV$2</definedName>
    <definedName name="solver_lhs2157" localSheetId="0" hidden="1">monday_model.lp!$CDW$2</definedName>
    <definedName name="solver_lhs2158" localSheetId="0" hidden="1">monday_model.lp!$CDX$2</definedName>
    <definedName name="solver_lhs2159" localSheetId="0" hidden="1">monday_model.lp!$CDY$2</definedName>
    <definedName name="solver_lhs216" localSheetId="0" hidden="1">monday_model.lp!$HF$2</definedName>
    <definedName name="solver_lhs2160" localSheetId="0" hidden="1">monday_model.lp!$CDZ$2</definedName>
    <definedName name="solver_lhs2161" localSheetId="0" hidden="1">monday_model.lp!$CEA$2</definedName>
    <definedName name="solver_lhs2162" localSheetId="0" hidden="1">monday_model.lp!$CEB$2</definedName>
    <definedName name="solver_lhs2163" localSheetId="0" hidden="1">monday_model.lp!$CEC$2</definedName>
    <definedName name="solver_lhs2164" localSheetId="0" hidden="1">monday_model.lp!$CED$2</definedName>
    <definedName name="solver_lhs2165" localSheetId="0" hidden="1">monday_model.lp!$CEE$2</definedName>
    <definedName name="solver_lhs2166" localSheetId="0" hidden="1">monday_model.lp!$CEF$2</definedName>
    <definedName name="solver_lhs2167" localSheetId="0" hidden="1">monday_model.lp!$CEG$2</definedName>
    <definedName name="solver_lhs2168" localSheetId="0" hidden="1">monday_model.lp!$CEH$2</definedName>
    <definedName name="solver_lhs2169" localSheetId="0" hidden="1">monday_model.lp!$CEI$2</definedName>
    <definedName name="solver_lhs217" localSheetId="0" hidden="1">monday_model.lp!$HG$2</definedName>
    <definedName name="solver_lhs2170" localSheetId="0" hidden="1">monday_model.lp!$CEJ$2</definedName>
    <definedName name="solver_lhs2171" localSheetId="0" hidden="1">monday_model.lp!$CEK$2</definedName>
    <definedName name="solver_lhs2172" localSheetId="0" hidden="1">monday_model.lp!$CEL$2</definedName>
    <definedName name="solver_lhs2173" localSheetId="0" hidden="1">monday_model.lp!$CEM$2</definedName>
    <definedName name="solver_lhs2174" localSheetId="0" hidden="1">monday_model.lp!$CEN$2</definedName>
    <definedName name="solver_lhs2175" localSheetId="0" hidden="1">monday_model.lp!$CEO$2</definedName>
    <definedName name="solver_lhs2176" localSheetId="0" hidden="1">monday_model.lp!$CEP$2</definedName>
    <definedName name="solver_lhs2177" localSheetId="0" hidden="1">monday_model.lp!$CEQ$2</definedName>
    <definedName name="solver_lhs2178" localSheetId="0" hidden="1">monday_model.lp!$CER$2</definedName>
    <definedName name="solver_lhs2179" localSheetId="0" hidden="1">monday_model.lp!$CES$2</definedName>
    <definedName name="solver_lhs218" localSheetId="0" hidden="1">monday_model.lp!$HH$2</definedName>
    <definedName name="solver_lhs2180" localSheetId="0" hidden="1">monday_model.lp!$CET$2</definedName>
    <definedName name="solver_lhs2181" localSheetId="0" hidden="1">monday_model.lp!$CEU$2</definedName>
    <definedName name="solver_lhs2182" localSheetId="0" hidden="1">monday_model.lp!$CEV$2</definedName>
    <definedName name="solver_lhs2183" localSheetId="0" hidden="1">monday_model.lp!$CEW$2</definedName>
    <definedName name="solver_lhs2184" localSheetId="0" hidden="1">monday_model.lp!$CEX$2</definedName>
    <definedName name="solver_lhs2185" localSheetId="0" hidden="1">monday_model.lp!$CEY$2</definedName>
    <definedName name="solver_lhs2186" localSheetId="0" hidden="1">monday_model.lp!$CEZ$2</definedName>
    <definedName name="solver_lhs2187" localSheetId="0" hidden="1">monday_model.lp!$CFA$2</definedName>
    <definedName name="solver_lhs2188" localSheetId="0" hidden="1">monday_model.lp!$CFB$2</definedName>
    <definedName name="solver_lhs2189" localSheetId="0" hidden="1">monday_model.lp!$CFC$2</definedName>
    <definedName name="solver_lhs219" localSheetId="0" hidden="1">monday_model.lp!$HI$2</definedName>
    <definedName name="solver_lhs2190" localSheetId="0" hidden="1">monday_model.lp!$CFD$2</definedName>
    <definedName name="solver_lhs2191" localSheetId="0" hidden="1">monday_model.lp!$CFE$2</definedName>
    <definedName name="solver_lhs2192" localSheetId="0" hidden="1">monday_model.lp!$CFF$2</definedName>
    <definedName name="solver_lhs2193" localSheetId="0" hidden="1">monday_model.lp!$CFG$2</definedName>
    <definedName name="solver_lhs2194" localSheetId="0" hidden="1">monday_model.lp!$CFH$2</definedName>
    <definedName name="solver_lhs2195" localSheetId="0" hidden="1">monday_model.lp!$CFI$2</definedName>
    <definedName name="solver_lhs2196" localSheetId="0" hidden="1">monday_model.lp!$CFJ$2</definedName>
    <definedName name="solver_lhs2197" localSheetId="0" hidden="1">monday_model.lp!$CFK$2</definedName>
    <definedName name="solver_lhs2198" localSheetId="0" hidden="1">monday_model.lp!$CFL$2</definedName>
    <definedName name="solver_lhs2199" localSheetId="0" hidden="1">monday_model.lp!$CFM$2</definedName>
    <definedName name="solver_lhs22" localSheetId="0" hidden="1">monday_model.lp!$T$2</definedName>
    <definedName name="solver_lhs220" localSheetId="0" hidden="1">monday_model.lp!$HJ$2</definedName>
    <definedName name="solver_lhs2200" localSheetId="0" hidden="1">monday_model.lp!$CFN$2</definedName>
    <definedName name="solver_lhs2201" localSheetId="0" hidden="1">monday_model.lp!$CFO$2</definedName>
    <definedName name="solver_lhs2202" localSheetId="0" hidden="1">monday_model.lp!$CFP$2</definedName>
    <definedName name="solver_lhs2203" localSheetId="0" hidden="1">monday_model.lp!$CFQ$2</definedName>
    <definedName name="solver_lhs2204" localSheetId="0" hidden="1">monday_model.lp!$CFR$2</definedName>
    <definedName name="solver_lhs2205" localSheetId="0" hidden="1">monday_model.lp!$CFS$2</definedName>
    <definedName name="solver_lhs2206" localSheetId="0" hidden="1">monday_model.lp!$CFT$2</definedName>
    <definedName name="solver_lhs2207" localSheetId="0" hidden="1">monday_model.lp!$CFU$2</definedName>
    <definedName name="solver_lhs2208" localSheetId="0" hidden="1">monday_model.lp!$CFV$2</definedName>
    <definedName name="solver_lhs2209" localSheetId="0" hidden="1">monday_model.lp!$CFW$2</definedName>
    <definedName name="solver_lhs221" localSheetId="0" hidden="1">monday_model.lp!$HK$2</definedName>
    <definedName name="solver_lhs2210" localSheetId="0" hidden="1">monday_model.lp!$CFX$2</definedName>
    <definedName name="solver_lhs2211" localSheetId="0" hidden="1">monday_model.lp!$CFY$2</definedName>
    <definedName name="solver_lhs2212" localSheetId="0" hidden="1">monday_model.lp!$CFZ$2</definedName>
    <definedName name="solver_lhs2213" localSheetId="0" hidden="1">monday_model.lp!$CGA$2</definedName>
    <definedName name="solver_lhs2214" localSheetId="0" hidden="1">monday_model.lp!$CGB$2</definedName>
    <definedName name="solver_lhs2215" localSheetId="0" hidden="1">monday_model.lp!$CGC$2</definedName>
    <definedName name="solver_lhs2216" localSheetId="0" hidden="1">monday_model.lp!$CGD$2</definedName>
    <definedName name="solver_lhs2217" localSheetId="0" hidden="1">monday_model.lp!$CGE$2</definedName>
    <definedName name="solver_lhs2218" localSheetId="0" hidden="1">monday_model.lp!$CGF$2</definedName>
    <definedName name="solver_lhs2219" localSheetId="0" hidden="1">monday_model.lp!$CGG$2</definedName>
    <definedName name="solver_lhs222" localSheetId="0" hidden="1">monday_model.lp!$HL$2</definedName>
    <definedName name="solver_lhs2220" localSheetId="0" hidden="1">monday_model.lp!$CGH$2</definedName>
    <definedName name="solver_lhs2221" localSheetId="0" hidden="1">monday_model.lp!$CGI$2</definedName>
    <definedName name="solver_lhs2222" localSheetId="0" hidden="1">monday_model.lp!$CGJ$2</definedName>
    <definedName name="solver_lhs2223" localSheetId="0" hidden="1">monday_model.lp!$CGK$2</definedName>
    <definedName name="solver_lhs2224" localSheetId="0" hidden="1">monday_model.lp!$CGL$2</definedName>
    <definedName name="solver_lhs2225" localSheetId="0" hidden="1">monday_model.lp!$CGM$2</definedName>
    <definedName name="solver_lhs2226" localSheetId="0" hidden="1">monday_model.lp!$CGN$2</definedName>
    <definedName name="solver_lhs2227" localSheetId="0" hidden="1">monday_model.lp!$CGO$2</definedName>
    <definedName name="solver_lhs2228" localSheetId="0" hidden="1">monday_model.lp!$CGP$2</definedName>
    <definedName name="solver_lhs2229" localSheetId="0" hidden="1">monday_model.lp!$CGQ$2</definedName>
    <definedName name="solver_lhs223" localSheetId="0" hidden="1">monday_model.lp!$HM$2</definedName>
    <definedName name="solver_lhs2230" localSheetId="0" hidden="1">monday_model.lp!$CGR$2</definedName>
    <definedName name="solver_lhs2231" localSheetId="0" hidden="1">monday_model.lp!$CGS$2</definedName>
    <definedName name="solver_lhs2232" localSheetId="0" hidden="1">monday_model.lp!$CGT$2</definedName>
    <definedName name="solver_lhs2233" localSheetId="0" hidden="1">monday_model.lp!$CGU$2</definedName>
    <definedName name="solver_lhs2234" localSheetId="0" hidden="1">monday_model.lp!$CGV$2</definedName>
    <definedName name="solver_lhs2235" localSheetId="0" hidden="1">monday_model.lp!$CGW$2</definedName>
    <definedName name="solver_lhs2236" localSheetId="0" hidden="1">monday_model.lp!$CGX$2</definedName>
    <definedName name="solver_lhs2237" localSheetId="0" hidden="1">monday_model.lp!$CGY$2</definedName>
    <definedName name="solver_lhs2238" localSheetId="0" hidden="1">monday_model.lp!$CGZ$2</definedName>
    <definedName name="solver_lhs2239" localSheetId="0" hidden="1">monday_model.lp!$CHA$2</definedName>
    <definedName name="solver_lhs224" localSheetId="0" hidden="1">monday_model.lp!$HN$2</definedName>
    <definedName name="solver_lhs2240" localSheetId="0" hidden="1">monday_model.lp!$CHB$2</definedName>
    <definedName name="solver_lhs2241" localSheetId="0" hidden="1">monday_model.lp!$CHC$2</definedName>
    <definedName name="solver_lhs2242" localSheetId="0" hidden="1">monday_model.lp!$CHD$2</definedName>
    <definedName name="solver_lhs2243" localSheetId="0" hidden="1">monday_model.lp!$CHE$2</definedName>
    <definedName name="solver_lhs2244" localSheetId="0" hidden="1">monday_model.lp!$CHF$2</definedName>
    <definedName name="solver_lhs2245" localSheetId="0" hidden="1">monday_model.lp!$CHG$2</definedName>
    <definedName name="solver_lhs2246" localSheetId="0" hidden="1">monday_model.lp!$CHH$2</definedName>
    <definedName name="solver_lhs2247" localSheetId="0" hidden="1">monday_model.lp!$CHI$2</definedName>
    <definedName name="solver_lhs2248" localSheetId="0" hidden="1">monday_model.lp!$CHJ$2</definedName>
    <definedName name="solver_lhs2249" localSheetId="0" hidden="1">monday_model.lp!$CHK$2</definedName>
    <definedName name="solver_lhs225" localSheetId="0" hidden="1">monday_model.lp!$HO$2</definedName>
    <definedName name="solver_lhs2250" localSheetId="0" hidden="1">monday_model.lp!$CHL$2</definedName>
    <definedName name="solver_lhs2251" localSheetId="0" hidden="1">monday_model.lp!$CHM$2</definedName>
    <definedName name="solver_lhs2252" localSheetId="0" hidden="1">monday_model.lp!$CHN$2</definedName>
    <definedName name="solver_lhs2253" localSheetId="0" hidden="1">monday_model.lp!$CHO$2</definedName>
    <definedName name="solver_lhs2254" localSheetId="0" hidden="1">monday_model.lp!$CHP$2</definedName>
    <definedName name="solver_lhs2255" localSheetId="0" hidden="1">monday_model.lp!$CHQ$2</definedName>
    <definedName name="solver_lhs2256" localSheetId="0" hidden="1">monday_model.lp!$CHR$2</definedName>
    <definedName name="solver_lhs2257" localSheetId="0" hidden="1">monday_model.lp!$CHS$2</definedName>
    <definedName name="solver_lhs2258" localSheetId="0" hidden="1">monday_model.lp!$CHT$2</definedName>
    <definedName name="solver_lhs2259" localSheetId="0" hidden="1">monday_model.lp!$CHU$2</definedName>
    <definedName name="solver_lhs226" localSheetId="0" hidden="1">monday_model.lp!$HP$2</definedName>
    <definedName name="solver_lhs2260" localSheetId="0" hidden="1">monday_model.lp!$CHV$2</definedName>
    <definedName name="solver_lhs2261" localSheetId="0" hidden="1">monday_model.lp!$CHW$2</definedName>
    <definedName name="solver_lhs2262" localSheetId="0" hidden="1">monday_model.lp!$CHX$2</definedName>
    <definedName name="solver_lhs2263" localSheetId="0" hidden="1">monday_model.lp!$CHY$2</definedName>
    <definedName name="solver_lhs2264" localSheetId="0" hidden="1">monday_model.lp!$CHZ$2</definedName>
    <definedName name="solver_lhs2265" localSheetId="0" hidden="1">monday_model.lp!$CIA$2</definedName>
    <definedName name="solver_lhs2266" localSheetId="0" hidden="1">monday_model.lp!$CIB$2</definedName>
    <definedName name="solver_lhs2267" localSheetId="0" hidden="1">monday_model.lp!$CIC$2</definedName>
    <definedName name="solver_lhs2268" localSheetId="0" hidden="1">monday_model.lp!$CID$2</definedName>
    <definedName name="solver_lhs2269" localSheetId="0" hidden="1">monday_model.lp!$CIE$2</definedName>
    <definedName name="solver_lhs227" localSheetId="0" hidden="1">monday_model.lp!$HQ$2</definedName>
    <definedName name="solver_lhs2270" localSheetId="0" hidden="1">monday_model.lp!$CIF$2</definedName>
    <definedName name="solver_lhs2271" localSheetId="0" hidden="1">monday_model.lp!$CIG$2</definedName>
    <definedName name="solver_lhs2272" localSheetId="0" hidden="1">monday_model.lp!$CIH$2</definedName>
    <definedName name="solver_lhs2273" localSheetId="0" hidden="1">monday_model.lp!$CII$2</definedName>
    <definedName name="solver_lhs2274" localSheetId="0" hidden="1">monday_model.lp!$CIJ$2</definedName>
    <definedName name="solver_lhs2275" localSheetId="0" hidden="1">monday_model.lp!$CIK$2</definedName>
    <definedName name="solver_lhs2276" localSheetId="0" hidden="1">monday_model.lp!$CIL$2</definedName>
    <definedName name="solver_lhs2277" localSheetId="0" hidden="1">monday_model.lp!$CIM$2</definedName>
    <definedName name="solver_lhs2278" localSheetId="0" hidden="1">monday_model.lp!$CIN$2</definedName>
    <definedName name="solver_lhs2279" localSheetId="0" hidden="1">monday_model.lp!$CIO$2</definedName>
    <definedName name="solver_lhs228" localSheetId="0" hidden="1">monday_model.lp!$HR$2</definedName>
    <definedName name="solver_lhs2280" localSheetId="0" hidden="1">monday_model.lp!$CIP$2</definedName>
    <definedName name="solver_lhs2281" localSheetId="0" hidden="1">monday_model.lp!$CIQ$2</definedName>
    <definedName name="solver_lhs2282" localSheetId="0" hidden="1">monday_model.lp!$CIR$2</definedName>
    <definedName name="solver_lhs2283" localSheetId="0" hidden="1">monday_model.lp!$CIS$2</definedName>
    <definedName name="solver_lhs2284" localSheetId="0" hidden="1">monday_model.lp!$CIT$2</definedName>
    <definedName name="solver_lhs2285" localSheetId="0" hidden="1">monday_model.lp!$CIU$2</definedName>
    <definedName name="solver_lhs2286" localSheetId="0" hidden="1">monday_model.lp!$CIV$2</definedName>
    <definedName name="solver_lhs2287" localSheetId="0" hidden="1">monday_model.lp!$CIW$2</definedName>
    <definedName name="solver_lhs2288" localSheetId="0" hidden="1">monday_model.lp!$CIX$2</definedName>
    <definedName name="solver_lhs2289" localSheetId="0" hidden="1">monday_model.lp!$CIY$2</definedName>
    <definedName name="solver_lhs229" localSheetId="0" hidden="1">monday_model.lp!$HS$2</definedName>
    <definedName name="solver_lhs2290" localSheetId="0" hidden="1">monday_model.lp!$CIZ$2</definedName>
    <definedName name="solver_lhs2291" localSheetId="0" hidden="1">monday_model.lp!$CJA$2</definedName>
    <definedName name="solver_lhs2292" localSheetId="0" hidden="1">monday_model.lp!$CJB$2</definedName>
    <definedName name="solver_lhs2293" localSheetId="0" hidden="1">monday_model.lp!$CJC$2</definedName>
    <definedName name="solver_lhs2294" localSheetId="0" hidden="1">monday_model.lp!$CJD$2</definedName>
    <definedName name="solver_lhs2295" localSheetId="0" hidden="1">monday_model.lp!$CJE$2</definedName>
    <definedName name="solver_lhs2296" localSheetId="0" hidden="1">monday_model.lp!$CJF$2</definedName>
    <definedName name="solver_lhs2297" localSheetId="0" hidden="1">monday_model.lp!$CJG$2</definedName>
    <definedName name="solver_lhs2298" localSheetId="0" hidden="1">monday_model.lp!$CJH$2</definedName>
    <definedName name="solver_lhs2299" localSheetId="0" hidden="1">monday_model.lp!$CJI$2</definedName>
    <definedName name="solver_lhs23" localSheetId="0" hidden="1">monday_model.lp!$U$2</definedName>
    <definedName name="solver_lhs230" localSheetId="0" hidden="1">monday_model.lp!$HT$2</definedName>
    <definedName name="solver_lhs2300" localSheetId="0" hidden="1">monday_model.lp!$CJJ$2</definedName>
    <definedName name="solver_lhs2301" localSheetId="0" hidden="1">monday_model.lp!$CJK$2</definedName>
    <definedName name="solver_lhs2302" localSheetId="0" hidden="1">monday_model.lp!$CJL$2</definedName>
    <definedName name="solver_lhs2303" localSheetId="0" hidden="1">monday_model.lp!$CJM$2</definedName>
    <definedName name="solver_lhs2304" localSheetId="0" hidden="1">monday_model.lp!$CJN$2</definedName>
    <definedName name="solver_lhs2305" localSheetId="0" hidden="1">monday_model.lp!$CJO$2</definedName>
    <definedName name="solver_lhs2306" localSheetId="0" hidden="1">monday_model.lp!$CJP$2</definedName>
    <definedName name="solver_lhs2307" localSheetId="0" hidden="1">monday_model.lp!$CJQ$2</definedName>
    <definedName name="solver_lhs2308" localSheetId="0" hidden="1">monday_model.lp!$CJR$2</definedName>
    <definedName name="solver_lhs2309" localSheetId="0" hidden="1">monday_model.lp!$CJS$2</definedName>
    <definedName name="solver_lhs231" localSheetId="0" hidden="1">monday_model.lp!$HU$2</definedName>
    <definedName name="solver_lhs2310" localSheetId="0" hidden="1">monday_model.lp!$CJT$2</definedName>
    <definedName name="solver_lhs2311" localSheetId="0" hidden="1">monday_model.lp!$CJU$2</definedName>
    <definedName name="solver_lhs2312" localSheetId="0" hidden="1">monday_model.lp!$CJV$2</definedName>
    <definedName name="solver_lhs2313" localSheetId="0" hidden="1">monday_model.lp!$CJW$2</definedName>
    <definedName name="solver_lhs2314" localSheetId="0" hidden="1">monday_model.lp!$CJX$2</definedName>
    <definedName name="solver_lhs2315" localSheetId="0" hidden="1">monday_model.lp!$CJY$2</definedName>
    <definedName name="solver_lhs2316" localSheetId="0" hidden="1">monday_model.lp!$CJZ$2</definedName>
    <definedName name="solver_lhs2317" localSheetId="0" hidden="1">monday_model.lp!$CKA$2</definedName>
    <definedName name="solver_lhs2318" localSheetId="0" hidden="1">monday_model.lp!$CKB$2</definedName>
    <definedName name="solver_lhs2319" localSheetId="0" hidden="1">monday_model.lp!$CKC$2</definedName>
    <definedName name="solver_lhs232" localSheetId="0" hidden="1">monday_model.lp!$HV$2</definedName>
    <definedName name="solver_lhs2320" localSheetId="0" hidden="1">monday_model.lp!$CKD$2</definedName>
    <definedName name="solver_lhs2321" localSheetId="0" hidden="1">monday_model.lp!$CKE$2</definedName>
    <definedName name="solver_lhs2322" localSheetId="0" hidden="1">monday_model.lp!$CKF$2</definedName>
    <definedName name="solver_lhs2323" localSheetId="0" hidden="1">monday_model.lp!$CKG$2</definedName>
    <definedName name="solver_lhs2324" localSheetId="0" hidden="1">monday_model.lp!$CKH$2</definedName>
    <definedName name="solver_lhs2325" localSheetId="0" hidden="1">monday_model.lp!$CKI$2</definedName>
    <definedName name="solver_lhs2326" localSheetId="0" hidden="1">monday_model.lp!$CKJ$2</definedName>
    <definedName name="solver_lhs2327" localSheetId="0" hidden="1">monday_model.lp!$CKK$2</definedName>
    <definedName name="solver_lhs2328" localSheetId="0" hidden="1">monday_model.lp!$CKL$2</definedName>
    <definedName name="solver_lhs2329" localSheetId="0" hidden="1">monday_model.lp!$CKM$2</definedName>
    <definedName name="solver_lhs233" localSheetId="0" hidden="1">monday_model.lp!$HW$2</definedName>
    <definedName name="solver_lhs2330" localSheetId="0" hidden="1">monday_model.lp!$CKN$2</definedName>
    <definedName name="solver_lhs2331" localSheetId="0" hidden="1">monday_model.lp!$CKO$2</definedName>
    <definedName name="solver_lhs2332" localSheetId="0" hidden="1">monday_model.lp!$CKP$2</definedName>
    <definedName name="solver_lhs2333" localSheetId="0" hidden="1">monday_model.lp!$CKQ$2</definedName>
    <definedName name="solver_lhs2334" localSheetId="0" hidden="1">monday_model.lp!$CKR$2</definedName>
    <definedName name="solver_lhs2335" localSheetId="0" hidden="1">monday_model.lp!$CKS$2</definedName>
    <definedName name="solver_lhs2336" localSheetId="0" hidden="1">monday_model.lp!$CKT$2</definedName>
    <definedName name="solver_lhs2337" localSheetId="0" hidden="1">monday_model.lp!$CKU$2</definedName>
    <definedName name="solver_lhs2338" localSheetId="0" hidden="1">monday_model.lp!$CKV$2</definedName>
    <definedName name="solver_lhs2339" localSheetId="0" hidden="1">monday_model.lp!$CKW$2</definedName>
    <definedName name="solver_lhs234" localSheetId="0" hidden="1">monday_model.lp!$HX$2</definedName>
    <definedName name="solver_lhs2340" localSheetId="0" hidden="1">monday_model.lp!$CKX$2</definedName>
    <definedName name="solver_lhs2341" localSheetId="0" hidden="1">monday_model.lp!$CKY$2</definedName>
    <definedName name="solver_lhs2342" localSheetId="0" hidden="1">monday_model.lp!$CKZ$2</definedName>
    <definedName name="solver_lhs2343" localSheetId="0" hidden="1">monday_model.lp!$CLA$2</definedName>
    <definedName name="solver_lhs2344" localSheetId="0" hidden="1">monday_model.lp!$CLB$2</definedName>
    <definedName name="solver_lhs2345" localSheetId="0" hidden="1">monday_model.lp!$CLC$2</definedName>
    <definedName name="solver_lhs2346" localSheetId="0" hidden="1">monday_model.lp!$CLD$2</definedName>
    <definedName name="solver_lhs2347" localSheetId="0" hidden="1">monday_model.lp!$CLE$2</definedName>
    <definedName name="solver_lhs2348" localSheetId="0" hidden="1">monday_model.lp!$CLF$2</definedName>
    <definedName name="solver_lhs2349" localSheetId="0" hidden="1">monday_model.lp!$CLG$2</definedName>
    <definedName name="solver_lhs235" localSheetId="0" hidden="1">monday_model.lp!$HY$2</definedName>
    <definedName name="solver_lhs2350" localSheetId="0" hidden="1">monday_model.lp!$CLH$2</definedName>
    <definedName name="solver_lhs2351" localSheetId="0" hidden="1">monday_model.lp!$CLI$2</definedName>
    <definedName name="solver_lhs2352" localSheetId="0" hidden="1">monday_model.lp!$CLJ$2</definedName>
    <definedName name="solver_lhs2353" localSheetId="0" hidden="1">monday_model.lp!$CLK$2</definedName>
    <definedName name="solver_lhs2354" localSheetId="0" hidden="1">monday_model.lp!$CLL$2</definedName>
    <definedName name="solver_lhs2355" localSheetId="0" hidden="1">monday_model.lp!$CLM$2</definedName>
    <definedName name="solver_lhs2356" localSheetId="0" hidden="1">monday_model.lp!$CLN$2</definedName>
    <definedName name="solver_lhs2357" localSheetId="0" hidden="1">monday_model.lp!$CLO$2</definedName>
    <definedName name="solver_lhs2358" localSheetId="0" hidden="1">monday_model.lp!$CLP$2</definedName>
    <definedName name="solver_lhs2359" localSheetId="0" hidden="1">monday_model.lp!$CLQ$2</definedName>
    <definedName name="solver_lhs236" localSheetId="0" hidden="1">monday_model.lp!$HZ$2</definedName>
    <definedName name="solver_lhs2360" localSheetId="0" hidden="1">monday_model.lp!$CLR$2</definedName>
    <definedName name="solver_lhs2361" localSheetId="0" hidden="1">monday_model.lp!$CLS$2</definedName>
    <definedName name="solver_lhs2362" localSheetId="0" hidden="1">monday_model.lp!$CLT$2</definedName>
    <definedName name="solver_lhs2363" localSheetId="0" hidden="1">monday_model.lp!$CLU$2</definedName>
    <definedName name="solver_lhs2364" localSheetId="0" hidden="1">monday_model.lp!$CLV$2</definedName>
    <definedName name="solver_lhs2365" localSheetId="0" hidden="1">monday_model.lp!$CLW$2</definedName>
    <definedName name="solver_lhs2366" localSheetId="0" hidden="1">monday_model.lp!$CLX$2</definedName>
    <definedName name="solver_lhs2367" localSheetId="0" hidden="1">monday_model.lp!$CLY$2</definedName>
    <definedName name="solver_lhs2368" localSheetId="0" hidden="1">monday_model.lp!$CLZ$2</definedName>
    <definedName name="solver_lhs2369" localSheetId="0" hidden="1">monday_model.lp!$CMA$2</definedName>
    <definedName name="solver_lhs237" localSheetId="0" hidden="1">monday_model.lp!$IA$2</definedName>
    <definedName name="solver_lhs2370" localSheetId="0" hidden="1">monday_model.lp!$CMB$2</definedName>
    <definedName name="solver_lhs2371" localSheetId="0" hidden="1">monday_model.lp!$CMC$2</definedName>
    <definedName name="solver_lhs2372" localSheetId="0" hidden="1">monday_model.lp!$CMD$2</definedName>
    <definedName name="solver_lhs2373" localSheetId="0" hidden="1">monday_model.lp!$CME$2</definedName>
    <definedName name="solver_lhs2374" localSheetId="0" hidden="1">monday_model.lp!$CMF$2</definedName>
    <definedName name="solver_lhs2375" localSheetId="0" hidden="1">monday_model.lp!$CMG$2</definedName>
    <definedName name="solver_lhs2376" localSheetId="0" hidden="1">monday_model.lp!$CMH$2</definedName>
    <definedName name="solver_lhs2377" localSheetId="0" hidden="1">monday_model.lp!$CMI$2</definedName>
    <definedName name="solver_lhs2378" localSheetId="0" hidden="1">monday_model.lp!$CMJ$2</definedName>
    <definedName name="solver_lhs2379" localSheetId="0" hidden="1">monday_model.lp!$CMK$2</definedName>
    <definedName name="solver_lhs238" localSheetId="0" hidden="1">monday_model.lp!$IB$2</definedName>
    <definedName name="solver_lhs2380" localSheetId="0" hidden="1">monday_model.lp!$CML$2</definedName>
    <definedName name="solver_lhs2381" localSheetId="0" hidden="1">monday_model.lp!$CMM$2</definedName>
    <definedName name="solver_lhs2382" localSheetId="0" hidden="1">monday_model.lp!$CMN$2</definedName>
    <definedName name="solver_lhs2383" localSheetId="0" hidden="1">monday_model.lp!$CMO$2</definedName>
    <definedName name="solver_lhs2384" localSheetId="0" hidden="1">monday_model.lp!$CMP$2</definedName>
    <definedName name="solver_lhs2385" localSheetId="0" hidden="1">monday_model.lp!$CMQ$2</definedName>
    <definedName name="solver_lhs2386" localSheetId="0" hidden="1">monday_model.lp!$CMR$2</definedName>
    <definedName name="solver_lhs2387" localSheetId="0" hidden="1">monday_model.lp!$CMS$2</definedName>
    <definedName name="solver_lhs2388" localSheetId="0" hidden="1">monday_model.lp!$CMT$2</definedName>
    <definedName name="solver_lhs2389" localSheetId="0" hidden="1">monday_model.lp!$CMU$2</definedName>
    <definedName name="solver_lhs239" localSheetId="0" hidden="1">monday_model.lp!$IC$2</definedName>
    <definedName name="solver_lhs2390" localSheetId="0" hidden="1">monday_model.lp!$CMV$2</definedName>
    <definedName name="solver_lhs2391" localSheetId="0" hidden="1">monday_model.lp!$CMW$2</definedName>
    <definedName name="solver_lhs2392" localSheetId="0" hidden="1">monday_model.lp!$CMX$2</definedName>
    <definedName name="solver_lhs2393" localSheetId="0" hidden="1">monday_model.lp!$CMY$2</definedName>
    <definedName name="solver_lhs2394" localSheetId="0" hidden="1">monday_model.lp!$CMZ$2</definedName>
    <definedName name="solver_lhs2395" localSheetId="0" hidden="1">monday_model.lp!$CNA$2</definedName>
    <definedName name="solver_lhs2396" localSheetId="0" hidden="1">monday_model.lp!$CNB$2</definedName>
    <definedName name="solver_lhs2397" localSheetId="0" hidden="1">monday_model.lp!$CNC$2</definedName>
    <definedName name="solver_lhs2398" localSheetId="0" hidden="1">monday_model.lp!$CND$2</definedName>
    <definedName name="solver_lhs2399" localSheetId="0" hidden="1">monday_model.lp!$CNE$2</definedName>
    <definedName name="solver_lhs24" localSheetId="0" hidden="1">monday_model.lp!$V$2</definedName>
    <definedName name="solver_lhs240" localSheetId="0" hidden="1">monday_model.lp!$ID$2</definedName>
    <definedName name="solver_lhs2400" localSheetId="0" hidden="1">monday_model.lp!$CNF$2</definedName>
    <definedName name="solver_lhs2401" localSheetId="0" hidden="1">monday_model.lp!$CNG$2</definedName>
    <definedName name="solver_lhs2402" localSheetId="0" hidden="1">monday_model.lp!$CNH$2</definedName>
    <definedName name="solver_lhs2403" localSheetId="0" hidden="1">monday_model.lp!$CNI$2</definedName>
    <definedName name="solver_lhs2404" localSheetId="0" hidden="1">monday_model.lp!$CNJ$2</definedName>
    <definedName name="solver_lhs2405" localSheetId="0" hidden="1">monday_model.lp!$CNK$2</definedName>
    <definedName name="solver_lhs2406" localSheetId="0" hidden="1">monday_model.lp!$CNL$2</definedName>
    <definedName name="solver_lhs2407" localSheetId="0" hidden="1">monday_model.lp!$CNM$2</definedName>
    <definedName name="solver_lhs2408" localSheetId="0" hidden="1">monday_model.lp!$CNN$2</definedName>
    <definedName name="solver_lhs2409" localSheetId="0" hidden="1">monday_model.lp!$CNO$2</definedName>
    <definedName name="solver_lhs241" localSheetId="0" hidden="1">monday_model.lp!$IE$2</definedName>
    <definedName name="solver_lhs2410" localSheetId="0" hidden="1">monday_model.lp!$CNP$2</definedName>
    <definedName name="solver_lhs2411" localSheetId="0" hidden="1">monday_model.lp!$CNQ$2</definedName>
    <definedName name="solver_lhs2412" localSheetId="0" hidden="1">monday_model.lp!$CNR$2</definedName>
    <definedName name="solver_lhs2413" localSheetId="0" hidden="1">monday_model.lp!$CNS$2</definedName>
    <definedName name="solver_lhs2414" localSheetId="0" hidden="1">monday_model.lp!$CNT$2</definedName>
    <definedName name="solver_lhs2415" localSheetId="0" hidden="1">monday_model.lp!$CNU$2</definedName>
    <definedName name="solver_lhs2416" localSheetId="0" hidden="1">monday_model.lp!$CNV$2</definedName>
    <definedName name="solver_lhs2417" localSheetId="0" hidden="1">monday_model.lp!$CNW$2</definedName>
    <definedName name="solver_lhs2418" localSheetId="0" hidden="1">monday_model.lp!$CNX$2</definedName>
    <definedName name="solver_lhs2419" localSheetId="0" hidden="1">monday_model.lp!$CNY$2</definedName>
    <definedName name="solver_lhs242" localSheetId="0" hidden="1">monday_model.lp!$IF$2</definedName>
    <definedName name="solver_lhs2420" localSheetId="0" hidden="1">monday_model.lp!$CNZ$2</definedName>
    <definedName name="solver_lhs2421" localSheetId="0" hidden="1">monday_model.lp!$COA$2</definedName>
    <definedName name="solver_lhs2422" localSheetId="0" hidden="1">monday_model.lp!$COB$2</definedName>
    <definedName name="solver_lhs2423" localSheetId="0" hidden="1">monday_model.lp!$COC$2</definedName>
    <definedName name="solver_lhs2424" localSheetId="0" hidden="1">monday_model.lp!$COD$2</definedName>
    <definedName name="solver_lhs2425" localSheetId="0" hidden="1">monday_model.lp!$COE$2</definedName>
    <definedName name="solver_lhs2426" localSheetId="0" hidden="1">monday_model.lp!$COF$2</definedName>
    <definedName name="solver_lhs2427" localSheetId="0" hidden="1">monday_model.lp!$COG$2</definedName>
    <definedName name="solver_lhs2428" localSheetId="0" hidden="1">monday_model.lp!$COH$2</definedName>
    <definedName name="solver_lhs2429" localSheetId="0" hidden="1">monday_model.lp!$COI$2</definedName>
    <definedName name="solver_lhs243" localSheetId="0" hidden="1">monday_model.lp!$IG$2</definedName>
    <definedName name="solver_lhs2430" localSheetId="0" hidden="1">monday_model.lp!$COJ$2</definedName>
    <definedName name="solver_lhs2431" localSheetId="0" hidden="1">monday_model.lp!$COK$2</definedName>
    <definedName name="solver_lhs2432" localSheetId="0" hidden="1">monday_model.lp!$COL$2</definedName>
    <definedName name="solver_lhs2433" localSheetId="0" hidden="1">monday_model.lp!$COM$2</definedName>
    <definedName name="solver_lhs2434" localSheetId="0" hidden="1">monday_model.lp!$CON$2</definedName>
    <definedName name="solver_lhs2435" localSheetId="0" hidden="1">monday_model.lp!$COO$2</definedName>
    <definedName name="solver_lhs2436" localSheetId="0" hidden="1">monday_model.lp!$COP$2</definedName>
    <definedName name="solver_lhs2437" localSheetId="0" hidden="1">monday_model.lp!$COQ$2</definedName>
    <definedName name="solver_lhs2438" localSheetId="0" hidden="1">monday_model.lp!$COR$2</definedName>
    <definedName name="solver_lhs2439" localSheetId="0" hidden="1">monday_model.lp!$COS$2</definedName>
    <definedName name="solver_lhs244" localSheetId="0" hidden="1">monday_model.lp!$IH$2</definedName>
    <definedName name="solver_lhs2440" localSheetId="0" hidden="1">monday_model.lp!$COT$2</definedName>
    <definedName name="solver_lhs2441" localSheetId="0" hidden="1">monday_model.lp!$COU$2</definedName>
    <definedName name="solver_lhs2442" localSheetId="0" hidden="1">monday_model.lp!$COV$2</definedName>
    <definedName name="solver_lhs2443" localSheetId="0" hidden="1">monday_model.lp!$COW$2</definedName>
    <definedName name="solver_lhs2444" localSheetId="0" hidden="1">monday_model.lp!$COX$2</definedName>
    <definedName name="solver_lhs2445" localSheetId="0" hidden="1">monday_model.lp!$COY$2</definedName>
    <definedName name="solver_lhs2446" localSheetId="0" hidden="1">monday_model.lp!$COZ$2</definedName>
    <definedName name="solver_lhs2447" localSheetId="0" hidden="1">monday_model.lp!$CPA$2</definedName>
    <definedName name="solver_lhs2448" localSheetId="0" hidden="1">monday_model.lp!$CPB$2</definedName>
    <definedName name="solver_lhs2449" localSheetId="0" hidden="1">monday_model.lp!$CPC$2</definedName>
    <definedName name="solver_lhs245" localSheetId="0" hidden="1">monday_model.lp!$II$2</definedName>
    <definedName name="solver_lhs2450" localSheetId="0" hidden="1">monday_model.lp!$CPD$2</definedName>
    <definedName name="solver_lhs2451" localSheetId="0" hidden="1">monday_model.lp!$CPE$2</definedName>
    <definedName name="solver_lhs2452" localSheetId="0" hidden="1">monday_model.lp!$CPF$2</definedName>
    <definedName name="solver_lhs2453" localSheetId="0" hidden="1">monday_model.lp!$CPG$2</definedName>
    <definedName name="solver_lhs2454" localSheetId="0" hidden="1">monday_model.lp!$CPH$2</definedName>
    <definedName name="solver_lhs2455" localSheetId="0" hidden="1">monday_model.lp!$CPI$2</definedName>
    <definedName name="solver_lhs2456" localSheetId="0" hidden="1">monday_model.lp!$CPJ$2</definedName>
    <definedName name="solver_lhs2457" localSheetId="0" hidden="1">monday_model.lp!$CPK$2</definedName>
    <definedName name="solver_lhs2458" localSheetId="0" hidden="1">monday_model.lp!$CPL$2</definedName>
    <definedName name="solver_lhs2459" localSheetId="0" hidden="1">monday_model.lp!$CPM$2</definedName>
    <definedName name="solver_lhs246" localSheetId="0" hidden="1">monday_model.lp!$IJ$2</definedName>
    <definedName name="solver_lhs2460" localSheetId="0" hidden="1">monday_model.lp!$CPN$2</definedName>
    <definedName name="solver_lhs2461" localSheetId="0" hidden="1">monday_model.lp!$CPO$2</definedName>
    <definedName name="solver_lhs2462" localSheetId="0" hidden="1">monday_model.lp!$CPP$2</definedName>
    <definedName name="solver_lhs2463" localSheetId="0" hidden="1">monday_model.lp!$CPQ$2</definedName>
    <definedName name="solver_lhs2464" localSheetId="0" hidden="1">monday_model.lp!$CPR$2</definedName>
    <definedName name="solver_lhs2465" localSheetId="0" hidden="1">monday_model.lp!$CPS$2</definedName>
    <definedName name="solver_lhs2466" localSheetId="0" hidden="1">monday_model.lp!$CPT$2</definedName>
    <definedName name="solver_lhs2467" localSheetId="0" hidden="1">monday_model.lp!$CPU$2</definedName>
    <definedName name="solver_lhs2468" localSheetId="0" hidden="1">monday_model.lp!$CPV$2</definedName>
    <definedName name="solver_lhs2469" localSheetId="0" hidden="1">monday_model.lp!$CPW$2</definedName>
    <definedName name="solver_lhs247" localSheetId="0" hidden="1">monday_model.lp!$IK$2</definedName>
    <definedName name="solver_lhs2470" localSheetId="0" hidden="1">monday_model.lp!$CPX$2</definedName>
    <definedName name="solver_lhs2471" localSheetId="0" hidden="1">monday_model.lp!$CPY$2</definedName>
    <definedName name="solver_lhs2472" localSheetId="0" hidden="1">monday_model.lp!$CPZ$2</definedName>
    <definedName name="solver_lhs2473" localSheetId="0" hidden="1">monday_model.lp!$CQA$2</definedName>
    <definedName name="solver_lhs2474" localSheetId="0" hidden="1">monday_model.lp!$CQB$2</definedName>
    <definedName name="solver_lhs2475" localSheetId="0" hidden="1">monday_model.lp!$CQC$2</definedName>
    <definedName name="solver_lhs2476" localSheetId="0" hidden="1">monday_model.lp!$CQD$2</definedName>
    <definedName name="solver_lhs2477" localSheetId="0" hidden="1">monday_model.lp!$CQE$2</definedName>
    <definedName name="solver_lhs2478" localSheetId="0" hidden="1">monday_model.lp!$CQF$2</definedName>
    <definedName name="solver_lhs2479" localSheetId="0" hidden="1">monday_model.lp!$CQG$2</definedName>
    <definedName name="solver_lhs248" localSheetId="0" hidden="1">monday_model.lp!$IL$2</definedName>
    <definedName name="solver_lhs2480" localSheetId="0" hidden="1">monday_model.lp!$CQH$2</definedName>
    <definedName name="solver_lhs2481" localSheetId="0" hidden="1">monday_model.lp!$CQI$2</definedName>
    <definedName name="solver_lhs2482" localSheetId="0" hidden="1">monday_model.lp!$CQJ$2</definedName>
    <definedName name="solver_lhs2483" localSheetId="0" hidden="1">monday_model.lp!$CQK$2</definedName>
    <definedName name="solver_lhs2484" localSheetId="0" hidden="1">monday_model.lp!$CQL$2</definedName>
    <definedName name="solver_lhs2485" localSheetId="0" hidden="1">monday_model.lp!$CQM$2</definedName>
    <definedName name="solver_lhs2486" localSheetId="0" hidden="1">monday_model.lp!$CQN$2</definedName>
    <definedName name="solver_lhs2487" localSheetId="0" hidden="1">monday_model.lp!$CQO$2</definedName>
    <definedName name="solver_lhs2488" localSheetId="0" hidden="1">monday_model.lp!$CQP$2</definedName>
    <definedName name="solver_lhs2489" localSheetId="0" hidden="1">monday_model.lp!$CQQ$2</definedName>
    <definedName name="solver_lhs249" localSheetId="0" hidden="1">monday_model.lp!$IM$2</definedName>
    <definedName name="solver_lhs2490" localSheetId="0" hidden="1">monday_model.lp!$CQR$2</definedName>
    <definedName name="solver_lhs2491" localSheetId="0" hidden="1">monday_model.lp!$CQS$2</definedName>
    <definedName name="solver_lhs2492" localSheetId="0" hidden="1">monday_model.lp!$CQT$2</definedName>
    <definedName name="solver_lhs2493" localSheetId="0" hidden="1">monday_model.lp!$CQU$2</definedName>
    <definedName name="solver_lhs2494" localSheetId="0" hidden="1">monday_model.lp!$CQV$2</definedName>
    <definedName name="solver_lhs2495" localSheetId="0" hidden="1">monday_model.lp!$CQW$2</definedName>
    <definedName name="solver_lhs2496" localSheetId="0" hidden="1">monday_model.lp!$CQX$2</definedName>
    <definedName name="solver_lhs2497" localSheetId="0" hidden="1">monday_model.lp!$CQY$2</definedName>
    <definedName name="solver_lhs2498" localSheetId="0" hidden="1">monday_model.lp!$CQZ$2</definedName>
    <definedName name="solver_lhs2499" localSheetId="0" hidden="1">monday_model.lp!$CRA$2</definedName>
    <definedName name="solver_lhs25" localSheetId="0" hidden="1">monday_model.lp!$W$2</definedName>
    <definedName name="solver_lhs250" localSheetId="0" hidden="1">monday_model.lp!$IN$2</definedName>
    <definedName name="solver_lhs2500" localSheetId="0" hidden="1">monday_model.lp!$CRB$2</definedName>
    <definedName name="solver_lhs2501" localSheetId="0" hidden="1">monday_model.lp!$CRC$2</definedName>
    <definedName name="solver_lhs2502" localSheetId="0" hidden="1">monday_model.lp!$CRD$2</definedName>
    <definedName name="solver_lhs2503" localSheetId="0" hidden="1">monday_model.lp!$CRE$2</definedName>
    <definedName name="solver_lhs2504" localSheetId="0" hidden="1">monday_model.lp!$CRF$2</definedName>
    <definedName name="solver_lhs2505" localSheetId="0" hidden="1">monday_model.lp!$CRG$2</definedName>
    <definedName name="solver_lhs2506" localSheetId="0" hidden="1">monday_model.lp!$CRH$2</definedName>
    <definedName name="solver_lhs2507" localSheetId="0" hidden="1">monday_model.lp!$CRI$2</definedName>
    <definedName name="solver_lhs2508" localSheetId="0" hidden="1">monday_model.lp!$CRJ$2</definedName>
    <definedName name="solver_lhs2509" localSheetId="0" hidden="1">monday_model.lp!$CRK$2</definedName>
    <definedName name="solver_lhs251" localSheetId="0" hidden="1">monday_model.lp!$IO$2</definedName>
    <definedName name="solver_lhs2510" localSheetId="0" hidden="1">monday_model.lp!$CRL$2</definedName>
    <definedName name="solver_lhs2511" localSheetId="0" hidden="1">monday_model.lp!$CRM$2</definedName>
    <definedName name="solver_lhs2512" localSheetId="0" hidden="1">monday_model.lp!$CRN$2</definedName>
    <definedName name="solver_lhs2513" localSheetId="0" hidden="1">monday_model.lp!$CRO$2</definedName>
    <definedName name="solver_lhs2514" localSheetId="0" hidden="1">monday_model.lp!$CRP$2</definedName>
    <definedName name="solver_lhs2515" localSheetId="0" hidden="1">monday_model.lp!$CRQ$2</definedName>
    <definedName name="solver_lhs2516" localSheetId="0" hidden="1">monday_model.lp!$CRR$2</definedName>
    <definedName name="solver_lhs2517" localSheetId="0" hidden="1">monday_model.lp!$CRS$2</definedName>
    <definedName name="solver_lhs2518" localSheetId="0" hidden="1">monday_model.lp!$CRT$2</definedName>
    <definedName name="solver_lhs2519" localSheetId="0" hidden="1">monday_model.lp!$CRU$2</definedName>
    <definedName name="solver_lhs252" localSheetId="0" hidden="1">monday_model.lp!$IP$2</definedName>
    <definedName name="solver_lhs2520" localSheetId="0" hidden="1">monday_model.lp!$CRV$2</definedName>
    <definedName name="solver_lhs2521" localSheetId="0" hidden="1">monday_model.lp!$CRW$2</definedName>
    <definedName name="solver_lhs2522" localSheetId="0" hidden="1">monday_model.lp!$CRX$2</definedName>
    <definedName name="solver_lhs2523" localSheetId="0" hidden="1">monday_model.lp!$CRY$2</definedName>
    <definedName name="solver_lhs2524" localSheetId="0" hidden="1">monday_model.lp!$CRZ$2</definedName>
    <definedName name="solver_lhs2525" localSheetId="0" hidden="1">monday_model.lp!$CSA$2</definedName>
    <definedName name="solver_lhs2526" localSheetId="0" hidden="1">monday_model.lp!$CSB$2</definedName>
    <definedName name="solver_lhs2527" localSheetId="0" hidden="1">monday_model.lp!$CSC$2</definedName>
    <definedName name="solver_lhs2528" localSheetId="0" hidden="1">monday_model.lp!$CSD$2</definedName>
    <definedName name="solver_lhs2529" localSheetId="0" hidden="1">monday_model.lp!$CSE$2</definedName>
    <definedName name="solver_lhs253" localSheetId="0" hidden="1">monday_model.lp!$IQ$2</definedName>
    <definedName name="solver_lhs2530" localSheetId="0" hidden="1">monday_model.lp!$CSF$2</definedName>
    <definedName name="solver_lhs2531" localSheetId="0" hidden="1">monday_model.lp!$CSG$2</definedName>
    <definedName name="solver_lhs2532" localSheetId="0" hidden="1">monday_model.lp!$CSH$2</definedName>
    <definedName name="solver_lhs2533" localSheetId="0" hidden="1">monday_model.lp!$CSI$2</definedName>
    <definedName name="solver_lhs2534" localSheetId="0" hidden="1">monday_model.lp!$CSJ$2</definedName>
    <definedName name="solver_lhs2535" localSheetId="0" hidden="1">monday_model.lp!$CSK$2</definedName>
    <definedName name="solver_lhs2536" localSheetId="0" hidden="1">monday_model.lp!$CSL$2</definedName>
    <definedName name="solver_lhs2537" localSheetId="0" hidden="1">monday_model.lp!$CSM$2</definedName>
    <definedName name="solver_lhs2538" localSheetId="0" hidden="1">monday_model.lp!$CSN$2</definedName>
    <definedName name="solver_lhs2539" localSheetId="0" hidden="1">monday_model.lp!$CSO$2</definedName>
    <definedName name="solver_lhs254" localSheetId="0" hidden="1">monday_model.lp!$IR$2</definedName>
    <definedName name="solver_lhs2540" localSheetId="0" hidden="1">monday_model.lp!$CSP$2</definedName>
    <definedName name="solver_lhs2541" localSheetId="0" hidden="1">monday_model.lp!$CSQ$2</definedName>
    <definedName name="solver_lhs2542" localSheetId="0" hidden="1">monday_model.lp!$CSR$2</definedName>
    <definedName name="solver_lhs2543" localSheetId="0" hidden="1">monday_model.lp!$CSS$2</definedName>
    <definedName name="solver_lhs2544" localSheetId="0" hidden="1">monday_model.lp!$CST$2</definedName>
    <definedName name="solver_lhs2545" localSheetId="0" hidden="1">monday_model.lp!$CSU$2</definedName>
    <definedName name="solver_lhs2546" localSheetId="0" hidden="1">monday_model.lp!$CSV$2</definedName>
    <definedName name="solver_lhs2547" localSheetId="0" hidden="1">monday_model.lp!$CSW$2</definedName>
    <definedName name="solver_lhs2548" localSheetId="0" hidden="1">monday_model.lp!$CSX$2</definedName>
    <definedName name="solver_lhs2549" localSheetId="0" hidden="1">monday_model.lp!$CSY$2</definedName>
    <definedName name="solver_lhs255" localSheetId="0" hidden="1">monday_model.lp!$IS$2</definedName>
    <definedName name="solver_lhs2550" localSheetId="0" hidden="1">monday_model.lp!$CSZ$2</definedName>
    <definedName name="solver_lhs2551" localSheetId="0" hidden="1">monday_model.lp!$CTA$2</definedName>
    <definedName name="solver_lhs2552" localSheetId="0" hidden="1">monday_model.lp!$CTB$2</definedName>
    <definedName name="solver_lhs2553" localSheetId="0" hidden="1">monday_model.lp!$CTC$2</definedName>
    <definedName name="solver_lhs2554" localSheetId="0" hidden="1">monday_model.lp!$CTD$2</definedName>
    <definedName name="solver_lhs2555" localSheetId="0" hidden="1">monday_model.lp!$CTE$2</definedName>
    <definedName name="solver_lhs2556" localSheetId="0" hidden="1">monday_model.lp!$CTF$2</definedName>
    <definedName name="solver_lhs2557" localSheetId="0" hidden="1">monday_model.lp!$CTG$2</definedName>
    <definedName name="solver_lhs2558" localSheetId="0" hidden="1">monday_model.lp!$CTH$2</definedName>
    <definedName name="solver_lhs2559" localSheetId="0" hidden="1">monday_model.lp!$CTI$2</definedName>
    <definedName name="solver_lhs256" localSheetId="0" hidden="1">monday_model.lp!$IT$2</definedName>
    <definedName name="solver_lhs2560" localSheetId="0" hidden="1">monday_model.lp!$CTJ$2</definedName>
    <definedName name="solver_lhs2561" localSheetId="0" hidden="1">monday_model.lp!$CTK$2</definedName>
    <definedName name="solver_lhs2562" localSheetId="0" hidden="1">monday_model.lp!$CTL$2</definedName>
    <definedName name="solver_lhs2563" localSheetId="0" hidden="1">monday_model.lp!$CTM$2</definedName>
    <definedName name="solver_lhs2564" localSheetId="0" hidden="1">monday_model.lp!$CTN$2</definedName>
    <definedName name="solver_lhs2565" localSheetId="0" hidden="1">monday_model.lp!$CTO$2</definedName>
    <definedName name="solver_lhs2566" localSheetId="0" hidden="1">monday_model.lp!$CTP$2</definedName>
    <definedName name="solver_lhs2567" localSheetId="0" hidden="1">monday_model.lp!$CTQ$2</definedName>
    <definedName name="solver_lhs2568" localSheetId="0" hidden="1">monday_model.lp!$CTR$2</definedName>
    <definedName name="solver_lhs2569" localSheetId="0" hidden="1">monday_model.lp!$CTS$2</definedName>
    <definedName name="solver_lhs257" localSheetId="0" hidden="1">monday_model.lp!$IU$2</definedName>
    <definedName name="solver_lhs2570" localSheetId="0" hidden="1">monday_model.lp!$CTT$2</definedName>
    <definedName name="solver_lhs2571" localSheetId="0" hidden="1">monday_model.lp!$CTU$2</definedName>
    <definedName name="solver_lhs2572" localSheetId="0" hidden="1">monday_model.lp!$CTV$2</definedName>
    <definedName name="solver_lhs2573" localSheetId="0" hidden="1">monday_model.lp!$CTW$2</definedName>
    <definedName name="solver_lhs2574" localSheetId="0" hidden="1">monday_model.lp!$CTX$2</definedName>
    <definedName name="solver_lhs2575" localSheetId="0" hidden="1">monday_model.lp!$CTY$2</definedName>
    <definedName name="solver_lhs2576" localSheetId="0" hidden="1">monday_model.lp!$CTZ$2</definedName>
    <definedName name="solver_lhs2577" localSheetId="0" hidden="1">monday_model.lp!$CUA$2</definedName>
    <definedName name="solver_lhs2578" localSheetId="0" hidden="1">monday_model.lp!$CUB$2</definedName>
    <definedName name="solver_lhs2579" localSheetId="0" hidden="1">monday_model.lp!$CUC$2</definedName>
    <definedName name="solver_lhs258" localSheetId="0" hidden="1">monday_model.lp!$IV$2</definedName>
    <definedName name="solver_lhs2580" localSheetId="0" hidden="1">monday_model.lp!$CUD$2</definedName>
    <definedName name="solver_lhs2581" localSheetId="0" hidden="1">monday_model.lp!$CUE$2</definedName>
    <definedName name="solver_lhs2582" localSheetId="0" hidden="1">monday_model.lp!$CUF$2</definedName>
    <definedName name="solver_lhs2583" localSheetId="0" hidden="1">monday_model.lp!$CUG$2</definedName>
    <definedName name="solver_lhs2584" localSheetId="0" hidden="1">monday_model.lp!$CUH$2</definedName>
    <definedName name="solver_lhs2585" localSheetId="0" hidden="1">monday_model.lp!$CUI$2</definedName>
    <definedName name="solver_lhs2586" localSheetId="0" hidden="1">monday_model.lp!$CUJ$2</definedName>
    <definedName name="solver_lhs2587" localSheetId="0" hidden="1">monday_model.lp!$CUK$2</definedName>
    <definedName name="solver_lhs2588" localSheetId="0" hidden="1">monday_model.lp!$CUL$2</definedName>
    <definedName name="solver_lhs2589" localSheetId="0" hidden="1">monday_model.lp!$CUM$2</definedName>
    <definedName name="solver_lhs259" localSheetId="0" hidden="1">monday_model.lp!$IW$2</definedName>
    <definedName name="solver_lhs2590" localSheetId="0" hidden="1">monday_model.lp!$CUN$2</definedName>
    <definedName name="solver_lhs2591" localSheetId="0" hidden="1">monday_model.lp!$CUO$2</definedName>
    <definedName name="solver_lhs2592" localSheetId="0" hidden="1">monday_model.lp!$CUP$2</definedName>
    <definedName name="solver_lhs2593" localSheetId="0" hidden="1">monday_model.lp!$CUQ$2</definedName>
    <definedName name="solver_lhs2594" localSheetId="0" hidden="1">monday_model.lp!$CUR$2</definedName>
    <definedName name="solver_lhs2595" localSheetId="0" hidden="1">monday_model.lp!$CUS$2</definedName>
    <definedName name="solver_lhs2596" localSheetId="0" hidden="1">monday_model.lp!$CUT$2</definedName>
    <definedName name="solver_lhs2597" localSheetId="0" hidden="1">monday_model.lp!$CUU$2</definedName>
    <definedName name="solver_lhs2598" localSheetId="0" hidden="1">monday_model.lp!$CUV$2</definedName>
    <definedName name="solver_lhs2599" localSheetId="0" hidden="1">monday_model.lp!$CUW$2</definedName>
    <definedName name="solver_lhs26" localSheetId="0" hidden="1">monday_model.lp!$X$2</definedName>
    <definedName name="solver_lhs260" localSheetId="0" hidden="1">monday_model.lp!$IX$2</definedName>
    <definedName name="solver_lhs2600" localSheetId="0" hidden="1">monday_model.lp!$CUX$2</definedName>
    <definedName name="solver_lhs2601" localSheetId="0" hidden="1">monday_model.lp!$CUY$2</definedName>
    <definedName name="solver_lhs2602" localSheetId="0" hidden="1">monday_model.lp!$CUZ$2</definedName>
    <definedName name="solver_lhs2603" localSheetId="0" hidden="1">monday_model.lp!$CVA$2</definedName>
    <definedName name="solver_lhs2604" localSheetId="0" hidden="1">monday_model.lp!$CVB$2</definedName>
    <definedName name="solver_lhs2605" localSheetId="0" hidden="1">monday_model.lp!$CVC$2</definedName>
    <definedName name="solver_lhs2606" localSheetId="0" hidden="1">monday_model.lp!$CVD$2</definedName>
    <definedName name="solver_lhs2607" localSheetId="0" hidden="1">monday_model.lp!$CVE$2</definedName>
    <definedName name="solver_lhs2608" localSheetId="0" hidden="1">monday_model.lp!$CVF$2</definedName>
    <definedName name="solver_lhs2609" localSheetId="0" hidden="1">monday_model.lp!$CVG$2</definedName>
    <definedName name="solver_lhs261" localSheetId="0" hidden="1">monday_model.lp!$IY$2</definedName>
    <definedName name="solver_lhs2610" localSheetId="0" hidden="1">monday_model.lp!$CVH$2</definedName>
    <definedName name="solver_lhs2611" localSheetId="0" hidden="1">monday_model.lp!$CVI$2</definedName>
    <definedName name="solver_lhs2612" localSheetId="0" hidden="1">monday_model.lp!$CVJ$2</definedName>
    <definedName name="solver_lhs2613" localSheetId="0" hidden="1">monday_model.lp!$CVK$2</definedName>
    <definedName name="solver_lhs2614" localSheetId="0" hidden="1">monday_model.lp!$CVL$2</definedName>
    <definedName name="solver_lhs2615" localSheetId="0" hidden="1">monday_model.lp!$CVM$2</definedName>
    <definedName name="solver_lhs2616" localSheetId="0" hidden="1">monday_model.lp!$CVN$2</definedName>
    <definedName name="solver_lhs2617" localSheetId="0" hidden="1">monday_model.lp!$CVO$2</definedName>
    <definedName name="solver_lhs2618" localSheetId="0" hidden="1">monday_model.lp!$CVP$2</definedName>
    <definedName name="solver_lhs2619" localSheetId="0" hidden="1">monday_model.lp!$CVQ$2</definedName>
    <definedName name="solver_lhs262" localSheetId="0" hidden="1">monday_model.lp!$IZ$2</definedName>
    <definedName name="solver_lhs2620" localSheetId="0" hidden="1">monday_model.lp!$CVR$2</definedName>
    <definedName name="solver_lhs2621" localSheetId="0" hidden="1">monday_model.lp!$CVS$2</definedName>
    <definedName name="solver_lhs2622" localSheetId="0" hidden="1">monday_model.lp!$CVT$2</definedName>
    <definedName name="solver_lhs2623" localSheetId="0" hidden="1">monday_model.lp!$CVU$2</definedName>
    <definedName name="solver_lhs2624" localSheetId="0" hidden="1">monday_model.lp!$CVV$2</definedName>
    <definedName name="solver_lhs2625" localSheetId="0" hidden="1">monday_model.lp!$CVW$2</definedName>
    <definedName name="solver_lhs2626" localSheetId="0" hidden="1">monday_model.lp!$CVX$2</definedName>
    <definedName name="solver_lhs2627" localSheetId="0" hidden="1">monday_model.lp!$CVY$2</definedName>
    <definedName name="solver_lhs2628" localSheetId="0" hidden="1">monday_model.lp!$CVZ$2</definedName>
    <definedName name="solver_lhs2629" localSheetId="0" hidden="1">monday_model.lp!$CWA$2</definedName>
    <definedName name="solver_lhs263" localSheetId="0" hidden="1">monday_model.lp!$JA$2</definedName>
    <definedName name="solver_lhs2630" localSheetId="0" hidden="1">monday_model.lp!$CWB$2</definedName>
    <definedName name="solver_lhs2631" localSheetId="0" hidden="1">monday_model.lp!$CWC$2</definedName>
    <definedName name="solver_lhs2632" localSheetId="0" hidden="1">monday_model.lp!$CWD$2</definedName>
    <definedName name="solver_lhs2633" localSheetId="0" hidden="1">monday_model.lp!$CWE$2</definedName>
    <definedName name="solver_lhs2634" localSheetId="0" hidden="1">monday_model.lp!$CWF$2</definedName>
    <definedName name="solver_lhs2635" localSheetId="0" hidden="1">monday_model.lp!$CWG$2</definedName>
    <definedName name="solver_lhs2636" localSheetId="0" hidden="1">monday_model.lp!$CWH$2</definedName>
    <definedName name="solver_lhs2637" localSheetId="0" hidden="1">monday_model.lp!$CWI$2</definedName>
    <definedName name="solver_lhs2638" localSheetId="0" hidden="1">monday_model.lp!$CWJ$2</definedName>
    <definedName name="solver_lhs2639" localSheetId="0" hidden="1">monday_model.lp!$CWK$2</definedName>
    <definedName name="solver_lhs264" localSheetId="0" hidden="1">monday_model.lp!$JB$2</definedName>
    <definedName name="solver_lhs2640" localSheetId="0" hidden="1">monday_model.lp!$CWL$2</definedName>
    <definedName name="solver_lhs2641" localSheetId="0" hidden="1">monday_model.lp!$CWM$2</definedName>
    <definedName name="solver_lhs2642" localSheetId="0" hidden="1">monday_model.lp!$CWN$2</definedName>
    <definedName name="solver_lhs2643" localSheetId="0" hidden="1">monday_model.lp!$CWO$2</definedName>
    <definedName name="solver_lhs2644" localSheetId="0" hidden="1">monday_model.lp!$CWP$2</definedName>
    <definedName name="solver_lhs2645" localSheetId="0" hidden="1">monday_model.lp!$CWQ$2</definedName>
    <definedName name="solver_lhs2646" localSheetId="0" hidden="1">monday_model.lp!$CWR$2</definedName>
    <definedName name="solver_lhs2647" localSheetId="0" hidden="1">monday_model.lp!$CWS$2</definedName>
    <definedName name="solver_lhs2648" localSheetId="0" hidden="1">monday_model.lp!$CWT$2</definedName>
    <definedName name="solver_lhs2649" localSheetId="0" hidden="1">monday_model.lp!$CWU$2</definedName>
    <definedName name="solver_lhs265" localSheetId="0" hidden="1">monday_model.lp!$JC$2</definedName>
    <definedName name="solver_lhs2650" localSheetId="0" hidden="1">monday_model.lp!$CWV$2</definedName>
    <definedName name="solver_lhs2651" localSheetId="0" hidden="1">monday_model.lp!$CWW$2</definedName>
    <definedName name="solver_lhs2652" localSheetId="0" hidden="1">monday_model.lp!$CWX$2</definedName>
    <definedName name="solver_lhs2653" localSheetId="0" hidden="1">monday_model.lp!$CWY$2</definedName>
    <definedName name="solver_lhs2654" localSheetId="0" hidden="1">monday_model.lp!$CWZ$2</definedName>
    <definedName name="solver_lhs2655" localSheetId="0" hidden="1">monday_model.lp!$CXA$2</definedName>
    <definedName name="solver_lhs2656" localSheetId="0" hidden="1">monday_model.lp!$CXB$2</definedName>
    <definedName name="solver_lhs2657" localSheetId="0" hidden="1">monday_model.lp!$CXC$2</definedName>
    <definedName name="solver_lhs2658" localSheetId="0" hidden="1">monday_model.lp!$CXD$2</definedName>
    <definedName name="solver_lhs2659" localSheetId="0" hidden="1">monday_model.lp!$CXE$2</definedName>
    <definedName name="solver_lhs266" localSheetId="0" hidden="1">monday_model.lp!$JD$2</definedName>
    <definedName name="solver_lhs2660" localSheetId="0" hidden="1">monday_model.lp!$CXF$2</definedName>
    <definedName name="solver_lhs2661" localSheetId="0" hidden="1">monday_model.lp!$CXG$2</definedName>
    <definedName name="solver_lhs2662" localSheetId="0" hidden="1">monday_model.lp!$CXH$2</definedName>
    <definedName name="solver_lhs2663" localSheetId="0" hidden="1">monday_model.lp!$CXI$2</definedName>
    <definedName name="solver_lhs2664" localSheetId="0" hidden="1">monday_model.lp!$CXJ$2</definedName>
    <definedName name="solver_lhs2665" localSheetId="0" hidden="1">monday_model.lp!$CXK$2</definedName>
    <definedName name="solver_lhs2666" localSheetId="0" hidden="1">monday_model.lp!$CXL$2</definedName>
    <definedName name="solver_lhs2667" localSheetId="0" hidden="1">monday_model.lp!$CXM$2</definedName>
    <definedName name="solver_lhs2668" localSheetId="0" hidden="1">monday_model.lp!$CXN$2</definedName>
    <definedName name="solver_lhs2669" localSheetId="0" hidden="1">monday_model.lp!$CXO$2</definedName>
    <definedName name="solver_lhs267" localSheetId="0" hidden="1">monday_model.lp!$JE$2</definedName>
    <definedName name="solver_lhs2670" localSheetId="0" hidden="1">monday_model.lp!$CXP$2</definedName>
    <definedName name="solver_lhs2671" localSheetId="0" hidden="1">monday_model.lp!$CXQ$2</definedName>
    <definedName name="solver_lhs2672" localSheetId="0" hidden="1">monday_model.lp!$CXR$2</definedName>
    <definedName name="solver_lhs2673" localSheetId="0" hidden="1">monday_model.lp!$CXS$2</definedName>
    <definedName name="solver_lhs2674" localSheetId="0" hidden="1">monday_model.lp!$CXT$2</definedName>
    <definedName name="solver_lhs2675" localSheetId="0" hidden="1">monday_model.lp!$CXU$2</definedName>
    <definedName name="solver_lhs2676" localSheetId="0" hidden="1">monday_model.lp!$CXV$2</definedName>
    <definedName name="solver_lhs2677" localSheetId="0" hidden="1">monday_model.lp!$CXW$2</definedName>
    <definedName name="solver_lhs2678" localSheetId="0" hidden="1">monday_model.lp!$CXX$2</definedName>
    <definedName name="solver_lhs2679" localSheetId="0" hidden="1">monday_model.lp!$CXY$2</definedName>
    <definedName name="solver_lhs268" localSheetId="0" hidden="1">monday_model.lp!$JF$2</definedName>
    <definedName name="solver_lhs2680" localSheetId="0" hidden="1">monday_model.lp!$CXZ$2</definedName>
    <definedName name="solver_lhs2681" localSheetId="0" hidden="1">monday_model.lp!$CYA$2</definedName>
    <definedName name="solver_lhs2682" localSheetId="0" hidden="1">monday_model.lp!$CYB$2</definedName>
    <definedName name="solver_lhs2683" localSheetId="0" hidden="1">monday_model.lp!$CYC$2</definedName>
    <definedName name="solver_lhs2684" localSheetId="0" hidden="1">monday_model.lp!$CYD$2</definedName>
    <definedName name="solver_lhs2685" localSheetId="0" hidden="1">monday_model.lp!$CYE$2</definedName>
    <definedName name="solver_lhs2686" localSheetId="0" hidden="1">monday_model.lp!$CYF$2</definedName>
    <definedName name="solver_lhs2687" localSheetId="0" hidden="1">monday_model.lp!$CYG$2</definedName>
    <definedName name="solver_lhs2688" localSheetId="0" hidden="1">monday_model.lp!$CYH$2</definedName>
    <definedName name="solver_lhs2689" localSheetId="0" hidden="1">monday_model.lp!$CYI$2</definedName>
    <definedName name="solver_lhs269" localSheetId="0" hidden="1">monday_model.lp!$JG$2</definedName>
    <definedName name="solver_lhs2690" localSheetId="0" hidden="1">monday_model.lp!$CYJ$2</definedName>
    <definedName name="solver_lhs2691" localSheetId="0" hidden="1">monday_model.lp!$CYK$2</definedName>
    <definedName name="solver_lhs2692" localSheetId="0" hidden="1">monday_model.lp!$CYL$2</definedName>
    <definedName name="solver_lhs2693" localSheetId="0" hidden="1">monday_model.lp!$CYM$2</definedName>
    <definedName name="solver_lhs2694" localSheetId="0" hidden="1">monday_model.lp!$CYN$2</definedName>
    <definedName name="solver_lhs2695" localSheetId="0" hidden="1">monday_model.lp!$CYO$2</definedName>
    <definedName name="solver_lhs2696" localSheetId="0" hidden="1">monday_model.lp!$CYP$2</definedName>
    <definedName name="solver_lhs2697" localSheetId="0" hidden="1">monday_model.lp!$CYQ$2</definedName>
    <definedName name="solver_lhs2698" localSheetId="0" hidden="1">monday_model.lp!$CYR$2</definedName>
    <definedName name="solver_lhs2699" localSheetId="0" hidden="1">monday_model.lp!$CYS$2</definedName>
    <definedName name="solver_lhs27" localSheetId="0" hidden="1">monday_model.lp!$Y$2</definedName>
    <definedName name="solver_lhs270" localSheetId="0" hidden="1">monday_model.lp!$JH$2</definedName>
    <definedName name="solver_lhs2700" localSheetId="0" hidden="1">monday_model.lp!$CYT$2</definedName>
    <definedName name="solver_lhs2701" localSheetId="0" hidden="1">monday_model.lp!$CYU$2</definedName>
    <definedName name="solver_lhs2702" localSheetId="0" hidden="1">monday_model.lp!$CYV$2</definedName>
    <definedName name="solver_lhs2703" localSheetId="0" hidden="1">monday_model.lp!$CYW$2</definedName>
    <definedName name="solver_lhs2704" localSheetId="0" hidden="1">monday_model.lp!$CYX$2</definedName>
    <definedName name="solver_lhs2705" localSheetId="0" hidden="1">monday_model.lp!$CYY$2</definedName>
    <definedName name="solver_lhs2706" localSheetId="0" hidden="1">monday_model.lp!$CYZ$2</definedName>
    <definedName name="solver_lhs2707" localSheetId="0" hidden="1">monday_model.lp!$CZA$2</definedName>
    <definedName name="solver_lhs2708" localSheetId="0" hidden="1">monday_model.lp!$CZB$2</definedName>
    <definedName name="solver_lhs2709" localSheetId="0" hidden="1">monday_model.lp!$CZC$2</definedName>
    <definedName name="solver_lhs271" localSheetId="0" hidden="1">monday_model.lp!$JI$2</definedName>
    <definedName name="solver_lhs2710" localSheetId="0" hidden="1">monday_model.lp!$CZD$2</definedName>
    <definedName name="solver_lhs2711" localSheetId="0" hidden="1">monday_model.lp!$CZE$2</definedName>
    <definedName name="solver_lhs2712" localSheetId="0" hidden="1">monday_model.lp!$CZF$2</definedName>
    <definedName name="solver_lhs2713" localSheetId="0" hidden="1">monday_model.lp!$CZG$2</definedName>
    <definedName name="solver_lhs2714" localSheetId="0" hidden="1">monday_model.lp!$CZH$2</definedName>
    <definedName name="solver_lhs2715" localSheetId="0" hidden="1">monday_model.lp!$CZI$2</definedName>
    <definedName name="solver_lhs2716" localSheetId="0" hidden="1">monday_model.lp!$CZJ$2</definedName>
    <definedName name="solver_lhs2717" localSheetId="0" hidden="1">monday_model.lp!$CZK$2</definedName>
    <definedName name="solver_lhs2718" localSheetId="0" hidden="1">monday_model.lp!$CZL$2</definedName>
    <definedName name="solver_lhs2719" localSheetId="0" hidden="1">monday_model.lp!$CZM$2</definedName>
    <definedName name="solver_lhs272" localSheetId="0" hidden="1">monday_model.lp!$JJ$2</definedName>
    <definedName name="solver_lhs2720" localSheetId="0" hidden="1">monday_model.lp!$CZN$2</definedName>
    <definedName name="solver_lhs2721" localSheetId="0" hidden="1">monday_model.lp!$CZO$2</definedName>
    <definedName name="solver_lhs2722" localSheetId="0" hidden="1">monday_model.lp!$CZP$2</definedName>
    <definedName name="solver_lhs2723" localSheetId="0" hidden="1">monday_model.lp!$CZQ$2</definedName>
    <definedName name="solver_lhs2724" localSheetId="0" hidden="1">monday_model.lp!$CZR$2</definedName>
    <definedName name="solver_lhs2725" localSheetId="0" hidden="1">monday_model.lp!$CZS$2</definedName>
    <definedName name="solver_lhs2726" localSheetId="0" hidden="1">monday_model.lp!$CZT$2</definedName>
    <definedName name="solver_lhs2727" localSheetId="0" hidden="1">monday_model.lp!$CZU$2</definedName>
    <definedName name="solver_lhs2728" localSheetId="0" hidden="1">monday_model.lp!$CZV$2</definedName>
    <definedName name="solver_lhs2729" localSheetId="0" hidden="1">monday_model.lp!$CZW$2</definedName>
    <definedName name="solver_lhs273" localSheetId="0" hidden="1">monday_model.lp!$JK$2</definedName>
    <definedName name="solver_lhs2730" localSheetId="0" hidden="1">monday_model.lp!$CZX$2</definedName>
    <definedName name="solver_lhs2731" localSheetId="0" hidden="1">monday_model.lp!$CZY$2</definedName>
    <definedName name="solver_lhs2732" localSheetId="0" hidden="1">monday_model.lp!$CZZ$2</definedName>
    <definedName name="solver_lhs2733" localSheetId="0" hidden="1">monday_model.lp!$DAA$2</definedName>
    <definedName name="solver_lhs2734" localSheetId="0" hidden="1">monday_model.lp!$DAB$2</definedName>
    <definedName name="solver_lhs2735" localSheetId="0" hidden="1">monday_model.lp!$DAC$2</definedName>
    <definedName name="solver_lhs2736" localSheetId="0" hidden="1">monday_model.lp!$DAD$2</definedName>
    <definedName name="solver_lhs2737" localSheetId="0" hidden="1">monday_model.lp!$DAE$2</definedName>
    <definedName name="solver_lhs2738" localSheetId="0" hidden="1">monday_model.lp!$DAF$2</definedName>
    <definedName name="solver_lhs2739" localSheetId="0" hidden="1">monday_model.lp!$DAG$2</definedName>
    <definedName name="solver_lhs274" localSheetId="0" hidden="1">monday_model.lp!$JL$2</definedName>
    <definedName name="solver_lhs2740" localSheetId="0" hidden="1">monday_model.lp!$DAH$2</definedName>
    <definedName name="solver_lhs2741" localSheetId="0" hidden="1">monday_model.lp!$DAI$2</definedName>
    <definedName name="solver_lhs2742" localSheetId="0" hidden="1">monday_model.lp!$DAJ$2</definedName>
    <definedName name="solver_lhs2743" localSheetId="0" hidden="1">monday_model.lp!$DAK$2</definedName>
    <definedName name="solver_lhs2744" localSheetId="0" hidden="1">monday_model.lp!$DAL$2</definedName>
    <definedName name="solver_lhs2745" localSheetId="0" hidden="1">monday_model.lp!$DAM$2</definedName>
    <definedName name="solver_lhs2746" localSheetId="0" hidden="1">monday_model.lp!$DAN$2</definedName>
    <definedName name="solver_lhs2747" localSheetId="0" hidden="1">monday_model.lp!$DAO$2</definedName>
    <definedName name="solver_lhs2748" localSheetId="0" hidden="1">monday_model.lp!$DAP$2</definedName>
    <definedName name="solver_lhs2749" localSheetId="0" hidden="1">monday_model.lp!$DAQ$2</definedName>
    <definedName name="solver_lhs275" localSheetId="0" hidden="1">monday_model.lp!$JM$2</definedName>
    <definedName name="solver_lhs2750" localSheetId="0" hidden="1">monday_model.lp!$DAR$2</definedName>
    <definedName name="solver_lhs2751" localSheetId="0" hidden="1">monday_model.lp!$DAS$2</definedName>
    <definedName name="solver_lhs2752" localSheetId="0" hidden="1">monday_model.lp!$DAT$2</definedName>
    <definedName name="solver_lhs2753" localSheetId="0" hidden="1">monday_model.lp!$DAU$2</definedName>
    <definedName name="solver_lhs2754" localSheetId="0" hidden="1">monday_model.lp!$DAV$2</definedName>
    <definedName name="solver_lhs2755" localSheetId="0" hidden="1">monday_model.lp!$DAW$2</definedName>
    <definedName name="solver_lhs2756" localSheetId="0" hidden="1">monday_model.lp!$DAX$2</definedName>
    <definedName name="solver_lhs2757" localSheetId="0" hidden="1">monday_model.lp!$DAY$2</definedName>
    <definedName name="solver_lhs2758" localSheetId="0" hidden="1">monday_model.lp!$DAZ$2</definedName>
    <definedName name="solver_lhs2759" localSheetId="0" hidden="1">monday_model.lp!$DBA$2</definedName>
    <definedName name="solver_lhs276" localSheetId="0" hidden="1">monday_model.lp!$JN$2</definedName>
    <definedName name="solver_lhs2760" localSheetId="0" hidden="1">monday_model.lp!$DBB$2</definedName>
    <definedName name="solver_lhs2761" localSheetId="0" hidden="1">monday_model.lp!$DBC$2</definedName>
    <definedName name="solver_lhs2762" localSheetId="0" hidden="1">monday_model.lp!$DBD$2</definedName>
    <definedName name="solver_lhs2763" localSheetId="0" hidden="1">monday_model.lp!$DBE$2</definedName>
    <definedName name="solver_lhs2764" localSheetId="0" hidden="1">monday_model.lp!$DBF$2</definedName>
    <definedName name="solver_lhs2765" localSheetId="0" hidden="1">monday_model.lp!$DBG$2</definedName>
    <definedName name="solver_lhs2766" localSheetId="0" hidden="1">monday_model.lp!$DBH$2</definedName>
    <definedName name="solver_lhs2767" localSheetId="0" hidden="1">monday_model.lp!$DBI$2</definedName>
    <definedName name="solver_lhs2768" localSheetId="0" hidden="1">monday_model.lp!$DBJ$2</definedName>
    <definedName name="solver_lhs2769" localSheetId="0" hidden="1">monday_model.lp!$DBK$2</definedName>
    <definedName name="solver_lhs277" localSheetId="0" hidden="1">monday_model.lp!$JO$2</definedName>
    <definedName name="solver_lhs2770" localSheetId="0" hidden="1">monday_model.lp!$DBL$2</definedName>
    <definedName name="solver_lhs2771" localSheetId="0" hidden="1">monday_model.lp!$DBM$2</definedName>
    <definedName name="solver_lhs2772" localSheetId="0" hidden="1">monday_model.lp!$DBN$2</definedName>
    <definedName name="solver_lhs2773" localSheetId="0" hidden="1">monday_model.lp!$DBO$2</definedName>
    <definedName name="solver_lhs2774" localSheetId="0" hidden="1">monday_model.lp!$DBP$2</definedName>
    <definedName name="solver_lhs2775" localSheetId="0" hidden="1">monday_model.lp!$DBQ$2</definedName>
    <definedName name="solver_lhs2776" localSheetId="0" hidden="1">monday_model.lp!$DBR$2</definedName>
    <definedName name="solver_lhs2777" localSheetId="0" hidden="1">monday_model.lp!$DBS$2</definedName>
    <definedName name="solver_lhs2778" localSheetId="0" hidden="1">monday_model.lp!$DBT$2</definedName>
    <definedName name="solver_lhs2779" localSheetId="0" hidden="1">monday_model.lp!$DBU$2</definedName>
    <definedName name="solver_lhs278" localSheetId="0" hidden="1">monday_model.lp!$JP$2</definedName>
    <definedName name="solver_lhs2780" localSheetId="0" hidden="1">monday_model.lp!$DBV$2</definedName>
    <definedName name="solver_lhs2781" localSheetId="0" hidden="1">monday_model.lp!$DBW$2</definedName>
    <definedName name="solver_lhs2782" localSheetId="0" hidden="1">monday_model.lp!$DBX$2</definedName>
    <definedName name="solver_lhs2783" localSheetId="0" hidden="1">monday_model.lp!$DBY$2</definedName>
    <definedName name="solver_lhs2784" localSheetId="0" hidden="1">monday_model.lp!$DBZ$2</definedName>
    <definedName name="solver_lhs2785" localSheetId="0" hidden="1">monday_model.lp!$DCA$2</definedName>
    <definedName name="solver_lhs2786" localSheetId="0" hidden="1">monday_model.lp!$DCB$2</definedName>
    <definedName name="solver_lhs2787" localSheetId="0" hidden="1">monday_model.lp!$DCC$2</definedName>
    <definedName name="solver_lhs2788" localSheetId="0" hidden="1">monday_model.lp!$DCD$2</definedName>
    <definedName name="solver_lhs2789" localSheetId="0" hidden="1">monday_model.lp!$DCE$2</definedName>
    <definedName name="solver_lhs279" localSheetId="0" hidden="1">monday_model.lp!$JQ$2</definedName>
    <definedName name="solver_lhs2790" localSheetId="0" hidden="1">monday_model.lp!$DCF$2</definedName>
    <definedName name="solver_lhs2791" localSheetId="0" hidden="1">monday_model.lp!$DCG$2</definedName>
    <definedName name="solver_lhs2792" localSheetId="0" hidden="1">monday_model.lp!$DCH$2</definedName>
    <definedName name="solver_lhs2793" localSheetId="0" hidden="1">monday_model.lp!$DCI$2</definedName>
    <definedName name="solver_lhs2794" localSheetId="0" hidden="1">monday_model.lp!$DCJ$2</definedName>
    <definedName name="solver_lhs2795" localSheetId="0" hidden="1">monday_model.lp!$DCK$2</definedName>
    <definedName name="solver_lhs2796" localSheetId="0" hidden="1">monday_model.lp!$DCL$2</definedName>
    <definedName name="solver_lhs2797" localSheetId="0" hidden="1">monday_model.lp!$DCM$2</definedName>
    <definedName name="solver_lhs2798" localSheetId="0" hidden="1">monday_model.lp!$DCN$2</definedName>
    <definedName name="solver_lhs2799" localSheetId="0" hidden="1">monday_model.lp!$DCO$2</definedName>
    <definedName name="solver_lhs28" localSheetId="0" hidden="1">monday_model.lp!$Z$2</definedName>
    <definedName name="solver_lhs280" localSheetId="0" hidden="1">monday_model.lp!$JR$2</definedName>
    <definedName name="solver_lhs2800" localSheetId="0" hidden="1">monday_model.lp!$DCP$2</definedName>
    <definedName name="solver_lhs2801" localSheetId="0" hidden="1">monday_model.lp!$DCQ$2</definedName>
    <definedName name="solver_lhs2802" localSheetId="0" hidden="1">monday_model.lp!$DCR$2</definedName>
    <definedName name="solver_lhs2803" localSheetId="0" hidden="1">monday_model.lp!$DCS$2</definedName>
    <definedName name="solver_lhs2804" localSheetId="0" hidden="1">monday_model.lp!$DCT$2</definedName>
    <definedName name="solver_lhs2805" localSheetId="0" hidden="1">monday_model.lp!$DCU$2</definedName>
    <definedName name="solver_lhs2806" localSheetId="0" hidden="1">monday_model.lp!$DCV$2</definedName>
    <definedName name="solver_lhs2807" localSheetId="0" hidden="1">monday_model.lp!$DCW$2</definedName>
    <definedName name="solver_lhs2808" localSheetId="0" hidden="1">monday_model.lp!$DCX$2</definedName>
    <definedName name="solver_lhs2809" localSheetId="0" hidden="1">monday_model.lp!$DCY$2</definedName>
    <definedName name="solver_lhs281" localSheetId="0" hidden="1">monday_model.lp!$JS$2</definedName>
    <definedName name="solver_lhs2810" localSheetId="0" hidden="1">monday_model.lp!$DCZ$2</definedName>
    <definedName name="solver_lhs2811" localSheetId="0" hidden="1">monday_model.lp!$DDA$2</definedName>
    <definedName name="solver_lhs2812" localSheetId="0" hidden="1">monday_model.lp!$DDB$2</definedName>
    <definedName name="solver_lhs2813" localSheetId="0" hidden="1">monday_model.lp!$DDC$2</definedName>
    <definedName name="solver_lhs2814" localSheetId="0" hidden="1">monday_model.lp!$DDD$2</definedName>
    <definedName name="solver_lhs2815" localSheetId="0" hidden="1">monday_model.lp!$DDE$2</definedName>
    <definedName name="solver_lhs2816" localSheetId="0" hidden="1">monday_model.lp!$DDF$2</definedName>
    <definedName name="solver_lhs2817" localSheetId="0" hidden="1">monday_model.lp!$DDG$2</definedName>
    <definedName name="solver_lhs2818" localSheetId="0" hidden="1">monday_model.lp!$DDH$2</definedName>
    <definedName name="solver_lhs2819" localSheetId="0" hidden="1">monday_model.lp!$DDI$2</definedName>
    <definedName name="solver_lhs282" localSheetId="0" hidden="1">monday_model.lp!$JT$2</definedName>
    <definedName name="solver_lhs2820" localSheetId="0" hidden="1">monday_model.lp!$DDJ$2</definedName>
    <definedName name="solver_lhs2821" localSheetId="0" hidden="1">monday_model.lp!$DDK$2</definedName>
    <definedName name="solver_lhs2822" localSheetId="0" hidden="1">monday_model.lp!$DDL$2</definedName>
    <definedName name="solver_lhs2823" localSheetId="0" hidden="1">monday_model.lp!$DDM$2</definedName>
    <definedName name="solver_lhs2824" localSheetId="0" hidden="1">monday_model.lp!$DDN$2</definedName>
    <definedName name="solver_lhs2825" localSheetId="0" hidden="1">monday_model.lp!$DDO$2</definedName>
    <definedName name="solver_lhs2826" localSheetId="0" hidden="1">monday_model.lp!$DDP$2</definedName>
    <definedName name="solver_lhs2827" localSheetId="0" hidden="1">monday_model.lp!$DDQ$2</definedName>
    <definedName name="solver_lhs2828" localSheetId="0" hidden="1">monday_model.lp!$DDR$2</definedName>
    <definedName name="solver_lhs2829" localSheetId="0" hidden="1">monday_model.lp!$DDS$2</definedName>
    <definedName name="solver_lhs283" localSheetId="0" hidden="1">monday_model.lp!$JU$2</definedName>
    <definedName name="solver_lhs2830" localSheetId="0" hidden="1">monday_model.lp!$DDT$2</definedName>
    <definedName name="solver_lhs2831" localSheetId="0" hidden="1">monday_model.lp!$DDU$2</definedName>
    <definedName name="solver_lhs2832" localSheetId="0" hidden="1">monday_model.lp!$DDV$2</definedName>
    <definedName name="solver_lhs2833" localSheetId="0" hidden="1">monday_model.lp!$DDW$2</definedName>
    <definedName name="solver_lhs2834" localSheetId="0" hidden="1">monday_model.lp!$DDX$2</definedName>
    <definedName name="solver_lhs2835" localSheetId="0" hidden="1">monday_model.lp!$DDY$2</definedName>
    <definedName name="solver_lhs2836" localSheetId="0" hidden="1">monday_model.lp!$DDZ$2</definedName>
    <definedName name="solver_lhs2837" localSheetId="0" hidden="1">monday_model.lp!$DEA$2</definedName>
    <definedName name="solver_lhs2838" localSheetId="0" hidden="1">monday_model.lp!$DEB$2</definedName>
    <definedName name="solver_lhs2839" localSheetId="0" hidden="1">monday_model.lp!$DEC$2</definedName>
    <definedName name="solver_lhs284" localSheetId="0" hidden="1">monday_model.lp!$JV$2</definedName>
    <definedName name="solver_lhs2840" localSheetId="0" hidden="1">monday_model.lp!$DED$2</definedName>
    <definedName name="solver_lhs2841" localSheetId="0" hidden="1">monday_model.lp!$DEE$2</definedName>
    <definedName name="solver_lhs2842" localSheetId="0" hidden="1">monday_model.lp!$DEF$2</definedName>
    <definedName name="solver_lhs2843" localSheetId="0" hidden="1">monday_model.lp!$DEG$2</definedName>
    <definedName name="solver_lhs2844" localSheetId="0" hidden="1">monday_model.lp!$DEH$2</definedName>
    <definedName name="solver_lhs2845" localSheetId="0" hidden="1">monday_model.lp!$DEI$2</definedName>
    <definedName name="solver_lhs2846" localSheetId="0" hidden="1">monday_model.lp!$DEJ$2</definedName>
    <definedName name="solver_lhs2847" localSheetId="0" hidden="1">monday_model.lp!$DEK$2</definedName>
    <definedName name="solver_lhs2848" localSheetId="0" hidden="1">monday_model.lp!$DEL$2</definedName>
    <definedName name="solver_lhs2849" localSheetId="0" hidden="1">monday_model.lp!$DEM$2</definedName>
    <definedName name="solver_lhs285" localSheetId="0" hidden="1">monday_model.lp!$JW$2</definedName>
    <definedName name="solver_lhs2850" localSheetId="0" hidden="1">monday_model.lp!$DEN$2</definedName>
    <definedName name="solver_lhs2851" localSheetId="0" hidden="1">monday_model.lp!$DEO$2</definedName>
    <definedName name="solver_lhs2852" localSheetId="0" hidden="1">monday_model.lp!$DEP$2</definedName>
    <definedName name="solver_lhs2853" localSheetId="0" hidden="1">monday_model.lp!$DEQ$2</definedName>
    <definedName name="solver_lhs2854" localSheetId="0" hidden="1">monday_model.lp!$DER$2</definedName>
    <definedName name="solver_lhs2855" localSheetId="0" hidden="1">monday_model.lp!$DES$2</definedName>
    <definedName name="solver_lhs2856" localSheetId="0" hidden="1">monday_model.lp!$DET$2</definedName>
    <definedName name="solver_lhs2857" localSheetId="0" hidden="1">monday_model.lp!$DEU$2</definedName>
    <definedName name="solver_lhs2858" localSheetId="0" hidden="1">monday_model.lp!$DEV$2</definedName>
    <definedName name="solver_lhs2859" localSheetId="0" hidden="1">monday_model.lp!$DEW$2</definedName>
    <definedName name="solver_lhs286" localSheetId="0" hidden="1">monday_model.lp!$JX$2</definedName>
    <definedName name="solver_lhs2860" localSheetId="0" hidden="1">monday_model.lp!$DEX$2</definedName>
    <definedName name="solver_lhs2861" localSheetId="0" hidden="1">monday_model.lp!$DEY$2</definedName>
    <definedName name="solver_lhs2862" localSheetId="0" hidden="1">monday_model.lp!$DEZ$2</definedName>
    <definedName name="solver_lhs2863" localSheetId="0" hidden="1">monday_model.lp!$DFA$2</definedName>
    <definedName name="solver_lhs2864" localSheetId="0" hidden="1">monday_model.lp!$DFB$2</definedName>
    <definedName name="solver_lhs2865" localSheetId="0" hidden="1">monday_model.lp!$DFC$2</definedName>
    <definedName name="solver_lhs2866" localSheetId="0" hidden="1">monday_model.lp!$DFD$2</definedName>
    <definedName name="solver_lhs2867" localSheetId="0" hidden="1">monday_model.lp!$DFE$2</definedName>
    <definedName name="solver_lhs2868" localSheetId="0" hidden="1">monday_model.lp!$DFF$2</definedName>
    <definedName name="solver_lhs2869" localSheetId="0" hidden="1">monday_model.lp!$DFG$2</definedName>
    <definedName name="solver_lhs287" localSheetId="0" hidden="1">monday_model.lp!$JY$2</definedName>
    <definedName name="solver_lhs2870" localSheetId="0" hidden="1">monday_model.lp!$DFH$2</definedName>
    <definedName name="solver_lhs2871" localSheetId="0" hidden="1">monday_model.lp!$DFI$2</definedName>
    <definedName name="solver_lhs2872" localSheetId="0" hidden="1">monday_model.lp!$DFJ$2</definedName>
    <definedName name="solver_lhs2873" localSheetId="0" hidden="1">monday_model.lp!$DFK$2</definedName>
    <definedName name="solver_lhs2874" localSheetId="0" hidden="1">monday_model.lp!$DFL$2</definedName>
    <definedName name="solver_lhs2875" localSheetId="0" hidden="1">monday_model.lp!$DFM$2</definedName>
    <definedName name="solver_lhs2876" localSheetId="0" hidden="1">monday_model.lp!$DFN$2</definedName>
    <definedName name="solver_lhs2877" localSheetId="0" hidden="1">monday_model.lp!$DFO$2</definedName>
    <definedName name="solver_lhs2878" localSheetId="0" hidden="1">monday_model.lp!$DFP$2</definedName>
    <definedName name="solver_lhs2879" localSheetId="0" hidden="1">monday_model.lp!$DFQ$2</definedName>
    <definedName name="solver_lhs288" localSheetId="0" hidden="1">monday_model.lp!$JZ$2</definedName>
    <definedName name="solver_lhs2880" localSheetId="0" hidden="1">monday_model.lp!$DFR$2</definedName>
    <definedName name="solver_lhs2881" localSheetId="0" hidden="1">monday_model.lp!$DFS$2</definedName>
    <definedName name="solver_lhs2882" localSheetId="0" hidden="1">monday_model.lp!$DFT$2</definedName>
    <definedName name="solver_lhs2883" localSheetId="0" hidden="1">monday_model.lp!$DFU$2</definedName>
    <definedName name="solver_lhs2884" localSheetId="0" hidden="1">monday_model.lp!$DFV$2</definedName>
    <definedName name="solver_lhs2885" localSheetId="0" hidden="1">monday_model.lp!$DFW$2</definedName>
    <definedName name="solver_lhs2886" localSheetId="0" hidden="1">monday_model.lp!$DFX$2</definedName>
    <definedName name="solver_lhs2887" localSheetId="0" hidden="1">monday_model.lp!$DFY$2</definedName>
    <definedName name="solver_lhs2888" localSheetId="0" hidden="1">monday_model.lp!$DFZ$2</definedName>
    <definedName name="solver_lhs2889" localSheetId="0" hidden="1">monday_model.lp!$DGA$2</definedName>
    <definedName name="solver_lhs289" localSheetId="0" hidden="1">monday_model.lp!$KA$2</definedName>
    <definedName name="solver_lhs2890" localSheetId="0" hidden="1">monday_model.lp!$DGB$2</definedName>
    <definedName name="solver_lhs2891" localSheetId="0" hidden="1">monday_model.lp!$DGC$2</definedName>
    <definedName name="solver_lhs2892" localSheetId="0" hidden="1">monday_model.lp!$DGD$2</definedName>
    <definedName name="solver_lhs2893" localSheetId="0" hidden="1">monday_model.lp!$DGE$2</definedName>
    <definedName name="solver_lhs2894" localSheetId="0" hidden="1">monday_model.lp!$DGF$2</definedName>
    <definedName name="solver_lhs2895" localSheetId="0" hidden="1">monday_model.lp!$DGG$2</definedName>
    <definedName name="solver_lhs2896" localSheetId="0" hidden="1">monday_model.lp!$DGH$2</definedName>
    <definedName name="solver_lhs2897" localSheetId="0" hidden="1">monday_model.lp!$DGI$2</definedName>
    <definedName name="solver_lhs2898" localSheetId="0" hidden="1">monday_model.lp!$DGJ$2</definedName>
    <definedName name="solver_lhs2899" localSheetId="0" hidden="1">monday_model.lp!$DGK$2</definedName>
    <definedName name="solver_lhs29" localSheetId="0" hidden="1">monday_model.lp!$AA$2</definedName>
    <definedName name="solver_lhs290" localSheetId="0" hidden="1">monday_model.lp!$KB$2</definedName>
    <definedName name="solver_lhs2900" localSheetId="0" hidden="1">monday_model.lp!$DGL$2</definedName>
    <definedName name="solver_lhs2901" localSheetId="0" hidden="1">monday_model.lp!$DGM$2</definedName>
    <definedName name="solver_lhs2902" localSheetId="0" hidden="1">monday_model.lp!$DGN$2</definedName>
    <definedName name="solver_lhs2903" localSheetId="0" hidden="1">monday_model.lp!$DGO$2</definedName>
    <definedName name="solver_lhs2904" localSheetId="0" hidden="1">monday_model.lp!$DGP$2</definedName>
    <definedName name="solver_lhs2905" localSheetId="0" hidden="1">monday_model.lp!$DGQ$2</definedName>
    <definedName name="solver_lhs2906" localSheetId="0" hidden="1">monday_model.lp!$DGR$2</definedName>
    <definedName name="solver_lhs2907" localSheetId="0" hidden="1">monday_model.lp!$DGS$2</definedName>
    <definedName name="solver_lhs2908" localSheetId="0" hidden="1">monday_model.lp!$DGT$2</definedName>
    <definedName name="solver_lhs2909" localSheetId="0" hidden="1">monday_model.lp!$DGU$2</definedName>
    <definedName name="solver_lhs291" localSheetId="0" hidden="1">monday_model.lp!$KC$2</definedName>
    <definedName name="solver_lhs2910" localSheetId="0" hidden="1">monday_model.lp!$DGV$2</definedName>
    <definedName name="solver_lhs2911" localSheetId="0" hidden="1">monday_model.lp!$DGW$2</definedName>
    <definedName name="solver_lhs2912" localSheetId="0" hidden="1">monday_model.lp!$DGX$2</definedName>
    <definedName name="solver_lhs2913" localSheetId="0" hidden="1">monday_model.lp!$DGY$2</definedName>
    <definedName name="solver_lhs2914" localSheetId="0" hidden="1">monday_model.lp!$DGZ$2</definedName>
    <definedName name="solver_lhs2915" localSheetId="0" hidden="1">monday_model.lp!$DHA$2</definedName>
    <definedName name="solver_lhs2916" localSheetId="0" hidden="1">monday_model.lp!$DHB$2</definedName>
    <definedName name="solver_lhs2917" localSheetId="0" hidden="1">monday_model.lp!$DHC$2</definedName>
    <definedName name="solver_lhs2918" localSheetId="0" hidden="1">monday_model.lp!$DHD$2</definedName>
    <definedName name="solver_lhs2919" localSheetId="0" hidden="1">monday_model.lp!$DHE$2</definedName>
    <definedName name="solver_lhs292" localSheetId="0" hidden="1">monday_model.lp!$KD$2</definedName>
    <definedName name="solver_lhs2920" localSheetId="0" hidden="1">monday_model.lp!$DHF$2</definedName>
    <definedName name="solver_lhs2921" localSheetId="0" hidden="1">monday_model.lp!$DHG$2</definedName>
    <definedName name="solver_lhs2922" localSheetId="0" hidden="1">monday_model.lp!$DHH$2</definedName>
    <definedName name="solver_lhs2923" localSheetId="0" hidden="1">monday_model.lp!$DHI$2</definedName>
    <definedName name="solver_lhs2924" localSheetId="0" hidden="1">monday_model.lp!$DHJ$2</definedName>
    <definedName name="solver_lhs2925" localSheetId="0" hidden="1">monday_model.lp!$DHK$2</definedName>
    <definedName name="solver_lhs2926" localSheetId="0" hidden="1">monday_model.lp!$DHL$2</definedName>
    <definedName name="solver_lhs2927" localSheetId="0" hidden="1">monday_model.lp!$DHM$2</definedName>
    <definedName name="solver_lhs2928" localSheetId="0" hidden="1">monday_model.lp!$DHN$2</definedName>
    <definedName name="solver_lhs2929" localSheetId="0" hidden="1">monday_model.lp!$DHO$2</definedName>
    <definedName name="solver_lhs293" localSheetId="0" hidden="1">monday_model.lp!$KE$2</definedName>
    <definedName name="solver_lhs2930" localSheetId="0" hidden="1">monday_model.lp!$DHP$2</definedName>
    <definedName name="solver_lhs2931" localSheetId="0" hidden="1">monday_model.lp!$DHQ$2</definedName>
    <definedName name="solver_lhs2932" localSheetId="0" hidden="1">monday_model.lp!$DHR$2</definedName>
    <definedName name="solver_lhs2933" localSheetId="0" hidden="1">monday_model.lp!$DHS$2</definedName>
    <definedName name="solver_lhs2934" localSheetId="0" hidden="1">monday_model.lp!$DHT$2</definedName>
    <definedName name="solver_lhs2935" localSheetId="0" hidden="1">monday_model.lp!$DHU$2</definedName>
    <definedName name="solver_lhs2936" localSheetId="0" hidden="1">monday_model.lp!$DHV$2</definedName>
    <definedName name="solver_lhs2937" localSheetId="0" hidden="1">monday_model.lp!$DHW$2</definedName>
    <definedName name="solver_lhs2938" localSheetId="0" hidden="1">monday_model.lp!$DHX$2</definedName>
    <definedName name="solver_lhs2939" localSheetId="0" hidden="1">monday_model.lp!$DHY$2</definedName>
    <definedName name="solver_lhs294" localSheetId="0" hidden="1">monday_model.lp!$KF$2</definedName>
    <definedName name="solver_lhs2940" localSheetId="0" hidden="1">monday_model.lp!$DHZ$2</definedName>
    <definedName name="solver_lhs2941" localSheetId="0" hidden="1">monday_model.lp!$DIA$2</definedName>
    <definedName name="solver_lhs2942" localSheetId="0" hidden="1">monday_model.lp!$DIB$2</definedName>
    <definedName name="solver_lhs2943" localSheetId="0" hidden="1">monday_model.lp!$DIC$2</definedName>
    <definedName name="solver_lhs2944" localSheetId="0" hidden="1">monday_model.lp!$DID$2</definedName>
    <definedName name="solver_lhs2945" localSheetId="0" hidden="1">monday_model.lp!$DIE$2</definedName>
    <definedName name="solver_lhs2946" localSheetId="0" hidden="1">monday_model.lp!$DIF$2</definedName>
    <definedName name="solver_lhs2947" localSheetId="0" hidden="1">monday_model.lp!$DIG$2</definedName>
    <definedName name="solver_lhs2948" localSheetId="0" hidden="1">monday_model.lp!$DIH$2</definedName>
    <definedName name="solver_lhs2949" localSheetId="0" hidden="1">monday_model.lp!$DII$2</definedName>
    <definedName name="solver_lhs295" localSheetId="0" hidden="1">monday_model.lp!$KG$2</definedName>
    <definedName name="solver_lhs2950" localSheetId="0" hidden="1">monday_model.lp!$DIJ$2</definedName>
    <definedName name="solver_lhs2951" localSheetId="0" hidden="1">monday_model.lp!$DIK$2</definedName>
    <definedName name="solver_lhs2952" localSheetId="0" hidden="1">monday_model.lp!$DIL$2</definedName>
    <definedName name="solver_lhs2953" localSheetId="0" hidden="1">monday_model.lp!$DIM$2</definedName>
    <definedName name="solver_lhs2954" localSheetId="0" hidden="1">monday_model.lp!$DIN$2</definedName>
    <definedName name="solver_lhs2955" localSheetId="0" hidden="1">monday_model.lp!$DIO$2</definedName>
    <definedName name="solver_lhs2956" localSheetId="0" hidden="1">monday_model.lp!$DIP$2</definedName>
    <definedName name="solver_lhs2957" localSheetId="0" hidden="1">monday_model.lp!$DIQ$2</definedName>
    <definedName name="solver_lhs2958" localSheetId="0" hidden="1">monday_model.lp!$DIR$2</definedName>
    <definedName name="solver_lhs2959" localSheetId="0" hidden="1">monday_model.lp!$DIS$2</definedName>
    <definedName name="solver_lhs296" localSheetId="0" hidden="1">monday_model.lp!$KH$2</definedName>
    <definedName name="solver_lhs2960" localSheetId="0" hidden="1">monday_model.lp!$DIT$2</definedName>
    <definedName name="solver_lhs2961" localSheetId="0" hidden="1">monday_model.lp!$DIU$2</definedName>
    <definedName name="solver_lhs2962" localSheetId="0" hidden="1">monday_model.lp!$DIV$2</definedName>
    <definedName name="solver_lhs2963" localSheetId="0" hidden="1">monday_model.lp!$DIW$2</definedName>
    <definedName name="solver_lhs2964" localSheetId="0" hidden="1">monday_model.lp!$DIX$2</definedName>
    <definedName name="solver_lhs2965" localSheetId="0" hidden="1">monday_model.lp!$DIY$2</definedName>
    <definedName name="solver_lhs2966" localSheetId="0" hidden="1">monday_model.lp!$DIZ$2</definedName>
    <definedName name="solver_lhs2967" localSheetId="0" hidden="1">monday_model.lp!$DJA$2</definedName>
    <definedName name="solver_lhs2968" localSheetId="0" hidden="1">monday_model.lp!$DJB$2</definedName>
    <definedName name="solver_lhs2969" localSheetId="0" hidden="1">monday_model.lp!$DJC$2</definedName>
    <definedName name="solver_lhs297" localSheetId="0" hidden="1">monday_model.lp!$KI$2</definedName>
    <definedName name="solver_lhs2970" localSheetId="0" hidden="1">monday_model.lp!$DJD$2</definedName>
    <definedName name="solver_lhs2971" localSheetId="0" hidden="1">monday_model.lp!$DJE$2</definedName>
    <definedName name="solver_lhs2972" localSheetId="0" hidden="1">monday_model.lp!$DJF$2</definedName>
    <definedName name="solver_lhs2973" localSheetId="0" hidden="1">monday_model.lp!$DJG$2</definedName>
    <definedName name="solver_lhs2974" localSheetId="0" hidden="1">monday_model.lp!$DJH$2</definedName>
    <definedName name="solver_lhs2975" localSheetId="0" hidden="1">monday_model.lp!$DJI$2</definedName>
    <definedName name="solver_lhs2976" localSheetId="0" hidden="1">monday_model.lp!$DJJ$2</definedName>
    <definedName name="solver_lhs2977" localSheetId="0" hidden="1">monday_model.lp!$DJK$2</definedName>
    <definedName name="solver_lhs2978" localSheetId="0" hidden="1">monday_model.lp!$DJL$2</definedName>
    <definedName name="solver_lhs2979" localSheetId="0" hidden="1">monday_model.lp!$DJM$2</definedName>
    <definedName name="solver_lhs298" localSheetId="0" hidden="1">monday_model.lp!$KJ$2</definedName>
    <definedName name="solver_lhs2980" localSheetId="0" hidden="1">monday_model.lp!$DJN$2</definedName>
    <definedName name="solver_lhs2981" localSheetId="0" hidden="1">monday_model.lp!$DJO$2</definedName>
    <definedName name="solver_lhs2982" localSheetId="0" hidden="1">monday_model.lp!$DJP$2</definedName>
    <definedName name="solver_lhs2983" localSheetId="0" hidden="1">monday_model.lp!$DJQ$2</definedName>
    <definedName name="solver_lhs2984" localSheetId="0" hidden="1">monday_model.lp!$DJR$2</definedName>
    <definedName name="solver_lhs2985" localSheetId="0" hidden="1">monday_model.lp!$DJS$2</definedName>
    <definedName name="solver_lhs2986" localSheetId="0" hidden="1">monday_model.lp!$DJT$2</definedName>
    <definedName name="solver_lhs2987" localSheetId="0" hidden="1">monday_model.lp!$DJU$2</definedName>
    <definedName name="solver_lhs2988" localSheetId="0" hidden="1">monday_model.lp!$DJV$2</definedName>
    <definedName name="solver_lhs2989" localSheetId="0" hidden="1">monday_model.lp!$DJW$2</definedName>
    <definedName name="solver_lhs299" localSheetId="0" hidden="1">monday_model.lp!$KK$2</definedName>
    <definedName name="solver_lhs2990" localSheetId="0" hidden="1">monday_model.lp!$DJX$2</definedName>
    <definedName name="solver_lhs2991" localSheetId="0" hidden="1">monday_model.lp!$DJY$2</definedName>
    <definedName name="solver_lhs2992" localSheetId="0" hidden="1">monday_model.lp!$DJZ$2</definedName>
    <definedName name="solver_lhs2993" localSheetId="0" hidden="1">monday_model.lp!$DKA$2</definedName>
    <definedName name="solver_lhs2994" localSheetId="0" hidden="1">monday_model.lp!$DKB$2</definedName>
    <definedName name="solver_lhs2995" localSheetId="0" hidden="1">monday_model.lp!$DKC$2</definedName>
    <definedName name="solver_lhs2996" localSheetId="0" hidden="1">monday_model.lp!$DKD$2</definedName>
    <definedName name="solver_lhs2997" localSheetId="0" hidden="1">monday_model.lp!$DKE$2</definedName>
    <definedName name="solver_lhs2998" localSheetId="0" hidden="1">monday_model.lp!$DKF$2</definedName>
    <definedName name="solver_lhs2999" localSheetId="0" hidden="1">monday_model.lp!$DKG$2</definedName>
    <definedName name="solver_lhs3" localSheetId="0" hidden="1">monday_model.lp!$C$2:$EDE$2</definedName>
    <definedName name="solver_lhs30" localSheetId="0" hidden="1">monday_model.lp!$AB$2</definedName>
    <definedName name="solver_lhs300" localSheetId="0" hidden="1">monday_model.lp!$KL$2</definedName>
    <definedName name="solver_lhs3000" localSheetId="0" hidden="1">monday_model.lp!$DKH$2</definedName>
    <definedName name="solver_lhs3001" localSheetId="0" hidden="1">monday_model.lp!$DKI$2</definedName>
    <definedName name="solver_lhs3002" localSheetId="0" hidden="1">monday_model.lp!$DKJ$2</definedName>
    <definedName name="solver_lhs3003" localSheetId="0" hidden="1">monday_model.lp!$DKK$2</definedName>
    <definedName name="solver_lhs3004" localSheetId="0" hidden="1">monday_model.lp!$DKL$2</definedName>
    <definedName name="solver_lhs3005" localSheetId="0" hidden="1">monday_model.lp!$DKM$2</definedName>
    <definedName name="solver_lhs3006" localSheetId="0" hidden="1">monday_model.lp!$DKN$2</definedName>
    <definedName name="solver_lhs3007" localSheetId="0" hidden="1">monday_model.lp!$DKO$2</definedName>
    <definedName name="solver_lhs3008" localSheetId="0" hidden="1">monday_model.lp!$DKP$2</definedName>
    <definedName name="solver_lhs3009" localSheetId="0" hidden="1">monday_model.lp!$DKQ$2</definedName>
    <definedName name="solver_lhs301" localSheetId="0" hidden="1">monday_model.lp!$KM$2</definedName>
    <definedName name="solver_lhs3010" localSheetId="0" hidden="1">monday_model.lp!$DKR$2</definedName>
    <definedName name="solver_lhs3011" localSheetId="0" hidden="1">monday_model.lp!$DKS$2</definedName>
    <definedName name="solver_lhs3012" localSheetId="0" hidden="1">monday_model.lp!$DKT$2</definedName>
    <definedName name="solver_lhs3013" localSheetId="0" hidden="1">monday_model.lp!$DKU$2</definedName>
    <definedName name="solver_lhs3014" localSheetId="0" hidden="1">monday_model.lp!$DKV$2</definedName>
    <definedName name="solver_lhs3015" localSheetId="0" hidden="1">monday_model.lp!$DKW$2</definedName>
    <definedName name="solver_lhs3016" localSheetId="0" hidden="1">monday_model.lp!$DKX$2</definedName>
    <definedName name="solver_lhs3017" localSheetId="0" hidden="1">monday_model.lp!$DKY$2</definedName>
    <definedName name="solver_lhs3018" localSheetId="0" hidden="1">monday_model.lp!$DKZ$2</definedName>
    <definedName name="solver_lhs3019" localSheetId="0" hidden="1">monday_model.lp!$DLA$2</definedName>
    <definedName name="solver_lhs302" localSheetId="0" hidden="1">monday_model.lp!$KN$2</definedName>
    <definedName name="solver_lhs3020" localSheetId="0" hidden="1">monday_model.lp!$DLB$2</definedName>
    <definedName name="solver_lhs3021" localSheetId="0" hidden="1">monday_model.lp!$DLC$2</definedName>
    <definedName name="solver_lhs3022" localSheetId="0" hidden="1">monday_model.lp!$DLD$2</definedName>
    <definedName name="solver_lhs3023" localSheetId="0" hidden="1">monday_model.lp!$DLE$2</definedName>
    <definedName name="solver_lhs3024" localSheetId="0" hidden="1">monday_model.lp!$DLF$2</definedName>
    <definedName name="solver_lhs3025" localSheetId="0" hidden="1">monday_model.lp!$DLG$2</definedName>
    <definedName name="solver_lhs3026" localSheetId="0" hidden="1">monday_model.lp!$DLH$2</definedName>
    <definedName name="solver_lhs3027" localSheetId="0" hidden="1">monday_model.lp!$DLI$2</definedName>
    <definedName name="solver_lhs3028" localSheetId="0" hidden="1">monday_model.lp!$DLJ$2</definedName>
    <definedName name="solver_lhs3029" localSheetId="0" hidden="1">monday_model.lp!$DLK$2</definedName>
    <definedName name="solver_lhs303" localSheetId="0" hidden="1">monday_model.lp!$KO$2</definedName>
    <definedName name="solver_lhs3030" localSheetId="0" hidden="1">monday_model.lp!$DLL$2</definedName>
    <definedName name="solver_lhs3031" localSheetId="0" hidden="1">monday_model.lp!$DLM$2</definedName>
    <definedName name="solver_lhs3032" localSheetId="0" hidden="1">monday_model.lp!$DLN$2</definedName>
    <definedName name="solver_lhs3033" localSheetId="0" hidden="1">monday_model.lp!$DLO$2</definedName>
    <definedName name="solver_lhs3034" localSheetId="0" hidden="1">monday_model.lp!$DLP$2</definedName>
    <definedName name="solver_lhs3035" localSheetId="0" hidden="1">monday_model.lp!$DLQ$2</definedName>
    <definedName name="solver_lhs3036" localSheetId="0" hidden="1">monday_model.lp!$DLR$2</definedName>
    <definedName name="solver_lhs3037" localSheetId="0" hidden="1">monday_model.lp!$DLS$2</definedName>
    <definedName name="solver_lhs3038" localSheetId="0" hidden="1">monday_model.lp!$DLT$2</definedName>
    <definedName name="solver_lhs3039" localSheetId="0" hidden="1">monday_model.lp!$DLU$2</definedName>
    <definedName name="solver_lhs304" localSheetId="0" hidden="1">monday_model.lp!$KP$2</definedName>
    <definedName name="solver_lhs3040" localSheetId="0" hidden="1">monday_model.lp!$DLV$2</definedName>
    <definedName name="solver_lhs3041" localSheetId="0" hidden="1">monday_model.lp!$DLW$2</definedName>
    <definedName name="solver_lhs3042" localSheetId="0" hidden="1">monday_model.lp!$DLX$2</definedName>
    <definedName name="solver_lhs3043" localSheetId="0" hidden="1">monday_model.lp!$DLY$2</definedName>
    <definedName name="solver_lhs3044" localSheetId="0" hidden="1">monday_model.lp!$DLZ$2</definedName>
    <definedName name="solver_lhs3045" localSheetId="0" hidden="1">monday_model.lp!$DMA$2</definedName>
    <definedName name="solver_lhs3046" localSheetId="0" hidden="1">monday_model.lp!$DMB$2</definedName>
    <definedName name="solver_lhs3047" localSheetId="0" hidden="1">monday_model.lp!$DMC$2</definedName>
    <definedName name="solver_lhs3048" localSheetId="0" hidden="1">monday_model.lp!$DMD$2</definedName>
    <definedName name="solver_lhs3049" localSheetId="0" hidden="1">monday_model.lp!$DME$2</definedName>
    <definedName name="solver_lhs305" localSheetId="0" hidden="1">monday_model.lp!$KQ$2</definedName>
    <definedName name="solver_lhs3050" localSheetId="0" hidden="1">monday_model.lp!$DMF$2</definedName>
    <definedName name="solver_lhs3051" localSheetId="0" hidden="1">monday_model.lp!$DMG$2</definedName>
    <definedName name="solver_lhs3052" localSheetId="0" hidden="1">monday_model.lp!$DMH$2</definedName>
    <definedName name="solver_lhs3053" localSheetId="0" hidden="1">monday_model.lp!$DMI$2</definedName>
    <definedName name="solver_lhs3054" localSheetId="0" hidden="1">monday_model.lp!$DMJ$2</definedName>
    <definedName name="solver_lhs3055" localSheetId="0" hidden="1">monday_model.lp!$DMK$2</definedName>
    <definedName name="solver_lhs3056" localSheetId="0" hidden="1">monday_model.lp!$DML$2</definedName>
    <definedName name="solver_lhs3057" localSheetId="0" hidden="1">monday_model.lp!$DMM$2</definedName>
    <definedName name="solver_lhs3058" localSheetId="0" hidden="1">monday_model.lp!$DMN$2</definedName>
    <definedName name="solver_lhs3059" localSheetId="0" hidden="1">monday_model.lp!$DMO$2</definedName>
    <definedName name="solver_lhs306" localSheetId="0" hidden="1">monday_model.lp!$KR$2</definedName>
    <definedName name="solver_lhs3060" localSheetId="0" hidden="1">monday_model.lp!$DMP$2</definedName>
    <definedName name="solver_lhs3061" localSheetId="0" hidden="1">monday_model.lp!$DMQ$2</definedName>
    <definedName name="solver_lhs3062" localSheetId="0" hidden="1">monday_model.lp!$DMR$2</definedName>
    <definedName name="solver_lhs3063" localSheetId="0" hidden="1">monday_model.lp!$DMS$2</definedName>
    <definedName name="solver_lhs3064" localSheetId="0" hidden="1">monday_model.lp!$DMT$2</definedName>
    <definedName name="solver_lhs3065" localSheetId="0" hidden="1">monday_model.lp!$DMU$2</definedName>
    <definedName name="solver_lhs3066" localSheetId="0" hidden="1">monday_model.lp!$DMV$2</definedName>
    <definedName name="solver_lhs3067" localSheetId="0" hidden="1">monday_model.lp!$DMW$2</definedName>
    <definedName name="solver_lhs3068" localSheetId="0" hidden="1">monday_model.lp!$DMX$2</definedName>
    <definedName name="solver_lhs3069" localSheetId="0" hidden="1">monday_model.lp!$DMY$2</definedName>
    <definedName name="solver_lhs307" localSheetId="0" hidden="1">monday_model.lp!$KS$2</definedName>
    <definedName name="solver_lhs3070" localSheetId="0" hidden="1">monday_model.lp!$DMZ$2</definedName>
    <definedName name="solver_lhs3071" localSheetId="0" hidden="1">monday_model.lp!$DNA$2</definedName>
    <definedName name="solver_lhs3072" localSheetId="0" hidden="1">monday_model.lp!$DNB$2</definedName>
    <definedName name="solver_lhs3073" localSheetId="0" hidden="1">monday_model.lp!$DNC$2</definedName>
    <definedName name="solver_lhs3074" localSheetId="0" hidden="1">monday_model.lp!$DND$2</definedName>
    <definedName name="solver_lhs3075" localSheetId="0" hidden="1">monday_model.lp!$DNE$2</definedName>
    <definedName name="solver_lhs3076" localSheetId="0" hidden="1">monday_model.lp!$DNF$2</definedName>
    <definedName name="solver_lhs3077" localSheetId="0" hidden="1">monday_model.lp!$DNG$2</definedName>
    <definedName name="solver_lhs3078" localSheetId="0" hidden="1">monday_model.lp!$DNH$2</definedName>
    <definedName name="solver_lhs3079" localSheetId="0" hidden="1">monday_model.lp!$DNI$2</definedName>
    <definedName name="solver_lhs308" localSheetId="0" hidden="1">monday_model.lp!$KT$2</definedName>
    <definedName name="solver_lhs3080" localSheetId="0" hidden="1">monday_model.lp!$DNJ$2</definedName>
    <definedName name="solver_lhs3081" localSheetId="0" hidden="1">monday_model.lp!$DNK$2</definedName>
    <definedName name="solver_lhs3082" localSheetId="0" hidden="1">monday_model.lp!$DNL$2</definedName>
    <definedName name="solver_lhs3083" localSheetId="0" hidden="1">monday_model.lp!$DNM$2</definedName>
    <definedName name="solver_lhs3084" localSheetId="0" hidden="1">monday_model.lp!$DNN$2</definedName>
    <definedName name="solver_lhs3085" localSheetId="0" hidden="1">monday_model.lp!$DNO$2</definedName>
    <definedName name="solver_lhs3086" localSheetId="0" hidden="1">monday_model.lp!$DNP$2</definedName>
    <definedName name="solver_lhs3087" localSheetId="0" hidden="1">monday_model.lp!$DNQ$2</definedName>
    <definedName name="solver_lhs3088" localSheetId="0" hidden="1">monday_model.lp!$DNR$2</definedName>
    <definedName name="solver_lhs3089" localSheetId="0" hidden="1">monday_model.lp!$DNS$2</definedName>
    <definedName name="solver_lhs309" localSheetId="0" hidden="1">monday_model.lp!$KU$2</definedName>
    <definedName name="solver_lhs3090" localSheetId="0" hidden="1">monday_model.lp!$DNT$2</definedName>
    <definedName name="solver_lhs3091" localSheetId="0" hidden="1">monday_model.lp!$DNU$2</definedName>
    <definedName name="solver_lhs3092" localSheetId="0" hidden="1">monday_model.lp!$DNV$2</definedName>
    <definedName name="solver_lhs3093" localSheetId="0" hidden="1">monday_model.lp!$DNW$2</definedName>
    <definedName name="solver_lhs3094" localSheetId="0" hidden="1">monday_model.lp!$DNX$2</definedName>
    <definedName name="solver_lhs3095" localSheetId="0" hidden="1">monday_model.lp!$DNY$2</definedName>
    <definedName name="solver_lhs3096" localSheetId="0" hidden="1">monday_model.lp!$DNZ$2</definedName>
    <definedName name="solver_lhs3097" localSheetId="0" hidden="1">monday_model.lp!$DOA$2</definedName>
    <definedName name="solver_lhs3098" localSheetId="0" hidden="1">monday_model.lp!$DOB$2</definedName>
    <definedName name="solver_lhs3099" localSheetId="0" hidden="1">monday_model.lp!$DOC$2</definedName>
    <definedName name="solver_lhs31" localSheetId="0" hidden="1">monday_model.lp!$AC$2</definedName>
    <definedName name="solver_lhs310" localSheetId="0" hidden="1">monday_model.lp!$KV$2</definedName>
    <definedName name="solver_lhs3100" localSheetId="0" hidden="1">monday_model.lp!$DOD$2</definedName>
    <definedName name="solver_lhs3101" localSheetId="0" hidden="1">monday_model.lp!$DOE$2</definedName>
    <definedName name="solver_lhs3102" localSheetId="0" hidden="1">monday_model.lp!$DOF$2</definedName>
    <definedName name="solver_lhs3103" localSheetId="0" hidden="1">monday_model.lp!$DOG$2</definedName>
    <definedName name="solver_lhs3104" localSheetId="0" hidden="1">monday_model.lp!$DOH$2</definedName>
    <definedName name="solver_lhs3105" localSheetId="0" hidden="1">monday_model.lp!$DOI$2</definedName>
    <definedName name="solver_lhs3106" localSheetId="0" hidden="1">monday_model.lp!$DOJ$2</definedName>
    <definedName name="solver_lhs3107" localSheetId="0" hidden="1">monday_model.lp!$DOK$2</definedName>
    <definedName name="solver_lhs3108" localSheetId="0" hidden="1">monday_model.lp!$DOL$2</definedName>
    <definedName name="solver_lhs3109" localSheetId="0" hidden="1">monday_model.lp!$DOM$2</definedName>
    <definedName name="solver_lhs311" localSheetId="0" hidden="1">monday_model.lp!$KW$2</definedName>
    <definedName name="solver_lhs3110" localSheetId="0" hidden="1">monday_model.lp!$DON$2</definedName>
    <definedName name="solver_lhs3111" localSheetId="0" hidden="1">monday_model.lp!$DOO$2</definedName>
    <definedName name="solver_lhs3112" localSheetId="0" hidden="1">monday_model.lp!$DOP$2</definedName>
    <definedName name="solver_lhs3113" localSheetId="0" hidden="1">monday_model.lp!$DOQ$2</definedName>
    <definedName name="solver_lhs3114" localSheetId="0" hidden="1">monday_model.lp!$DOR$2</definedName>
    <definedName name="solver_lhs3115" localSheetId="0" hidden="1">monday_model.lp!$DOS$2</definedName>
    <definedName name="solver_lhs3116" localSheetId="0" hidden="1">monday_model.lp!$DOT$2</definedName>
    <definedName name="solver_lhs3117" localSheetId="0" hidden="1">monday_model.lp!$DOU$2</definedName>
    <definedName name="solver_lhs3118" localSheetId="0" hidden="1">monday_model.lp!$DOV$2</definedName>
    <definedName name="solver_lhs3119" localSheetId="0" hidden="1">monday_model.lp!$DOW$2</definedName>
    <definedName name="solver_lhs312" localSheetId="0" hidden="1">monday_model.lp!$KX$2</definedName>
    <definedName name="solver_lhs3120" localSheetId="0" hidden="1">monday_model.lp!$DOX$2</definedName>
    <definedName name="solver_lhs3121" localSheetId="0" hidden="1">monday_model.lp!$DOY$2</definedName>
    <definedName name="solver_lhs3122" localSheetId="0" hidden="1">monday_model.lp!$DOZ$2</definedName>
    <definedName name="solver_lhs3123" localSheetId="0" hidden="1">monday_model.lp!$DPA$2</definedName>
    <definedName name="solver_lhs3124" localSheetId="0" hidden="1">monday_model.lp!$DPB$2</definedName>
    <definedName name="solver_lhs3125" localSheetId="0" hidden="1">monday_model.lp!$DPC$2</definedName>
    <definedName name="solver_lhs3126" localSheetId="0" hidden="1">monday_model.lp!$DPD$2</definedName>
    <definedName name="solver_lhs3127" localSheetId="0" hidden="1">monday_model.lp!$DPE$2</definedName>
    <definedName name="solver_lhs3128" localSheetId="0" hidden="1">monday_model.lp!$DPF$2</definedName>
    <definedName name="solver_lhs3129" localSheetId="0" hidden="1">monday_model.lp!$DPG$2</definedName>
    <definedName name="solver_lhs313" localSheetId="0" hidden="1">monday_model.lp!$KY$2</definedName>
    <definedName name="solver_lhs3130" localSheetId="0" hidden="1">monday_model.lp!$DPH$2</definedName>
    <definedName name="solver_lhs3131" localSheetId="0" hidden="1">monday_model.lp!$DPI$2</definedName>
    <definedName name="solver_lhs3132" localSheetId="0" hidden="1">monday_model.lp!$DPJ$2</definedName>
    <definedName name="solver_lhs3133" localSheetId="0" hidden="1">monday_model.lp!$DPK$2</definedName>
    <definedName name="solver_lhs3134" localSheetId="0" hidden="1">monday_model.lp!$DPL$2</definedName>
    <definedName name="solver_lhs3135" localSheetId="0" hidden="1">monday_model.lp!$DPM$2</definedName>
    <definedName name="solver_lhs3136" localSheetId="0" hidden="1">monday_model.lp!$DPN$2</definedName>
    <definedName name="solver_lhs3137" localSheetId="0" hidden="1">monday_model.lp!$DPO$2</definedName>
    <definedName name="solver_lhs3138" localSheetId="0" hidden="1">monday_model.lp!$DPP$2</definedName>
    <definedName name="solver_lhs3139" localSheetId="0" hidden="1">monday_model.lp!$DPQ$2</definedName>
    <definedName name="solver_lhs314" localSheetId="0" hidden="1">monday_model.lp!$KZ$2</definedName>
    <definedName name="solver_lhs3140" localSheetId="0" hidden="1">monday_model.lp!$DPR$2</definedName>
    <definedName name="solver_lhs3141" localSheetId="0" hidden="1">monday_model.lp!$DPS$2</definedName>
    <definedName name="solver_lhs3142" localSheetId="0" hidden="1">monday_model.lp!$DPT$2</definedName>
    <definedName name="solver_lhs3143" localSheetId="0" hidden="1">monday_model.lp!$DPU$2</definedName>
    <definedName name="solver_lhs3144" localSheetId="0" hidden="1">monday_model.lp!$DPV$2</definedName>
    <definedName name="solver_lhs3145" localSheetId="0" hidden="1">monday_model.lp!$DPW$2</definedName>
    <definedName name="solver_lhs3146" localSheetId="0" hidden="1">monday_model.lp!$DPX$2</definedName>
    <definedName name="solver_lhs3147" localSheetId="0" hidden="1">monday_model.lp!$DPY$2</definedName>
    <definedName name="solver_lhs3148" localSheetId="0" hidden="1">monday_model.lp!$DPZ$2</definedName>
    <definedName name="solver_lhs3149" localSheetId="0" hidden="1">monday_model.lp!$DQA$2</definedName>
    <definedName name="solver_lhs315" localSheetId="0" hidden="1">monday_model.lp!$LA$2</definedName>
    <definedName name="solver_lhs3150" localSheetId="0" hidden="1">monday_model.lp!$DQB$2</definedName>
    <definedName name="solver_lhs3151" localSheetId="0" hidden="1">monday_model.lp!$DQC$2</definedName>
    <definedName name="solver_lhs3152" localSheetId="0" hidden="1">monday_model.lp!$DQD$2</definedName>
    <definedName name="solver_lhs3153" localSheetId="0" hidden="1">monday_model.lp!$DQE$2</definedName>
    <definedName name="solver_lhs3154" localSheetId="0" hidden="1">monday_model.lp!$DQF$2</definedName>
    <definedName name="solver_lhs3155" localSheetId="0" hidden="1">monday_model.lp!$DQG$2</definedName>
    <definedName name="solver_lhs3156" localSheetId="0" hidden="1">monday_model.lp!$DQH$2</definedName>
    <definedName name="solver_lhs3157" localSheetId="0" hidden="1">monday_model.lp!$DQI$2</definedName>
    <definedName name="solver_lhs3158" localSheetId="0" hidden="1">monday_model.lp!$DQJ$2</definedName>
    <definedName name="solver_lhs3159" localSheetId="0" hidden="1">monday_model.lp!$DQK$2</definedName>
    <definedName name="solver_lhs316" localSheetId="0" hidden="1">monday_model.lp!$LB$2</definedName>
    <definedName name="solver_lhs3160" localSheetId="0" hidden="1">monday_model.lp!$DQL$2</definedName>
    <definedName name="solver_lhs3161" localSheetId="0" hidden="1">monday_model.lp!$DQM$2</definedName>
    <definedName name="solver_lhs3162" localSheetId="0" hidden="1">monday_model.lp!$DQN$2</definedName>
    <definedName name="solver_lhs3163" localSheetId="0" hidden="1">monday_model.lp!$DQO$2</definedName>
    <definedName name="solver_lhs3164" localSheetId="0" hidden="1">monday_model.lp!$DQP$2</definedName>
    <definedName name="solver_lhs3165" localSheetId="0" hidden="1">monday_model.lp!$DQQ$2</definedName>
    <definedName name="solver_lhs3166" localSheetId="0" hidden="1">monday_model.lp!$DQR$2</definedName>
    <definedName name="solver_lhs3167" localSheetId="0" hidden="1">monday_model.lp!$DQS$2</definedName>
    <definedName name="solver_lhs3168" localSheetId="0" hidden="1">monday_model.lp!$DQT$2</definedName>
    <definedName name="solver_lhs3169" localSheetId="0" hidden="1">monday_model.lp!$DQU$2</definedName>
    <definedName name="solver_lhs317" localSheetId="0" hidden="1">monday_model.lp!$LC$2</definedName>
    <definedName name="solver_lhs3170" localSheetId="0" hidden="1">monday_model.lp!$DQV$2</definedName>
    <definedName name="solver_lhs3171" localSheetId="0" hidden="1">monday_model.lp!$DQW$2</definedName>
    <definedName name="solver_lhs3172" localSheetId="0" hidden="1">monday_model.lp!$DQX$2</definedName>
    <definedName name="solver_lhs3173" localSheetId="0" hidden="1">monday_model.lp!$DQY$2</definedName>
    <definedName name="solver_lhs3174" localSheetId="0" hidden="1">monday_model.lp!$DQZ$2</definedName>
    <definedName name="solver_lhs3175" localSheetId="0" hidden="1">monday_model.lp!$DRA$2</definedName>
    <definedName name="solver_lhs3176" localSheetId="0" hidden="1">monday_model.lp!$DRB$2</definedName>
    <definedName name="solver_lhs3177" localSheetId="0" hidden="1">monday_model.lp!$DRC$2</definedName>
    <definedName name="solver_lhs3178" localSheetId="0" hidden="1">monday_model.lp!$DRD$2</definedName>
    <definedName name="solver_lhs3179" localSheetId="0" hidden="1">monday_model.lp!$DRE$2</definedName>
    <definedName name="solver_lhs318" localSheetId="0" hidden="1">monday_model.lp!$LD$2</definedName>
    <definedName name="solver_lhs3180" localSheetId="0" hidden="1">monday_model.lp!$DRF$2</definedName>
    <definedName name="solver_lhs3181" localSheetId="0" hidden="1">monday_model.lp!$DRG$2</definedName>
    <definedName name="solver_lhs3182" localSheetId="0" hidden="1">monday_model.lp!$DRH$2</definedName>
    <definedName name="solver_lhs3183" localSheetId="0" hidden="1">monday_model.lp!$DRI$2</definedName>
    <definedName name="solver_lhs3184" localSheetId="0" hidden="1">monday_model.lp!$DRJ$2</definedName>
    <definedName name="solver_lhs3185" localSheetId="0" hidden="1">monday_model.lp!$DRK$2</definedName>
    <definedName name="solver_lhs3186" localSheetId="0" hidden="1">monday_model.lp!$DRL$2</definedName>
    <definedName name="solver_lhs3187" localSheetId="0" hidden="1">monday_model.lp!$DRM$2</definedName>
    <definedName name="solver_lhs3188" localSheetId="0" hidden="1">monday_model.lp!$DRN$2</definedName>
    <definedName name="solver_lhs3189" localSheetId="0" hidden="1">monday_model.lp!$DRO$2</definedName>
    <definedName name="solver_lhs319" localSheetId="0" hidden="1">monday_model.lp!$LE$2</definedName>
    <definedName name="solver_lhs3190" localSheetId="0" hidden="1">monday_model.lp!$DRP$2</definedName>
    <definedName name="solver_lhs3191" localSheetId="0" hidden="1">monday_model.lp!$DRQ$2</definedName>
    <definedName name="solver_lhs3192" localSheetId="0" hidden="1">monday_model.lp!$DRR$2</definedName>
    <definedName name="solver_lhs3193" localSheetId="0" hidden="1">monday_model.lp!$DRS$2</definedName>
    <definedName name="solver_lhs3194" localSheetId="0" hidden="1">monday_model.lp!$DRT$2</definedName>
    <definedName name="solver_lhs3195" localSheetId="0" hidden="1">monday_model.lp!$DRU$2</definedName>
    <definedName name="solver_lhs3196" localSheetId="0" hidden="1">monday_model.lp!$DRV$2</definedName>
    <definedName name="solver_lhs3197" localSheetId="0" hidden="1">monday_model.lp!$DRW$2</definedName>
    <definedName name="solver_lhs3198" localSheetId="0" hidden="1">monday_model.lp!$DRX$2</definedName>
    <definedName name="solver_lhs3199" localSheetId="0" hidden="1">monday_model.lp!$DRY$2</definedName>
    <definedName name="solver_lhs32" localSheetId="0" hidden="1">monday_model.lp!$AD$2</definedName>
    <definedName name="solver_lhs320" localSheetId="0" hidden="1">monday_model.lp!$LF$2</definedName>
    <definedName name="solver_lhs3200" localSheetId="0" hidden="1">monday_model.lp!$DRZ$2</definedName>
    <definedName name="solver_lhs3201" localSheetId="0" hidden="1">monday_model.lp!$DSA$2</definedName>
    <definedName name="solver_lhs3202" localSheetId="0" hidden="1">monday_model.lp!$DSB$2</definedName>
    <definedName name="solver_lhs3203" localSheetId="0" hidden="1">monday_model.lp!$DSC$2</definedName>
    <definedName name="solver_lhs3204" localSheetId="0" hidden="1">monday_model.lp!$DSD$2</definedName>
    <definedName name="solver_lhs3205" localSheetId="0" hidden="1">monday_model.lp!$DSE$2</definedName>
    <definedName name="solver_lhs3206" localSheetId="0" hidden="1">monday_model.lp!$DSF$2</definedName>
    <definedName name="solver_lhs3207" localSheetId="0" hidden="1">monday_model.lp!$DSG$2</definedName>
    <definedName name="solver_lhs3208" localSheetId="0" hidden="1">monday_model.lp!$DSH$2</definedName>
    <definedName name="solver_lhs3209" localSheetId="0" hidden="1">monday_model.lp!$DSI$2</definedName>
    <definedName name="solver_lhs321" localSheetId="0" hidden="1">monday_model.lp!$LG$2</definedName>
    <definedName name="solver_lhs3210" localSheetId="0" hidden="1">monday_model.lp!$DSJ$2</definedName>
    <definedName name="solver_lhs3211" localSheetId="0" hidden="1">monday_model.lp!$DSK$2</definedName>
    <definedName name="solver_lhs3212" localSheetId="0" hidden="1">monday_model.lp!$DSL$2</definedName>
    <definedName name="solver_lhs3213" localSheetId="0" hidden="1">monday_model.lp!$DSM$2</definedName>
    <definedName name="solver_lhs3214" localSheetId="0" hidden="1">monday_model.lp!$DSN$2</definedName>
    <definedName name="solver_lhs3215" localSheetId="0" hidden="1">monday_model.lp!$DSO$2</definedName>
    <definedName name="solver_lhs3216" localSheetId="0" hidden="1">monday_model.lp!$DSP$2</definedName>
    <definedName name="solver_lhs3217" localSheetId="0" hidden="1">monday_model.lp!$DSQ$2</definedName>
    <definedName name="solver_lhs3218" localSheetId="0" hidden="1">monday_model.lp!$DSR$2</definedName>
    <definedName name="solver_lhs3219" localSheetId="0" hidden="1">monday_model.lp!$DSS$2</definedName>
    <definedName name="solver_lhs322" localSheetId="0" hidden="1">monday_model.lp!$LH$2</definedName>
    <definedName name="solver_lhs3220" localSheetId="0" hidden="1">monday_model.lp!$DST$2</definedName>
    <definedName name="solver_lhs3221" localSheetId="0" hidden="1">monday_model.lp!$DSU$2</definedName>
    <definedName name="solver_lhs3222" localSheetId="0" hidden="1">monday_model.lp!$DSV$2</definedName>
    <definedName name="solver_lhs3223" localSheetId="0" hidden="1">monday_model.lp!$DSW$2</definedName>
    <definedName name="solver_lhs3224" localSheetId="0" hidden="1">monday_model.lp!$DSX$2</definedName>
    <definedName name="solver_lhs3225" localSheetId="0" hidden="1">monday_model.lp!$DSY$2</definedName>
    <definedName name="solver_lhs3226" localSheetId="0" hidden="1">monday_model.lp!$DSZ$2</definedName>
    <definedName name="solver_lhs3227" localSheetId="0" hidden="1">monday_model.lp!$DTA$2</definedName>
    <definedName name="solver_lhs3228" localSheetId="0" hidden="1">monday_model.lp!$DTB$2</definedName>
    <definedName name="solver_lhs3229" localSheetId="0" hidden="1">monday_model.lp!$DTC$2</definedName>
    <definedName name="solver_lhs323" localSheetId="0" hidden="1">monday_model.lp!$LI$2</definedName>
    <definedName name="solver_lhs3230" localSheetId="0" hidden="1">monday_model.lp!$DTD$2</definedName>
    <definedName name="solver_lhs3231" localSheetId="0" hidden="1">monday_model.lp!$DTE$2</definedName>
    <definedName name="solver_lhs3232" localSheetId="0" hidden="1">monday_model.lp!$DTF$2</definedName>
    <definedName name="solver_lhs3233" localSheetId="0" hidden="1">monday_model.lp!$DTG$2</definedName>
    <definedName name="solver_lhs3234" localSheetId="0" hidden="1">monday_model.lp!$DTH$2</definedName>
    <definedName name="solver_lhs3235" localSheetId="0" hidden="1">monday_model.lp!$DTI$2</definedName>
    <definedName name="solver_lhs3236" localSheetId="0" hidden="1">monday_model.lp!$DTJ$2</definedName>
    <definedName name="solver_lhs3237" localSheetId="0" hidden="1">monday_model.lp!$DTK$2</definedName>
    <definedName name="solver_lhs3238" localSheetId="0" hidden="1">monday_model.lp!$DTL$2</definedName>
    <definedName name="solver_lhs3239" localSheetId="0" hidden="1">monday_model.lp!$DTM$2</definedName>
    <definedName name="solver_lhs324" localSheetId="0" hidden="1">monday_model.lp!$LJ$2</definedName>
    <definedName name="solver_lhs3240" localSheetId="0" hidden="1">monday_model.lp!$DTN$2</definedName>
    <definedName name="solver_lhs3241" localSheetId="0" hidden="1">monday_model.lp!$DTO$2</definedName>
    <definedName name="solver_lhs3242" localSheetId="0" hidden="1">monday_model.lp!$DTP$2</definedName>
    <definedName name="solver_lhs3243" localSheetId="0" hidden="1">monday_model.lp!$DTQ$2</definedName>
    <definedName name="solver_lhs3244" localSheetId="0" hidden="1">monday_model.lp!$DTR$2</definedName>
    <definedName name="solver_lhs3245" localSheetId="0" hidden="1">monday_model.lp!$DTS$2</definedName>
    <definedName name="solver_lhs3246" localSheetId="0" hidden="1">monday_model.lp!$DTT$2</definedName>
    <definedName name="solver_lhs3247" localSheetId="0" hidden="1">monday_model.lp!$DTU$2</definedName>
    <definedName name="solver_lhs3248" localSheetId="0" hidden="1">monday_model.lp!$DTV$2</definedName>
    <definedName name="solver_lhs3249" localSheetId="0" hidden="1">monday_model.lp!$DTW$2</definedName>
    <definedName name="solver_lhs325" localSheetId="0" hidden="1">monday_model.lp!$LK$2</definedName>
    <definedName name="solver_lhs3250" localSheetId="0" hidden="1">monday_model.lp!$DTX$2</definedName>
    <definedName name="solver_lhs3251" localSheetId="0" hidden="1">monday_model.lp!$DTY$2</definedName>
    <definedName name="solver_lhs3252" localSheetId="0" hidden="1">monday_model.lp!$DTZ$2</definedName>
    <definedName name="solver_lhs3253" localSheetId="0" hidden="1">monday_model.lp!$DUA$2</definedName>
    <definedName name="solver_lhs3254" localSheetId="0" hidden="1">monday_model.lp!$DUB$2</definedName>
    <definedName name="solver_lhs3255" localSheetId="0" hidden="1">monday_model.lp!$DUC$2</definedName>
    <definedName name="solver_lhs3256" localSheetId="0" hidden="1">monday_model.lp!$DUD$2</definedName>
    <definedName name="solver_lhs3257" localSheetId="0" hidden="1">monday_model.lp!$DUE$2</definedName>
    <definedName name="solver_lhs3258" localSheetId="0" hidden="1">monday_model.lp!$DUF$2</definedName>
    <definedName name="solver_lhs3259" localSheetId="0" hidden="1">monday_model.lp!$DUG$2</definedName>
    <definedName name="solver_lhs326" localSheetId="0" hidden="1">monday_model.lp!$LL$2</definedName>
    <definedName name="solver_lhs3260" localSheetId="0" hidden="1">monday_model.lp!$DUH$2</definedName>
    <definedName name="solver_lhs3261" localSheetId="0" hidden="1">monday_model.lp!$DUI$2</definedName>
    <definedName name="solver_lhs3262" localSheetId="0" hidden="1">monday_model.lp!$DUJ$2</definedName>
    <definedName name="solver_lhs3263" localSheetId="0" hidden="1">monday_model.lp!$DUK$2</definedName>
    <definedName name="solver_lhs3264" localSheetId="0" hidden="1">monday_model.lp!$DUL$2</definedName>
    <definedName name="solver_lhs3265" localSheetId="0" hidden="1">monday_model.lp!$DUM$2</definedName>
    <definedName name="solver_lhs3266" localSheetId="0" hidden="1">monday_model.lp!$DUN$2</definedName>
    <definedName name="solver_lhs3267" localSheetId="0" hidden="1">monday_model.lp!$DUO$2</definedName>
    <definedName name="solver_lhs3268" localSheetId="0" hidden="1">monday_model.lp!$DUP$2</definedName>
    <definedName name="solver_lhs3269" localSheetId="0" hidden="1">monday_model.lp!$DUQ$2</definedName>
    <definedName name="solver_lhs327" localSheetId="0" hidden="1">monday_model.lp!$LM$2</definedName>
    <definedName name="solver_lhs3270" localSheetId="0" hidden="1">monday_model.lp!$DUR$2</definedName>
    <definedName name="solver_lhs3271" localSheetId="0" hidden="1">monday_model.lp!$DUS$2</definedName>
    <definedName name="solver_lhs3272" localSheetId="0" hidden="1">monday_model.lp!$DUT$2</definedName>
    <definedName name="solver_lhs3273" localSheetId="0" hidden="1">monday_model.lp!$DUU$2</definedName>
    <definedName name="solver_lhs3274" localSheetId="0" hidden="1">monday_model.lp!$DUV$2</definedName>
    <definedName name="solver_lhs3275" localSheetId="0" hidden="1">monday_model.lp!$DUW$2</definedName>
    <definedName name="solver_lhs3276" localSheetId="0" hidden="1">monday_model.lp!$DUX$2</definedName>
    <definedName name="solver_lhs3277" localSheetId="0" hidden="1">monday_model.lp!$DUY$2</definedName>
    <definedName name="solver_lhs3278" localSheetId="0" hidden="1">monday_model.lp!$DUZ$2</definedName>
    <definedName name="solver_lhs3279" localSheetId="0" hidden="1">monday_model.lp!$DVA$2</definedName>
    <definedName name="solver_lhs328" localSheetId="0" hidden="1">monday_model.lp!$LN$2</definedName>
    <definedName name="solver_lhs3280" localSheetId="0" hidden="1">monday_model.lp!$DVB$2</definedName>
    <definedName name="solver_lhs3281" localSheetId="0" hidden="1">monday_model.lp!$DVC$2</definedName>
    <definedName name="solver_lhs3282" localSheetId="0" hidden="1">monday_model.lp!$DVD$2</definedName>
    <definedName name="solver_lhs3283" localSheetId="0" hidden="1">monday_model.lp!$DVE$2</definedName>
    <definedName name="solver_lhs3284" localSheetId="0" hidden="1">monday_model.lp!$DVF$2</definedName>
    <definedName name="solver_lhs3285" localSheetId="0" hidden="1">monday_model.lp!$DVG$2</definedName>
    <definedName name="solver_lhs3286" localSheetId="0" hidden="1">monday_model.lp!$DVH$2</definedName>
    <definedName name="solver_lhs3287" localSheetId="0" hidden="1">monday_model.lp!$DVI$2</definedName>
    <definedName name="solver_lhs3288" localSheetId="0" hidden="1">monday_model.lp!$DVJ$2</definedName>
    <definedName name="solver_lhs3289" localSheetId="0" hidden="1">monday_model.lp!$DVK$2</definedName>
    <definedName name="solver_lhs329" localSheetId="0" hidden="1">monday_model.lp!$LO$2</definedName>
    <definedName name="solver_lhs3290" localSheetId="0" hidden="1">monday_model.lp!$DVL$2</definedName>
    <definedName name="solver_lhs3291" localSheetId="0" hidden="1">monday_model.lp!$DVM$2</definedName>
    <definedName name="solver_lhs3292" localSheetId="0" hidden="1">monday_model.lp!$DVN$2</definedName>
    <definedName name="solver_lhs3293" localSheetId="0" hidden="1">monday_model.lp!$DVO$2</definedName>
    <definedName name="solver_lhs3294" localSheetId="0" hidden="1">monday_model.lp!$DVP$2</definedName>
    <definedName name="solver_lhs3295" localSheetId="0" hidden="1">monday_model.lp!$DVQ$2</definedName>
    <definedName name="solver_lhs3296" localSheetId="0" hidden="1">monday_model.lp!$DVR$2</definedName>
    <definedName name="solver_lhs3297" localSheetId="0" hidden="1">monday_model.lp!$DVS$2</definedName>
    <definedName name="solver_lhs3298" localSheetId="0" hidden="1">monday_model.lp!$DVT$2</definedName>
    <definedName name="solver_lhs3299" localSheetId="0" hidden="1">monday_model.lp!$DVU$2</definedName>
    <definedName name="solver_lhs33" localSheetId="0" hidden="1">monday_model.lp!$AE$2</definedName>
    <definedName name="solver_lhs330" localSheetId="0" hidden="1">monday_model.lp!$LP$2</definedName>
    <definedName name="solver_lhs3300" localSheetId="0" hidden="1">monday_model.lp!$DVV$2</definedName>
    <definedName name="solver_lhs3301" localSheetId="0" hidden="1">monday_model.lp!$DVW$2</definedName>
    <definedName name="solver_lhs3302" localSheetId="0" hidden="1">monday_model.lp!$DVX$2</definedName>
    <definedName name="solver_lhs3303" localSheetId="0" hidden="1">monday_model.lp!$DVY$2</definedName>
    <definedName name="solver_lhs3304" localSheetId="0" hidden="1">monday_model.lp!$DVZ$2</definedName>
    <definedName name="solver_lhs3305" localSheetId="0" hidden="1">monday_model.lp!$DWA$2</definedName>
    <definedName name="solver_lhs3306" localSheetId="0" hidden="1">monday_model.lp!$DWB$2</definedName>
    <definedName name="solver_lhs3307" localSheetId="0" hidden="1">monday_model.lp!$DWC$2</definedName>
    <definedName name="solver_lhs3308" localSheetId="0" hidden="1">monday_model.lp!$DWD$2</definedName>
    <definedName name="solver_lhs3309" localSheetId="0" hidden="1">monday_model.lp!$DWE$2</definedName>
    <definedName name="solver_lhs331" localSheetId="0" hidden="1">monday_model.lp!$LQ$2</definedName>
    <definedName name="solver_lhs3310" localSheetId="0" hidden="1">monday_model.lp!$DWF$2</definedName>
    <definedName name="solver_lhs3311" localSheetId="0" hidden="1">monday_model.lp!$DWG$2</definedName>
    <definedName name="solver_lhs3312" localSheetId="0" hidden="1">monday_model.lp!$DWH$2</definedName>
    <definedName name="solver_lhs3313" localSheetId="0" hidden="1">monday_model.lp!$DWI$2</definedName>
    <definedName name="solver_lhs3314" localSheetId="0" hidden="1">monday_model.lp!$DWJ$2</definedName>
    <definedName name="solver_lhs3315" localSheetId="0" hidden="1">monday_model.lp!$DWK$2</definedName>
    <definedName name="solver_lhs3316" localSheetId="0" hidden="1">monday_model.lp!$DWL$2</definedName>
    <definedName name="solver_lhs3317" localSheetId="0" hidden="1">monday_model.lp!$DWM$2</definedName>
    <definedName name="solver_lhs3318" localSheetId="0" hidden="1">monday_model.lp!$DWN$2</definedName>
    <definedName name="solver_lhs3319" localSheetId="0" hidden="1">monday_model.lp!$DWO$2</definedName>
    <definedName name="solver_lhs332" localSheetId="0" hidden="1">monday_model.lp!$LR$2</definedName>
    <definedName name="solver_lhs3320" localSheetId="0" hidden="1">monday_model.lp!$DWP$2</definedName>
    <definedName name="solver_lhs3321" localSheetId="0" hidden="1">monday_model.lp!$DWQ$2</definedName>
    <definedName name="solver_lhs3322" localSheetId="0" hidden="1">monday_model.lp!$DWR$2</definedName>
    <definedName name="solver_lhs3323" localSheetId="0" hidden="1">monday_model.lp!$DWS$2</definedName>
    <definedName name="solver_lhs3324" localSheetId="0" hidden="1">monday_model.lp!$DWT$2</definedName>
    <definedName name="solver_lhs3325" localSheetId="0" hidden="1">monday_model.lp!$DWU$2</definedName>
    <definedName name="solver_lhs3326" localSheetId="0" hidden="1">monday_model.lp!$DWV$2</definedName>
    <definedName name="solver_lhs3327" localSheetId="0" hidden="1">monday_model.lp!$DWW$2</definedName>
    <definedName name="solver_lhs3328" localSheetId="0" hidden="1">monday_model.lp!$DWX$2</definedName>
    <definedName name="solver_lhs3329" localSheetId="0" hidden="1">monday_model.lp!$DWY$2</definedName>
    <definedName name="solver_lhs333" localSheetId="0" hidden="1">monday_model.lp!$LS$2</definedName>
    <definedName name="solver_lhs3330" localSheetId="0" hidden="1">monday_model.lp!$DWZ$2</definedName>
    <definedName name="solver_lhs3331" localSheetId="0" hidden="1">monday_model.lp!$DXA$2</definedName>
    <definedName name="solver_lhs3332" localSheetId="0" hidden="1">monday_model.lp!$DXB$2</definedName>
    <definedName name="solver_lhs3333" localSheetId="0" hidden="1">monday_model.lp!$DXC$2</definedName>
    <definedName name="solver_lhs3334" localSheetId="0" hidden="1">monday_model.lp!$DXD$2</definedName>
    <definedName name="solver_lhs3335" localSheetId="0" hidden="1">monday_model.lp!$DXE$2</definedName>
    <definedName name="solver_lhs3336" localSheetId="0" hidden="1">monday_model.lp!$DXF$2</definedName>
    <definedName name="solver_lhs3337" localSheetId="0" hidden="1">monday_model.lp!$DXG$2</definedName>
    <definedName name="solver_lhs3338" localSheetId="0" hidden="1">monday_model.lp!$DXH$2</definedName>
    <definedName name="solver_lhs3339" localSheetId="0" hidden="1">monday_model.lp!$DXI$2</definedName>
    <definedName name="solver_lhs334" localSheetId="0" hidden="1">monday_model.lp!$LT$2</definedName>
    <definedName name="solver_lhs3340" localSheetId="0" hidden="1">monday_model.lp!$DXJ$2</definedName>
    <definedName name="solver_lhs3341" localSheetId="0" hidden="1">monday_model.lp!$DXK$2</definedName>
    <definedName name="solver_lhs3342" localSheetId="0" hidden="1">monday_model.lp!$DXL$2</definedName>
    <definedName name="solver_lhs3343" localSheetId="0" hidden="1">monday_model.lp!$DXM$2</definedName>
    <definedName name="solver_lhs3344" localSheetId="0" hidden="1">monday_model.lp!$DXN$2</definedName>
    <definedName name="solver_lhs3345" localSheetId="0" hidden="1">monday_model.lp!$DXO$2</definedName>
    <definedName name="solver_lhs3346" localSheetId="0" hidden="1">monday_model.lp!$DXP$2</definedName>
    <definedName name="solver_lhs3347" localSheetId="0" hidden="1">monday_model.lp!$DXQ$2</definedName>
    <definedName name="solver_lhs3348" localSheetId="0" hidden="1">monday_model.lp!$DXR$2</definedName>
    <definedName name="solver_lhs3349" localSheetId="0" hidden="1">monday_model.lp!$DXS$2</definedName>
    <definedName name="solver_lhs335" localSheetId="0" hidden="1">monday_model.lp!$LU$2</definedName>
    <definedName name="solver_lhs3350" localSheetId="0" hidden="1">monday_model.lp!$DXT$2</definedName>
    <definedName name="solver_lhs3351" localSheetId="0" hidden="1">monday_model.lp!$DXU$2</definedName>
    <definedName name="solver_lhs3352" localSheetId="0" hidden="1">monday_model.lp!$DXV$2</definedName>
    <definedName name="solver_lhs3353" localSheetId="0" hidden="1">monday_model.lp!$DXW$2</definedName>
    <definedName name="solver_lhs3354" localSheetId="0" hidden="1">monday_model.lp!$DXX$2</definedName>
    <definedName name="solver_lhs3355" localSheetId="0" hidden="1">monday_model.lp!$DXY$2</definedName>
    <definedName name="solver_lhs3356" localSheetId="0" hidden="1">monday_model.lp!$DXZ$2</definedName>
    <definedName name="solver_lhs3357" localSheetId="0" hidden="1">monday_model.lp!$DYA$2</definedName>
    <definedName name="solver_lhs3358" localSheetId="0" hidden="1">monday_model.lp!$DYB$2</definedName>
    <definedName name="solver_lhs3359" localSheetId="0" hidden="1">monday_model.lp!$DYC$2</definedName>
    <definedName name="solver_lhs336" localSheetId="0" hidden="1">monday_model.lp!$LV$2</definedName>
    <definedName name="solver_lhs3360" localSheetId="0" hidden="1">monday_model.lp!$DYD$2</definedName>
    <definedName name="solver_lhs3361" localSheetId="0" hidden="1">monday_model.lp!$DYE$2</definedName>
    <definedName name="solver_lhs3362" localSheetId="0" hidden="1">monday_model.lp!$DYF$2</definedName>
    <definedName name="solver_lhs3363" localSheetId="0" hidden="1">monday_model.lp!$DYG$2</definedName>
    <definedName name="solver_lhs3364" localSheetId="0" hidden="1">monday_model.lp!$DYH$2</definedName>
    <definedName name="solver_lhs3365" localSheetId="0" hidden="1">monday_model.lp!$DYI$2</definedName>
    <definedName name="solver_lhs3366" localSheetId="0" hidden="1">monday_model.lp!$DYJ$2</definedName>
    <definedName name="solver_lhs3367" localSheetId="0" hidden="1">monday_model.lp!$DYK$2</definedName>
    <definedName name="solver_lhs3368" localSheetId="0" hidden="1">monday_model.lp!$DYL$2</definedName>
    <definedName name="solver_lhs3369" localSheetId="0" hidden="1">monday_model.lp!$DYM$2</definedName>
    <definedName name="solver_lhs337" localSheetId="0" hidden="1">monday_model.lp!$LW$2</definedName>
    <definedName name="solver_lhs3370" localSheetId="0" hidden="1">monday_model.lp!$DYN$2</definedName>
    <definedName name="solver_lhs3371" localSheetId="0" hidden="1">monday_model.lp!$DYO$2</definedName>
    <definedName name="solver_lhs3372" localSheetId="0" hidden="1">monday_model.lp!$DYP$2</definedName>
    <definedName name="solver_lhs3373" localSheetId="0" hidden="1">monday_model.lp!$DYQ$2</definedName>
    <definedName name="solver_lhs3374" localSheetId="0" hidden="1">monday_model.lp!$DYR$2</definedName>
    <definedName name="solver_lhs3375" localSheetId="0" hidden="1">monday_model.lp!$DYS$2</definedName>
    <definedName name="solver_lhs3376" localSheetId="0" hidden="1">monday_model.lp!$DYT$2</definedName>
    <definedName name="solver_lhs3377" localSheetId="0" hidden="1">monday_model.lp!$DYU$2</definedName>
    <definedName name="solver_lhs3378" localSheetId="0" hidden="1">monday_model.lp!$DYV$2</definedName>
    <definedName name="solver_lhs3379" localSheetId="0" hidden="1">monday_model.lp!$DYW$2</definedName>
    <definedName name="solver_lhs338" localSheetId="0" hidden="1">monday_model.lp!$LX$2</definedName>
    <definedName name="solver_lhs3380" localSheetId="0" hidden="1">monday_model.lp!$DYX$2</definedName>
    <definedName name="solver_lhs3381" localSheetId="0" hidden="1">monday_model.lp!$DYY$2</definedName>
    <definedName name="solver_lhs3382" localSheetId="0" hidden="1">monday_model.lp!$DYZ$2</definedName>
    <definedName name="solver_lhs3383" localSheetId="0" hidden="1">monday_model.lp!$DZA$2</definedName>
    <definedName name="solver_lhs3384" localSheetId="0" hidden="1">monday_model.lp!$DZB$2</definedName>
    <definedName name="solver_lhs3385" localSheetId="0" hidden="1">monday_model.lp!$DZC$2</definedName>
    <definedName name="solver_lhs3386" localSheetId="0" hidden="1">monday_model.lp!$DZD$2</definedName>
    <definedName name="solver_lhs3387" localSheetId="0" hidden="1">monday_model.lp!$DZE$2</definedName>
    <definedName name="solver_lhs3388" localSheetId="0" hidden="1">monday_model.lp!$DZF$2</definedName>
    <definedName name="solver_lhs3389" localSheetId="0" hidden="1">monday_model.lp!$DZG$2</definedName>
    <definedName name="solver_lhs339" localSheetId="0" hidden="1">monday_model.lp!$LY$2</definedName>
    <definedName name="solver_lhs3390" localSheetId="0" hidden="1">monday_model.lp!$DZH$2</definedName>
    <definedName name="solver_lhs3391" localSheetId="0" hidden="1">monday_model.lp!$DZI$2</definedName>
    <definedName name="solver_lhs3392" localSheetId="0" hidden="1">monday_model.lp!$DZJ$2</definedName>
    <definedName name="solver_lhs3393" localSheetId="0" hidden="1">monday_model.lp!$DZK$2</definedName>
    <definedName name="solver_lhs3394" localSheetId="0" hidden="1">monday_model.lp!$DZL$2</definedName>
    <definedName name="solver_lhs3395" localSheetId="0" hidden="1">monday_model.lp!$DZM$2</definedName>
    <definedName name="solver_lhs3396" localSheetId="0" hidden="1">monday_model.lp!$DZN$2</definedName>
    <definedName name="solver_lhs3397" localSheetId="0" hidden="1">monday_model.lp!$DZO$2</definedName>
    <definedName name="solver_lhs3398" localSheetId="0" hidden="1">monday_model.lp!$DZP$2</definedName>
    <definedName name="solver_lhs3399" localSheetId="0" hidden="1">monday_model.lp!$DZQ$2</definedName>
    <definedName name="solver_lhs34" localSheetId="0" hidden="1">monday_model.lp!$AF$2</definedName>
    <definedName name="solver_lhs340" localSheetId="0" hidden="1">monday_model.lp!$LZ$2</definedName>
    <definedName name="solver_lhs3400" localSheetId="0" hidden="1">monday_model.lp!$DZR$2</definedName>
    <definedName name="solver_lhs3401" localSheetId="0" hidden="1">monday_model.lp!$DZS$2</definedName>
    <definedName name="solver_lhs3402" localSheetId="0" hidden="1">monday_model.lp!$DZT$2</definedName>
    <definedName name="solver_lhs3403" localSheetId="0" hidden="1">monday_model.lp!$DZU$2</definedName>
    <definedName name="solver_lhs3404" localSheetId="0" hidden="1">monday_model.lp!$DZV$2</definedName>
    <definedName name="solver_lhs3405" localSheetId="0" hidden="1">monday_model.lp!$DZW$2</definedName>
    <definedName name="solver_lhs3406" localSheetId="0" hidden="1">monday_model.lp!$DZX$2</definedName>
    <definedName name="solver_lhs3407" localSheetId="0" hidden="1">monday_model.lp!$DZY$2</definedName>
    <definedName name="solver_lhs3408" localSheetId="0" hidden="1">monday_model.lp!$DZZ$2</definedName>
    <definedName name="solver_lhs3409" localSheetId="0" hidden="1">monday_model.lp!$EAA$2</definedName>
    <definedName name="solver_lhs341" localSheetId="0" hidden="1">monday_model.lp!$MA$2</definedName>
    <definedName name="solver_lhs3410" localSheetId="0" hidden="1">monday_model.lp!$EAB$2</definedName>
    <definedName name="solver_lhs3411" localSheetId="0" hidden="1">monday_model.lp!$EAC$2</definedName>
    <definedName name="solver_lhs3412" localSheetId="0" hidden="1">monday_model.lp!$EAD$2</definedName>
    <definedName name="solver_lhs3413" localSheetId="0" hidden="1">monday_model.lp!$EAE$2</definedName>
    <definedName name="solver_lhs3414" localSheetId="0" hidden="1">monday_model.lp!$EAF$2</definedName>
    <definedName name="solver_lhs3415" localSheetId="0" hidden="1">monday_model.lp!$EAG$2</definedName>
    <definedName name="solver_lhs3416" localSheetId="0" hidden="1">monday_model.lp!$EAH$2</definedName>
    <definedName name="solver_lhs3417" localSheetId="0" hidden="1">monday_model.lp!$EAI$2</definedName>
    <definedName name="solver_lhs3418" localSheetId="0" hidden="1">monday_model.lp!$EAJ$2</definedName>
    <definedName name="solver_lhs3419" localSheetId="0" hidden="1">monday_model.lp!$EAK$2</definedName>
    <definedName name="solver_lhs342" localSheetId="0" hidden="1">monday_model.lp!$MB$2</definedName>
    <definedName name="solver_lhs3420" localSheetId="0" hidden="1">monday_model.lp!$EAL$2</definedName>
    <definedName name="solver_lhs3421" localSheetId="0" hidden="1">monday_model.lp!$EAM$2</definedName>
    <definedName name="solver_lhs3422" localSheetId="0" hidden="1">monday_model.lp!$EAN$2</definedName>
    <definedName name="solver_lhs3423" localSheetId="0" hidden="1">monday_model.lp!$EAO$2</definedName>
    <definedName name="solver_lhs3424" localSheetId="0" hidden="1">monday_model.lp!$EAP$2</definedName>
    <definedName name="solver_lhs3425" localSheetId="0" hidden="1">monday_model.lp!$EAQ$2</definedName>
    <definedName name="solver_lhs3426" localSheetId="0" hidden="1">monday_model.lp!$EAR$2</definedName>
    <definedName name="solver_lhs3427" localSheetId="0" hidden="1">monday_model.lp!$EAS$2</definedName>
    <definedName name="solver_lhs3428" localSheetId="0" hidden="1">monday_model.lp!$EAT$2</definedName>
    <definedName name="solver_lhs3429" localSheetId="0" hidden="1">monday_model.lp!$EAU$2</definedName>
    <definedName name="solver_lhs343" localSheetId="0" hidden="1">monday_model.lp!$MC$2</definedName>
    <definedName name="solver_lhs3430" localSheetId="0" hidden="1">monday_model.lp!$EAV$2</definedName>
    <definedName name="solver_lhs3431" localSheetId="0" hidden="1">monday_model.lp!$EAW$2</definedName>
    <definedName name="solver_lhs3432" localSheetId="0" hidden="1">monday_model.lp!$EAX$2</definedName>
    <definedName name="solver_lhs3433" localSheetId="0" hidden="1">monday_model.lp!$EAY$2</definedName>
    <definedName name="solver_lhs3434" localSheetId="0" hidden="1">monday_model.lp!$EAZ$2</definedName>
    <definedName name="solver_lhs3435" localSheetId="0" hidden="1">monday_model.lp!$EBA$2</definedName>
    <definedName name="solver_lhs3436" localSheetId="0" hidden="1">monday_model.lp!$EBB$2</definedName>
    <definedName name="solver_lhs3437" localSheetId="0" hidden="1">monday_model.lp!$EBC$2</definedName>
    <definedName name="solver_lhs3438" localSheetId="0" hidden="1">monday_model.lp!$EBD$2</definedName>
    <definedName name="solver_lhs3439" localSheetId="0" hidden="1">monday_model.lp!$EBE$2</definedName>
    <definedName name="solver_lhs344" localSheetId="0" hidden="1">monday_model.lp!$MD$2</definedName>
    <definedName name="solver_lhs3440" localSheetId="0" hidden="1">monday_model.lp!$EBF$2</definedName>
    <definedName name="solver_lhs3441" localSheetId="0" hidden="1">monday_model.lp!$EBG$2</definedName>
    <definedName name="solver_lhs3442" localSheetId="0" hidden="1">monday_model.lp!$EBH$2</definedName>
    <definedName name="solver_lhs3443" localSheetId="0" hidden="1">monday_model.lp!$EBI$2</definedName>
    <definedName name="solver_lhs3444" localSheetId="0" hidden="1">monday_model.lp!$EBJ$2</definedName>
    <definedName name="solver_lhs3445" localSheetId="0" hidden="1">monday_model.lp!$EBK$2</definedName>
    <definedName name="solver_lhs3446" localSheetId="0" hidden="1">monday_model.lp!$EBL$2</definedName>
    <definedName name="solver_lhs3447" localSheetId="0" hidden="1">monday_model.lp!$EBM$2</definedName>
    <definedName name="solver_lhs3448" localSheetId="0" hidden="1">monday_model.lp!$EBN$2</definedName>
    <definedName name="solver_lhs3449" localSheetId="0" hidden="1">monday_model.lp!$EBO$2</definedName>
    <definedName name="solver_lhs345" localSheetId="0" hidden="1">monday_model.lp!$ME$2</definedName>
    <definedName name="solver_lhs3450" localSheetId="0" hidden="1">monday_model.lp!$EBP$2</definedName>
    <definedName name="solver_lhs3451" localSheetId="0" hidden="1">monday_model.lp!$EBQ$2</definedName>
    <definedName name="solver_lhs3452" localSheetId="0" hidden="1">monday_model.lp!$EBR$2</definedName>
    <definedName name="solver_lhs3453" localSheetId="0" hidden="1">monday_model.lp!$EBS$2</definedName>
    <definedName name="solver_lhs3454" localSheetId="0" hidden="1">monday_model.lp!$EBT$2</definedName>
    <definedName name="solver_lhs3455" localSheetId="0" hidden="1">monday_model.lp!$EBU$2</definedName>
    <definedName name="solver_lhs3456" localSheetId="0" hidden="1">monday_model.lp!$EBV$2</definedName>
    <definedName name="solver_lhs3457" localSheetId="0" hidden="1">monday_model.lp!$EBW$2</definedName>
    <definedName name="solver_lhs3458" localSheetId="0" hidden="1">monday_model.lp!$EBX$2</definedName>
    <definedName name="solver_lhs3459" localSheetId="0" hidden="1">monday_model.lp!$EBY$2</definedName>
    <definedName name="solver_lhs346" localSheetId="0" hidden="1">monday_model.lp!$MF$2</definedName>
    <definedName name="solver_lhs3460" localSheetId="0" hidden="1">monday_model.lp!$EBZ$2</definedName>
    <definedName name="solver_lhs3461" localSheetId="0" hidden="1">monday_model.lp!$ECA$2</definedName>
    <definedName name="solver_lhs3462" localSheetId="0" hidden="1">monday_model.lp!$ECB$2</definedName>
    <definedName name="solver_lhs3463" localSheetId="0" hidden="1">monday_model.lp!$ECC$2</definedName>
    <definedName name="solver_lhs3464" localSheetId="0" hidden="1">monday_model.lp!$ECD$2</definedName>
    <definedName name="solver_lhs3465" localSheetId="0" hidden="1">monday_model.lp!$ECE$2</definedName>
    <definedName name="solver_lhs3466" localSheetId="0" hidden="1">monday_model.lp!$ECF$2</definedName>
    <definedName name="solver_lhs3467" localSheetId="0" hidden="1">monday_model.lp!$ECG$2</definedName>
    <definedName name="solver_lhs3468" localSheetId="0" hidden="1">monday_model.lp!$ECH$2</definedName>
    <definedName name="solver_lhs3469" localSheetId="0" hidden="1">monday_model.lp!$ECI$2</definedName>
    <definedName name="solver_lhs347" localSheetId="0" hidden="1">monday_model.lp!$MG$2</definedName>
    <definedName name="solver_lhs3470" localSheetId="0" hidden="1">monday_model.lp!$ECJ$2</definedName>
    <definedName name="solver_lhs3471" localSheetId="0" hidden="1">monday_model.lp!$ECK$2</definedName>
    <definedName name="solver_lhs3472" localSheetId="0" hidden="1">monday_model.lp!$ECL$2</definedName>
    <definedName name="solver_lhs3473" localSheetId="0" hidden="1">monday_model.lp!$ECM$2</definedName>
    <definedName name="solver_lhs3474" localSheetId="0" hidden="1">monday_model.lp!$ECN$2</definedName>
    <definedName name="solver_lhs3475" localSheetId="0" hidden="1">monday_model.lp!$ECO$2</definedName>
    <definedName name="solver_lhs3476" localSheetId="0" hidden="1">monday_model.lp!$ECP$2</definedName>
    <definedName name="solver_lhs3477" localSheetId="0" hidden="1">monday_model.lp!$ECQ$2</definedName>
    <definedName name="solver_lhs3478" localSheetId="0" hidden="1">monday_model.lp!$ECR$2</definedName>
    <definedName name="solver_lhs3479" localSheetId="0" hidden="1">monday_model.lp!$ECS$2</definedName>
    <definedName name="solver_lhs348" localSheetId="0" hidden="1">monday_model.lp!$MH$2</definedName>
    <definedName name="solver_lhs3480" localSheetId="0" hidden="1">monday_model.lp!$ECT$2</definedName>
    <definedName name="solver_lhs3481" localSheetId="0" hidden="1">monday_model.lp!$ECU$2</definedName>
    <definedName name="solver_lhs3482" localSheetId="0" hidden="1">monday_model.lp!$ECV$2</definedName>
    <definedName name="solver_lhs3483" localSheetId="0" hidden="1">monday_model.lp!$ECW$2</definedName>
    <definedName name="solver_lhs3484" localSheetId="0" hidden="1">monday_model.lp!$ECX$2</definedName>
    <definedName name="solver_lhs3485" localSheetId="0" hidden="1">monday_model.lp!$ECY$2</definedName>
    <definedName name="solver_lhs3486" localSheetId="0" hidden="1">monday_model.lp!$ECZ$2</definedName>
    <definedName name="solver_lhs3487" localSheetId="0" hidden="1">monday_model.lp!$EDA$2</definedName>
    <definedName name="solver_lhs3488" localSheetId="0" hidden="1">monday_model.lp!$EDB$2</definedName>
    <definedName name="solver_lhs3489" localSheetId="0" hidden="1">monday_model.lp!$EDC$2</definedName>
    <definedName name="solver_lhs349" localSheetId="0" hidden="1">monday_model.lp!$MI$2</definedName>
    <definedName name="solver_lhs3490" localSheetId="0" hidden="1">monday_model.lp!$EDD$2</definedName>
    <definedName name="solver_lhs3491" localSheetId="0" hidden="1">monday_model.lp!$EDE$2</definedName>
    <definedName name="solver_lhs35" localSheetId="0" hidden="1">monday_model.lp!$AG$2</definedName>
    <definedName name="solver_lhs350" localSheetId="0" hidden="1">monday_model.lp!$MJ$2</definedName>
    <definedName name="solver_lhs351" localSheetId="0" hidden="1">monday_model.lp!$MK$2</definedName>
    <definedName name="solver_lhs352" localSheetId="0" hidden="1">monday_model.lp!$ML$2</definedName>
    <definedName name="solver_lhs353" localSheetId="0" hidden="1">monday_model.lp!$MM$2</definedName>
    <definedName name="solver_lhs354" localSheetId="0" hidden="1">monday_model.lp!$MN$2</definedName>
    <definedName name="solver_lhs355" localSheetId="0" hidden="1">monday_model.lp!$MO$2</definedName>
    <definedName name="solver_lhs356" localSheetId="0" hidden="1">monday_model.lp!$MP$2</definedName>
    <definedName name="solver_lhs357" localSheetId="0" hidden="1">monday_model.lp!$MQ$2</definedName>
    <definedName name="solver_lhs358" localSheetId="0" hidden="1">monday_model.lp!$MR$2</definedName>
    <definedName name="solver_lhs359" localSheetId="0" hidden="1">monday_model.lp!$MS$2</definedName>
    <definedName name="solver_lhs36" localSheetId="0" hidden="1">monday_model.lp!$AH$2</definedName>
    <definedName name="solver_lhs360" localSheetId="0" hidden="1">monday_model.lp!$MT$2</definedName>
    <definedName name="solver_lhs361" localSheetId="0" hidden="1">monday_model.lp!$MU$2</definedName>
    <definedName name="solver_lhs362" localSheetId="0" hidden="1">monday_model.lp!$MV$2</definedName>
    <definedName name="solver_lhs363" localSheetId="0" hidden="1">monday_model.lp!$MW$2</definedName>
    <definedName name="solver_lhs364" localSheetId="0" hidden="1">monday_model.lp!$MX$2</definedName>
    <definedName name="solver_lhs365" localSheetId="0" hidden="1">monday_model.lp!$MY$2</definedName>
    <definedName name="solver_lhs366" localSheetId="0" hidden="1">monday_model.lp!$MZ$2</definedName>
    <definedName name="solver_lhs367" localSheetId="0" hidden="1">monday_model.lp!$NA$2</definedName>
    <definedName name="solver_lhs368" localSheetId="0" hidden="1">monday_model.lp!$NB$2</definedName>
    <definedName name="solver_lhs369" localSheetId="0" hidden="1">monday_model.lp!$NC$2</definedName>
    <definedName name="solver_lhs37" localSheetId="0" hidden="1">monday_model.lp!$AI$2</definedName>
    <definedName name="solver_lhs370" localSheetId="0" hidden="1">monday_model.lp!$ND$2</definedName>
    <definedName name="solver_lhs371" localSheetId="0" hidden="1">monday_model.lp!$NE$2</definedName>
    <definedName name="solver_lhs372" localSheetId="0" hidden="1">monday_model.lp!$NF$2</definedName>
    <definedName name="solver_lhs373" localSheetId="0" hidden="1">monday_model.lp!$NG$2</definedName>
    <definedName name="solver_lhs374" localSheetId="0" hidden="1">monday_model.lp!$NH$2</definedName>
    <definedName name="solver_lhs375" localSheetId="0" hidden="1">monday_model.lp!$NI$2</definedName>
    <definedName name="solver_lhs376" localSheetId="0" hidden="1">monday_model.lp!$NJ$2</definedName>
    <definedName name="solver_lhs377" localSheetId="0" hidden="1">monday_model.lp!$NK$2</definedName>
    <definedName name="solver_lhs378" localSheetId="0" hidden="1">monday_model.lp!$NL$2</definedName>
    <definedName name="solver_lhs379" localSheetId="0" hidden="1">monday_model.lp!$NM$2</definedName>
    <definedName name="solver_lhs38" localSheetId="0" hidden="1">monday_model.lp!$AJ$2</definedName>
    <definedName name="solver_lhs380" localSheetId="0" hidden="1">monday_model.lp!$NN$2</definedName>
    <definedName name="solver_lhs381" localSheetId="0" hidden="1">monday_model.lp!$NO$2</definedName>
    <definedName name="solver_lhs382" localSheetId="0" hidden="1">monday_model.lp!$NP$2</definedName>
    <definedName name="solver_lhs383" localSheetId="0" hidden="1">monday_model.lp!$NQ$2</definedName>
    <definedName name="solver_lhs384" localSheetId="0" hidden="1">monday_model.lp!$NR$2</definedName>
    <definedName name="solver_lhs385" localSheetId="0" hidden="1">monday_model.lp!$NS$2</definedName>
    <definedName name="solver_lhs386" localSheetId="0" hidden="1">monday_model.lp!$NT$2</definedName>
    <definedName name="solver_lhs387" localSheetId="0" hidden="1">monday_model.lp!$NU$2</definedName>
    <definedName name="solver_lhs388" localSheetId="0" hidden="1">monday_model.lp!$NV$2</definedName>
    <definedName name="solver_lhs389" localSheetId="0" hidden="1">monday_model.lp!$NW$2</definedName>
    <definedName name="solver_lhs39" localSheetId="0" hidden="1">monday_model.lp!$AK$2</definedName>
    <definedName name="solver_lhs390" localSheetId="0" hidden="1">monday_model.lp!$NX$2</definedName>
    <definedName name="solver_lhs391" localSheetId="0" hidden="1">monday_model.lp!$NY$2</definedName>
    <definedName name="solver_lhs392" localSheetId="0" hidden="1">monday_model.lp!$NZ$2</definedName>
    <definedName name="solver_lhs393" localSheetId="0" hidden="1">monday_model.lp!$OA$2</definedName>
    <definedName name="solver_lhs394" localSheetId="0" hidden="1">monday_model.lp!$OB$2</definedName>
    <definedName name="solver_lhs395" localSheetId="0" hidden="1">monday_model.lp!$OC$2</definedName>
    <definedName name="solver_lhs396" localSheetId="0" hidden="1">monday_model.lp!$OD$2</definedName>
    <definedName name="solver_lhs397" localSheetId="0" hidden="1">monday_model.lp!$OE$2</definedName>
    <definedName name="solver_lhs398" localSheetId="0" hidden="1">monday_model.lp!$OF$2</definedName>
    <definedName name="solver_lhs399" localSheetId="0" hidden="1">monday_model.lp!$OG$2</definedName>
    <definedName name="solver_lhs4" localSheetId="0" hidden="1">monday_model.lp!$C$2:$EDE$2</definedName>
    <definedName name="solver_lhs40" localSheetId="0" hidden="1">monday_model.lp!$AL$2</definedName>
    <definedName name="solver_lhs400" localSheetId="0" hidden="1">monday_model.lp!$OH$2</definedName>
    <definedName name="solver_lhs401" localSheetId="0" hidden="1">monday_model.lp!$OI$2</definedName>
    <definedName name="solver_lhs402" localSheetId="0" hidden="1">monday_model.lp!$OJ$2</definedName>
    <definedName name="solver_lhs403" localSheetId="0" hidden="1">monday_model.lp!$OK$2</definedName>
    <definedName name="solver_lhs404" localSheetId="0" hidden="1">monday_model.lp!$OL$2</definedName>
    <definedName name="solver_lhs405" localSheetId="0" hidden="1">monday_model.lp!$OM$2</definedName>
    <definedName name="solver_lhs406" localSheetId="0" hidden="1">monday_model.lp!$ON$2</definedName>
    <definedName name="solver_lhs407" localSheetId="0" hidden="1">monday_model.lp!$OO$2</definedName>
    <definedName name="solver_lhs408" localSheetId="0" hidden="1">monday_model.lp!$OP$2</definedName>
    <definedName name="solver_lhs409" localSheetId="0" hidden="1">monday_model.lp!$OQ$2</definedName>
    <definedName name="solver_lhs41" localSheetId="0" hidden="1">monday_model.lp!$AM$2</definedName>
    <definedName name="solver_lhs410" localSheetId="0" hidden="1">monday_model.lp!$OR$2</definedName>
    <definedName name="solver_lhs411" localSheetId="0" hidden="1">monday_model.lp!$OS$2</definedName>
    <definedName name="solver_lhs412" localSheetId="0" hidden="1">monday_model.lp!$OT$2</definedName>
    <definedName name="solver_lhs413" localSheetId="0" hidden="1">monday_model.lp!$OU$2</definedName>
    <definedName name="solver_lhs414" localSheetId="0" hidden="1">monday_model.lp!$OV$2</definedName>
    <definedName name="solver_lhs415" localSheetId="0" hidden="1">monday_model.lp!$OW$2</definedName>
    <definedName name="solver_lhs416" localSheetId="0" hidden="1">monday_model.lp!$OX$2</definedName>
    <definedName name="solver_lhs417" localSheetId="0" hidden="1">monday_model.lp!$OY$2</definedName>
    <definedName name="solver_lhs418" localSheetId="0" hidden="1">monday_model.lp!$OZ$2</definedName>
    <definedName name="solver_lhs419" localSheetId="0" hidden="1">monday_model.lp!$PA$2</definedName>
    <definedName name="solver_lhs42" localSheetId="0" hidden="1">monday_model.lp!$AN$2</definedName>
    <definedName name="solver_lhs420" localSheetId="0" hidden="1">monday_model.lp!$PB$2</definedName>
    <definedName name="solver_lhs421" localSheetId="0" hidden="1">monday_model.lp!$PC$2</definedName>
    <definedName name="solver_lhs422" localSheetId="0" hidden="1">monday_model.lp!$PD$2</definedName>
    <definedName name="solver_lhs423" localSheetId="0" hidden="1">monday_model.lp!$PE$2</definedName>
    <definedName name="solver_lhs424" localSheetId="0" hidden="1">monday_model.lp!$PF$2</definedName>
    <definedName name="solver_lhs425" localSheetId="0" hidden="1">monday_model.lp!$PG$2</definedName>
    <definedName name="solver_lhs426" localSheetId="0" hidden="1">monday_model.lp!$PH$2</definedName>
    <definedName name="solver_lhs427" localSheetId="0" hidden="1">monday_model.lp!$PI$2</definedName>
    <definedName name="solver_lhs428" localSheetId="0" hidden="1">monday_model.lp!$PJ$2</definedName>
    <definedName name="solver_lhs429" localSheetId="0" hidden="1">monday_model.lp!$PK$2</definedName>
    <definedName name="solver_lhs43" localSheetId="0" hidden="1">monday_model.lp!$AO$2</definedName>
    <definedName name="solver_lhs430" localSheetId="0" hidden="1">monday_model.lp!$PL$2</definedName>
    <definedName name="solver_lhs431" localSheetId="0" hidden="1">monday_model.lp!$PM$2</definedName>
    <definedName name="solver_lhs432" localSheetId="0" hidden="1">monday_model.lp!$PN$2</definedName>
    <definedName name="solver_lhs433" localSheetId="0" hidden="1">monday_model.lp!$PO$2</definedName>
    <definedName name="solver_lhs434" localSheetId="0" hidden="1">monday_model.lp!$PP$2</definedName>
    <definedName name="solver_lhs435" localSheetId="0" hidden="1">monday_model.lp!$PQ$2</definedName>
    <definedName name="solver_lhs436" localSheetId="0" hidden="1">monday_model.lp!$PR$2</definedName>
    <definedName name="solver_lhs437" localSheetId="0" hidden="1">monday_model.lp!$PS$2</definedName>
    <definedName name="solver_lhs438" localSheetId="0" hidden="1">monday_model.lp!$PT$2</definedName>
    <definedName name="solver_lhs439" localSheetId="0" hidden="1">monday_model.lp!$PU$2</definedName>
    <definedName name="solver_lhs44" localSheetId="0" hidden="1">monday_model.lp!$AP$2</definedName>
    <definedName name="solver_lhs440" localSheetId="0" hidden="1">monday_model.lp!$PV$2</definedName>
    <definedName name="solver_lhs441" localSheetId="0" hidden="1">monday_model.lp!$PW$2</definedName>
    <definedName name="solver_lhs442" localSheetId="0" hidden="1">monday_model.lp!$PX$2</definedName>
    <definedName name="solver_lhs443" localSheetId="0" hidden="1">monday_model.lp!$PY$2</definedName>
    <definedName name="solver_lhs444" localSheetId="0" hidden="1">monday_model.lp!$PZ$2</definedName>
    <definedName name="solver_lhs445" localSheetId="0" hidden="1">monday_model.lp!$QA$2</definedName>
    <definedName name="solver_lhs446" localSheetId="0" hidden="1">monday_model.lp!$QB$2</definedName>
    <definedName name="solver_lhs447" localSheetId="0" hidden="1">monday_model.lp!$QC$2</definedName>
    <definedName name="solver_lhs448" localSheetId="0" hidden="1">monday_model.lp!$QD$2</definedName>
    <definedName name="solver_lhs449" localSheetId="0" hidden="1">monday_model.lp!$QE$2</definedName>
    <definedName name="solver_lhs45" localSheetId="0" hidden="1">monday_model.lp!$AQ$2</definedName>
    <definedName name="solver_lhs450" localSheetId="0" hidden="1">monday_model.lp!$QF$2</definedName>
    <definedName name="solver_lhs451" localSheetId="0" hidden="1">monday_model.lp!$QG$2</definedName>
    <definedName name="solver_lhs452" localSheetId="0" hidden="1">monday_model.lp!$QH$2</definedName>
    <definedName name="solver_lhs453" localSheetId="0" hidden="1">monday_model.lp!$QI$2</definedName>
    <definedName name="solver_lhs454" localSheetId="0" hidden="1">monday_model.lp!$QJ$2</definedName>
    <definedName name="solver_lhs455" localSheetId="0" hidden="1">monday_model.lp!$QK$2</definedName>
    <definedName name="solver_lhs456" localSheetId="0" hidden="1">monday_model.lp!$QL$2</definedName>
    <definedName name="solver_lhs457" localSheetId="0" hidden="1">monday_model.lp!$QM$2</definedName>
    <definedName name="solver_lhs458" localSheetId="0" hidden="1">monday_model.lp!$QN$2</definedName>
    <definedName name="solver_lhs459" localSheetId="0" hidden="1">monday_model.lp!$QO$2</definedName>
    <definedName name="solver_lhs46" localSheetId="0" hidden="1">monday_model.lp!$AR$2</definedName>
    <definedName name="solver_lhs460" localSheetId="0" hidden="1">monday_model.lp!$QP$2</definedName>
    <definedName name="solver_lhs461" localSheetId="0" hidden="1">monday_model.lp!$QQ$2</definedName>
    <definedName name="solver_lhs462" localSheetId="0" hidden="1">monday_model.lp!$QR$2</definedName>
    <definedName name="solver_lhs463" localSheetId="0" hidden="1">monday_model.lp!$QS$2</definedName>
    <definedName name="solver_lhs464" localSheetId="0" hidden="1">monday_model.lp!$QT$2</definedName>
    <definedName name="solver_lhs465" localSheetId="0" hidden="1">monday_model.lp!$QU$2</definedName>
    <definedName name="solver_lhs466" localSheetId="0" hidden="1">monday_model.lp!$QV$2</definedName>
    <definedName name="solver_lhs467" localSheetId="0" hidden="1">monday_model.lp!$QW$2</definedName>
    <definedName name="solver_lhs468" localSheetId="0" hidden="1">monday_model.lp!$QX$2</definedName>
    <definedName name="solver_lhs469" localSheetId="0" hidden="1">monday_model.lp!$QY$2</definedName>
    <definedName name="solver_lhs47" localSheetId="0" hidden="1">monday_model.lp!$AS$2</definedName>
    <definedName name="solver_lhs470" localSheetId="0" hidden="1">monday_model.lp!$QZ$2</definedName>
    <definedName name="solver_lhs471" localSheetId="0" hidden="1">monday_model.lp!$RA$2</definedName>
    <definedName name="solver_lhs472" localSheetId="0" hidden="1">monday_model.lp!$RB$2</definedName>
    <definedName name="solver_lhs473" localSheetId="0" hidden="1">monday_model.lp!$RC$2</definedName>
    <definedName name="solver_lhs474" localSheetId="0" hidden="1">monday_model.lp!$RD$2</definedName>
    <definedName name="solver_lhs475" localSheetId="0" hidden="1">monday_model.lp!$RE$2</definedName>
    <definedName name="solver_lhs476" localSheetId="0" hidden="1">monday_model.lp!$RF$2</definedName>
    <definedName name="solver_lhs477" localSheetId="0" hidden="1">monday_model.lp!$RG$2</definedName>
    <definedName name="solver_lhs478" localSheetId="0" hidden="1">monday_model.lp!$RH$2</definedName>
    <definedName name="solver_lhs479" localSheetId="0" hidden="1">monday_model.lp!$RI$2</definedName>
    <definedName name="solver_lhs48" localSheetId="0" hidden="1">monday_model.lp!$AT$2</definedName>
    <definedName name="solver_lhs480" localSheetId="0" hidden="1">monday_model.lp!$RJ$2</definedName>
    <definedName name="solver_lhs481" localSheetId="0" hidden="1">monday_model.lp!$RK$2</definedName>
    <definedName name="solver_lhs482" localSheetId="0" hidden="1">monday_model.lp!$RL$2</definedName>
    <definedName name="solver_lhs483" localSheetId="0" hidden="1">monday_model.lp!$RM$2</definedName>
    <definedName name="solver_lhs484" localSheetId="0" hidden="1">monday_model.lp!$RN$2</definedName>
    <definedName name="solver_lhs485" localSheetId="0" hidden="1">monday_model.lp!$RO$2</definedName>
    <definedName name="solver_lhs486" localSheetId="0" hidden="1">monday_model.lp!$RP$2</definedName>
    <definedName name="solver_lhs487" localSheetId="0" hidden="1">monday_model.lp!$RQ$2</definedName>
    <definedName name="solver_lhs488" localSheetId="0" hidden="1">monday_model.lp!$RR$2</definedName>
    <definedName name="solver_lhs489" localSheetId="0" hidden="1">monday_model.lp!$RS$2</definedName>
    <definedName name="solver_lhs49" localSheetId="0" hidden="1">monday_model.lp!$AU$2</definedName>
    <definedName name="solver_lhs490" localSheetId="0" hidden="1">monday_model.lp!$RT$2</definedName>
    <definedName name="solver_lhs491" localSheetId="0" hidden="1">monday_model.lp!$RU$2</definedName>
    <definedName name="solver_lhs492" localSheetId="0" hidden="1">monday_model.lp!$RV$2</definedName>
    <definedName name="solver_lhs493" localSheetId="0" hidden="1">monday_model.lp!$RW$2</definedName>
    <definedName name="solver_lhs494" localSheetId="0" hidden="1">monday_model.lp!$RX$2</definedName>
    <definedName name="solver_lhs495" localSheetId="0" hidden="1">monday_model.lp!$RY$2</definedName>
    <definedName name="solver_lhs496" localSheetId="0" hidden="1">monday_model.lp!$RZ$2</definedName>
    <definedName name="solver_lhs497" localSheetId="0" hidden="1">monday_model.lp!$SA$2</definedName>
    <definedName name="solver_lhs498" localSheetId="0" hidden="1">monday_model.lp!$SB$2</definedName>
    <definedName name="solver_lhs499" localSheetId="0" hidden="1">monday_model.lp!$SC$2</definedName>
    <definedName name="solver_lhs5" localSheetId="0" hidden="1">monday_model.lp!$C$2</definedName>
    <definedName name="solver_lhs50" localSheetId="0" hidden="1">monday_model.lp!$AV$2</definedName>
    <definedName name="solver_lhs500" localSheetId="0" hidden="1">monday_model.lp!$SD$2</definedName>
    <definedName name="solver_lhs501" localSheetId="0" hidden="1">monday_model.lp!$SE$2</definedName>
    <definedName name="solver_lhs502" localSheetId="0" hidden="1">monday_model.lp!$SF$2</definedName>
    <definedName name="solver_lhs503" localSheetId="0" hidden="1">monday_model.lp!$SG$2</definedName>
    <definedName name="solver_lhs504" localSheetId="0" hidden="1">monday_model.lp!$SH$2</definedName>
    <definedName name="solver_lhs505" localSheetId="0" hidden="1">monday_model.lp!$SI$2</definedName>
    <definedName name="solver_lhs506" localSheetId="0" hidden="1">monday_model.lp!$SJ$2</definedName>
    <definedName name="solver_lhs507" localSheetId="0" hidden="1">monday_model.lp!$SK$2</definedName>
    <definedName name="solver_lhs508" localSheetId="0" hidden="1">monday_model.lp!$SL$2</definedName>
    <definedName name="solver_lhs509" localSheetId="0" hidden="1">monday_model.lp!$SM$2</definedName>
    <definedName name="solver_lhs51" localSheetId="0" hidden="1">monday_model.lp!$AW$2</definedName>
    <definedName name="solver_lhs510" localSheetId="0" hidden="1">monday_model.lp!$SN$2</definedName>
    <definedName name="solver_lhs511" localSheetId="0" hidden="1">monday_model.lp!$SO$2</definedName>
    <definedName name="solver_lhs512" localSheetId="0" hidden="1">monday_model.lp!$SP$2</definedName>
    <definedName name="solver_lhs513" localSheetId="0" hidden="1">monday_model.lp!$SQ$2</definedName>
    <definedName name="solver_lhs514" localSheetId="0" hidden="1">monday_model.lp!$SR$2</definedName>
    <definedName name="solver_lhs515" localSheetId="0" hidden="1">monday_model.lp!$SS$2</definedName>
    <definedName name="solver_lhs516" localSheetId="0" hidden="1">monday_model.lp!$ST$2</definedName>
    <definedName name="solver_lhs517" localSheetId="0" hidden="1">monday_model.lp!$SU$2</definedName>
    <definedName name="solver_lhs518" localSheetId="0" hidden="1">monday_model.lp!$SV$2</definedName>
    <definedName name="solver_lhs519" localSheetId="0" hidden="1">monday_model.lp!$SW$2</definedName>
    <definedName name="solver_lhs52" localSheetId="0" hidden="1">monday_model.lp!$AX$2</definedName>
    <definedName name="solver_lhs520" localSheetId="0" hidden="1">monday_model.lp!$SX$2</definedName>
    <definedName name="solver_lhs521" localSheetId="0" hidden="1">monday_model.lp!$SY$2</definedName>
    <definedName name="solver_lhs522" localSheetId="0" hidden="1">monday_model.lp!$SZ$2</definedName>
    <definedName name="solver_lhs523" localSheetId="0" hidden="1">monday_model.lp!$TA$2</definedName>
    <definedName name="solver_lhs524" localSheetId="0" hidden="1">monday_model.lp!$TB$2</definedName>
    <definedName name="solver_lhs525" localSheetId="0" hidden="1">monday_model.lp!$TC$2</definedName>
    <definedName name="solver_lhs526" localSheetId="0" hidden="1">monday_model.lp!$TD$2</definedName>
    <definedName name="solver_lhs527" localSheetId="0" hidden="1">monday_model.lp!$TE$2</definedName>
    <definedName name="solver_lhs528" localSheetId="0" hidden="1">monday_model.lp!$TF$2</definedName>
    <definedName name="solver_lhs529" localSheetId="0" hidden="1">monday_model.lp!$TG$2</definedName>
    <definedName name="solver_lhs53" localSheetId="0" hidden="1">monday_model.lp!$AY$2</definedName>
    <definedName name="solver_lhs530" localSheetId="0" hidden="1">monday_model.lp!$TH$2</definedName>
    <definedName name="solver_lhs531" localSheetId="0" hidden="1">monday_model.lp!$TI$2</definedName>
    <definedName name="solver_lhs532" localSheetId="0" hidden="1">monday_model.lp!$TJ$2</definedName>
    <definedName name="solver_lhs533" localSheetId="0" hidden="1">monday_model.lp!$TK$2</definedName>
    <definedName name="solver_lhs534" localSheetId="0" hidden="1">monday_model.lp!$TL$2</definedName>
    <definedName name="solver_lhs535" localSheetId="0" hidden="1">monday_model.lp!$TM$2</definedName>
    <definedName name="solver_lhs536" localSheetId="0" hidden="1">monday_model.lp!$TN$2</definedName>
    <definedName name="solver_lhs537" localSheetId="0" hidden="1">monday_model.lp!$TO$2</definedName>
    <definedName name="solver_lhs538" localSheetId="0" hidden="1">monday_model.lp!$TP$2</definedName>
    <definedName name="solver_lhs539" localSheetId="0" hidden="1">monday_model.lp!$TQ$2</definedName>
    <definedName name="solver_lhs54" localSheetId="0" hidden="1">monday_model.lp!$AZ$2</definedName>
    <definedName name="solver_lhs540" localSheetId="0" hidden="1">monday_model.lp!$TR$2</definedName>
    <definedName name="solver_lhs541" localSheetId="0" hidden="1">monday_model.lp!$TS$2</definedName>
    <definedName name="solver_lhs542" localSheetId="0" hidden="1">monday_model.lp!$TT$2</definedName>
    <definedName name="solver_lhs543" localSheetId="0" hidden="1">monday_model.lp!$TU$2</definedName>
    <definedName name="solver_lhs544" localSheetId="0" hidden="1">monday_model.lp!$TV$2</definedName>
    <definedName name="solver_lhs545" localSheetId="0" hidden="1">monday_model.lp!$TW$2</definedName>
    <definedName name="solver_lhs546" localSheetId="0" hidden="1">monday_model.lp!$TX$2</definedName>
    <definedName name="solver_lhs547" localSheetId="0" hidden="1">monday_model.lp!$TY$2</definedName>
    <definedName name="solver_lhs548" localSheetId="0" hidden="1">monday_model.lp!$TZ$2</definedName>
    <definedName name="solver_lhs549" localSheetId="0" hidden="1">monday_model.lp!$UA$2</definedName>
    <definedName name="solver_lhs55" localSheetId="0" hidden="1">monday_model.lp!$BA$2</definedName>
    <definedName name="solver_lhs550" localSheetId="0" hidden="1">monday_model.lp!$UB$2</definedName>
    <definedName name="solver_lhs551" localSheetId="0" hidden="1">monday_model.lp!$UC$2</definedName>
    <definedName name="solver_lhs552" localSheetId="0" hidden="1">monday_model.lp!$UD$2</definedName>
    <definedName name="solver_lhs553" localSheetId="0" hidden="1">monday_model.lp!$UE$2</definedName>
    <definedName name="solver_lhs554" localSheetId="0" hidden="1">monday_model.lp!$UF$2</definedName>
    <definedName name="solver_lhs555" localSheetId="0" hidden="1">monday_model.lp!$UG$2</definedName>
    <definedName name="solver_lhs556" localSheetId="0" hidden="1">monday_model.lp!$UH$2</definedName>
    <definedName name="solver_lhs557" localSheetId="0" hidden="1">monday_model.lp!$UI$2</definedName>
    <definedName name="solver_lhs558" localSheetId="0" hidden="1">monday_model.lp!$UJ$2</definedName>
    <definedName name="solver_lhs559" localSheetId="0" hidden="1">monday_model.lp!$UK$2</definedName>
    <definedName name="solver_lhs56" localSheetId="0" hidden="1">monday_model.lp!$BB$2</definedName>
    <definedName name="solver_lhs560" localSheetId="0" hidden="1">monday_model.lp!$UL$2</definedName>
    <definedName name="solver_lhs561" localSheetId="0" hidden="1">monday_model.lp!$UM$2</definedName>
    <definedName name="solver_lhs562" localSheetId="0" hidden="1">monday_model.lp!$UN$2</definedName>
    <definedName name="solver_lhs563" localSheetId="0" hidden="1">monday_model.lp!$UO$2</definedName>
    <definedName name="solver_lhs564" localSheetId="0" hidden="1">monday_model.lp!$UP$2</definedName>
    <definedName name="solver_lhs565" localSheetId="0" hidden="1">monday_model.lp!$UQ$2</definedName>
    <definedName name="solver_lhs566" localSheetId="0" hidden="1">monday_model.lp!$UR$2</definedName>
    <definedName name="solver_lhs567" localSheetId="0" hidden="1">monday_model.lp!$US$2</definedName>
    <definedName name="solver_lhs568" localSheetId="0" hidden="1">monday_model.lp!$UT$2</definedName>
    <definedName name="solver_lhs569" localSheetId="0" hidden="1">monday_model.lp!$UU$2</definedName>
    <definedName name="solver_lhs57" localSheetId="0" hidden="1">monday_model.lp!$BC$2</definedName>
    <definedName name="solver_lhs570" localSheetId="0" hidden="1">monday_model.lp!$UV$2</definedName>
    <definedName name="solver_lhs571" localSheetId="0" hidden="1">monday_model.lp!$UW$2</definedName>
    <definedName name="solver_lhs572" localSheetId="0" hidden="1">monday_model.lp!$UX$2</definedName>
    <definedName name="solver_lhs573" localSheetId="0" hidden="1">monday_model.lp!$UY$2</definedName>
    <definedName name="solver_lhs574" localSheetId="0" hidden="1">monday_model.lp!$UZ$2</definedName>
    <definedName name="solver_lhs575" localSheetId="0" hidden="1">monday_model.lp!$VA$2</definedName>
    <definedName name="solver_lhs576" localSheetId="0" hidden="1">monday_model.lp!$VB$2</definedName>
    <definedName name="solver_lhs577" localSheetId="0" hidden="1">monday_model.lp!$VC$2</definedName>
    <definedName name="solver_lhs578" localSheetId="0" hidden="1">monday_model.lp!$VD$2</definedName>
    <definedName name="solver_lhs579" localSheetId="0" hidden="1">monday_model.lp!$VE$2</definedName>
    <definedName name="solver_lhs58" localSheetId="0" hidden="1">monday_model.lp!$BD$2</definedName>
    <definedName name="solver_lhs580" localSheetId="0" hidden="1">monday_model.lp!$VF$2</definedName>
    <definedName name="solver_lhs581" localSheetId="0" hidden="1">monday_model.lp!$VG$2</definedName>
    <definedName name="solver_lhs582" localSheetId="0" hidden="1">monday_model.lp!$VH$2</definedName>
    <definedName name="solver_lhs583" localSheetId="0" hidden="1">monday_model.lp!$VI$2</definedName>
    <definedName name="solver_lhs584" localSheetId="0" hidden="1">monday_model.lp!$VJ$2</definedName>
    <definedName name="solver_lhs585" localSheetId="0" hidden="1">monday_model.lp!$VK$2</definedName>
    <definedName name="solver_lhs586" localSheetId="0" hidden="1">monday_model.lp!$VL$2</definedName>
    <definedName name="solver_lhs587" localSheetId="0" hidden="1">monday_model.lp!$VM$2</definedName>
    <definedName name="solver_lhs588" localSheetId="0" hidden="1">monday_model.lp!$VN$2</definedName>
    <definedName name="solver_lhs589" localSheetId="0" hidden="1">monday_model.lp!$VO$2</definedName>
    <definedName name="solver_lhs59" localSheetId="0" hidden="1">monday_model.lp!$BE$2</definedName>
    <definedName name="solver_lhs590" localSheetId="0" hidden="1">monday_model.lp!$VP$2</definedName>
    <definedName name="solver_lhs591" localSheetId="0" hidden="1">monday_model.lp!$VQ$2</definedName>
    <definedName name="solver_lhs592" localSheetId="0" hidden="1">monday_model.lp!$VR$2</definedName>
    <definedName name="solver_lhs593" localSheetId="0" hidden="1">monday_model.lp!$VS$2</definedName>
    <definedName name="solver_lhs594" localSheetId="0" hidden="1">monday_model.lp!$VT$2</definedName>
    <definedName name="solver_lhs595" localSheetId="0" hidden="1">monday_model.lp!$VU$2</definedName>
    <definedName name="solver_lhs596" localSheetId="0" hidden="1">monday_model.lp!$VV$2</definedName>
    <definedName name="solver_lhs597" localSheetId="0" hidden="1">monday_model.lp!$VW$2</definedName>
    <definedName name="solver_lhs598" localSheetId="0" hidden="1">monday_model.lp!$VX$2</definedName>
    <definedName name="solver_lhs599" localSheetId="0" hidden="1">monday_model.lp!$VY$2</definedName>
    <definedName name="solver_lhs6" localSheetId="0" hidden="1">monday_model.lp!$D$2</definedName>
    <definedName name="solver_lhs60" localSheetId="0" hidden="1">monday_model.lp!$BF$2</definedName>
    <definedName name="solver_lhs600" localSheetId="0" hidden="1">monday_model.lp!$VZ$2</definedName>
    <definedName name="solver_lhs601" localSheetId="0" hidden="1">monday_model.lp!$WA$2</definedName>
    <definedName name="solver_lhs602" localSheetId="0" hidden="1">monday_model.lp!$WB$2</definedName>
    <definedName name="solver_lhs603" localSheetId="0" hidden="1">monday_model.lp!$WC$2</definedName>
    <definedName name="solver_lhs604" localSheetId="0" hidden="1">monday_model.lp!$WD$2</definedName>
    <definedName name="solver_lhs605" localSheetId="0" hidden="1">monday_model.lp!$WE$2</definedName>
    <definedName name="solver_lhs606" localSheetId="0" hidden="1">monday_model.lp!$WF$2</definedName>
    <definedName name="solver_lhs607" localSheetId="0" hidden="1">monday_model.lp!$WG$2</definedName>
    <definedName name="solver_lhs608" localSheetId="0" hidden="1">monday_model.lp!$WH$2</definedName>
    <definedName name="solver_lhs609" localSheetId="0" hidden="1">monday_model.lp!$WI$2</definedName>
    <definedName name="solver_lhs61" localSheetId="0" hidden="1">monday_model.lp!$BG$2</definedName>
    <definedName name="solver_lhs610" localSheetId="0" hidden="1">monday_model.lp!$WJ$2</definedName>
    <definedName name="solver_lhs611" localSheetId="0" hidden="1">monday_model.lp!$WK$2</definedName>
    <definedName name="solver_lhs612" localSheetId="0" hidden="1">monday_model.lp!$WL$2</definedName>
    <definedName name="solver_lhs613" localSheetId="0" hidden="1">monday_model.lp!$WM$2</definedName>
    <definedName name="solver_lhs614" localSheetId="0" hidden="1">monday_model.lp!$WN$2</definedName>
    <definedName name="solver_lhs615" localSheetId="0" hidden="1">monday_model.lp!$WO$2</definedName>
    <definedName name="solver_lhs616" localSheetId="0" hidden="1">monday_model.lp!$WP$2</definedName>
    <definedName name="solver_lhs617" localSheetId="0" hidden="1">monday_model.lp!$WQ$2</definedName>
    <definedName name="solver_lhs618" localSheetId="0" hidden="1">monday_model.lp!$WR$2</definedName>
    <definedName name="solver_lhs619" localSheetId="0" hidden="1">monday_model.lp!$WS$2</definedName>
    <definedName name="solver_lhs62" localSheetId="0" hidden="1">monday_model.lp!$BH$2</definedName>
    <definedName name="solver_lhs620" localSheetId="0" hidden="1">monday_model.lp!$WT$2</definedName>
    <definedName name="solver_lhs621" localSheetId="0" hidden="1">monday_model.lp!$WU$2</definedName>
    <definedName name="solver_lhs622" localSheetId="0" hidden="1">monday_model.lp!$WV$2</definedName>
    <definedName name="solver_lhs623" localSheetId="0" hidden="1">monday_model.lp!$WW$2</definedName>
    <definedName name="solver_lhs624" localSheetId="0" hidden="1">monday_model.lp!$WX$2</definedName>
    <definedName name="solver_lhs625" localSheetId="0" hidden="1">monday_model.lp!$WY$2</definedName>
    <definedName name="solver_lhs626" localSheetId="0" hidden="1">monday_model.lp!$WZ$2</definedName>
    <definedName name="solver_lhs627" localSheetId="0" hidden="1">monday_model.lp!$XA$2</definedName>
    <definedName name="solver_lhs628" localSheetId="0" hidden="1">monday_model.lp!$XB$2</definedName>
    <definedName name="solver_lhs629" localSheetId="0" hidden="1">monday_model.lp!$XC$2</definedName>
    <definedName name="solver_lhs63" localSheetId="0" hidden="1">monday_model.lp!$BI$2</definedName>
    <definedName name="solver_lhs630" localSheetId="0" hidden="1">monday_model.lp!$XD$2</definedName>
    <definedName name="solver_lhs631" localSheetId="0" hidden="1">monday_model.lp!$XE$2</definedName>
    <definedName name="solver_lhs632" localSheetId="0" hidden="1">monday_model.lp!$XF$2</definedName>
    <definedName name="solver_lhs633" localSheetId="0" hidden="1">monday_model.lp!$XG$2</definedName>
    <definedName name="solver_lhs634" localSheetId="0" hidden="1">monday_model.lp!$XH$2</definedName>
    <definedName name="solver_lhs635" localSheetId="0" hidden="1">monday_model.lp!$XI$2</definedName>
    <definedName name="solver_lhs636" localSheetId="0" hidden="1">monday_model.lp!$XJ$2</definedName>
    <definedName name="solver_lhs637" localSheetId="0" hidden="1">monday_model.lp!$XK$2</definedName>
    <definedName name="solver_lhs638" localSheetId="0" hidden="1">monday_model.lp!$XL$2</definedName>
    <definedName name="solver_lhs639" localSheetId="0" hidden="1">monday_model.lp!$XM$2</definedName>
    <definedName name="solver_lhs64" localSheetId="0" hidden="1">monday_model.lp!$BJ$2</definedName>
    <definedName name="solver_lhs640" localSheetId="0" hidden="1">monday_model.lp!$XN$2</definedName>
    <definedName name="solver_lhs641" localSheetId="0" hidden="1">monday_model.lp!$XO$2</definedName>
    <definedName name="solver_lhs642" localSheetId="0" hidden="1">monday_model.lp!$XP$2</definedName>
    <definedName name="solver_lhs643" localSheetId="0" hidden="1">monday_model.lp!$XQ$2</definedName>
    <definedName name="solver_lhs644" localSheetId="0" hidden="1">monday_model.lp!$XR$2</definedName>
    <definedName name="solver_lhs645" localSheetId="0" hidden="1">monday_model.lp!$XS$2</definedName>
    <definedName name="solver_lhs646" localSheetId="0" hidden="1">monday_model.lp!$XT$2</definedName>
    <definedName name="solver_lhs647" localSheetId="0" hidden="1">monday_model.lp!$XU$2</definedName>
    <definedName name="solver_lhs648" localSheetId="0" hidden="1">monday_model.lp!$XV$2</definedName>
    <definedName name="solver_lhs649" localSheetId="0" hidden="1">monday_model.lp!$XW$2</definedName>
    <definedName name="solver_lhs65" localSheetId="0" hidden="1">monday_model.lp!$BK$2</definedName>
    <definedName name="solver_lhs650" localSheetId="0" hidden="1">monday_model.lp!$XX$2</definedName>
    <definedName name="solver_lhs651" localSheetId="0" hidden="1">monday_model.lp!$XY$2</definedName>
    <definedName name="solver_lhs652" localSheetId="0" hidden="1">monday_model.lp!$XZ$2</definedName>
    <definedName name="solver_lhs653" localSheetId="0" hidden="1">monday_model.lp!$YA$2</definedName>
    <definedName name="solver_lhs654" localSheetId="0" hidden="1">monday_model.lp!$YB$2</definedName>
    <definedName name="solver_lhs655" localSheetId="0" hidden="1">monday_model.lp!$YC$2</definedName>
    <definedName name="solver_lhs656" localSheetId="0" hidden="1">monday_model.lp!$YD$2</definedName>
    <definedName name="solver_lhs657" localSheetId="0" hidden="1">monday_model.lp!$YE$2</definedName>
    <definedName name="solver_lhs658" localSheetId="0" hidden="1">monday_model.lp!$YF$2</definedName>
    <definedName name="solver_lhs659" localSheetId="0" hidden="1">monday_model.lp!$YG$2</definedName>
    <definedName name="solver_lhs66" localSheetId="0" hidden="1">monday_model.lp!$BL$2</definedName>
    <definedName name="solver_lhs660" localSheetId="0" hidden="1">monday_model.lp!$YH$2</definedName>
    <definedName name="solver_lhs661" localSheetId="0" hidden="1">monday_model.lp!$YI$2</definedName>
    <definedName name="solver_lhs662" localSheetId="0" hidden="1">monday_model.lp!$YJ$2</definedName>
    <definedName name="solver_lhs663" localSheetId="0" hidden="1">monday_model.lp!$YK$2</definedName>
    <definedName name="solver_lhs664" localSheetId="0" hidden="1">monday_model.lp!$YL$2</definedName>
    <definedName name="solver_lhs665" localSheetId="0" hidden="1">monday_model.lp!$YM$2</definedName>
    <definedName name="solver_lhs666" localSheetId="0" hidden="1">monday_model.lp!$YN$2</definedName>
    <definedName name="solver_lhs667" localSheetId="0" hidden="1">monday_model.lp!$YO$2</definedName>
    <definedName name="solver_lhs668" localSheetId="0" hidden="1">monday_model.lp!$YP$2</definedName>
    <definedName name="solver_lhs669" localSheetId="0" hidden="1">monday_model.lp!$YQ$2</definedName>
    <definedName name="solver_lhs67" localSheetId="0" hidden="1">monday_model.lp!$BM$2</definedName>
    <definedName name="solver_lhs670" localSheetId="0" hidden="1">monday_model.lp!$YR$2</definedName>
    <definedName name="solver_lhs671" localSheetId="0" hidden="1">monday_model.lp!$YS$2</definedName>
    <definedName name="solver_lhs672" localSheetId="0" hidden="1">monday_model.lp!$YT$2</definedName>
    <definedName name="solver_lhs673" localSheetId="0" hidden="1">monday_model.lp!$YU$2</definedName>
    <definedName name="solver_lhs674" localSheetId="0" hidden="1">monday_model.lp!$YV$2</definedName>
    <definedName name="solver_lhs675" localSheetId="0" hidden="1">monday_model.lp!$YW$2</definedName>
    <definedName name="solver_lhs676" localSheetId="0" hidden="1">monday_model.lp!$YX$2</definedName>
    <definedName name="solver_lhs677" localSheetId="0" hidden="1">monday_model.lp!$YY$2</definedName>
    <definedName name="solver_lhs678" localSheetId="0" hidden="1">monday_model.lp!$YZ$2</definedName>
    <definedName name="solver_lhs679" localSheetId="0" hidden="1">monday_model.lp!$ZA$2</definedName>
    <definedName name="solver_lhs68" localSheetId="0" hidden="1">monday_model.lp!$BN$2</definedName>
    <definedName name="solver_lhs680" localSheetId="0" hidden="1">monday_model.lp!$ZB$2</definedName>
    <definedName name="solver_lhs681" localSheetId="0" hidden="1">monday_model.lp!$ZC$2</definedName>
    <definedName name="solver_lhs682" localSheetId="0" hidden="1">monday_model.lp!$ZD$2</definedName>
    <definedName name="solver_lhs683" localSheetId="0" hidden="1">monday_model.lp!$ZE$2</definedName>
    <definedName name="solver_lhs684" localSheetId="0" hidden="1">monday_model.lp!$ZF$2</definedName>
    <definedName name="solver_lhs685" localSheetId="0" hidden="1">monday_model.lp!$ZG$2</definedName>
    <definedName name="solver_lhs686" localSheetId="0" hidden="1">monday_model.lp!$ZH$2</definedName>
    <definedName name="solver_lhs687" localSheetId="0" hidden="1">monday_model.lp!$ZI$2</definedName>
    <definedName name="solver_lhs688" localSheetId="0" hidden="1">monday_model.lp!$ZJ$2</definedName>
    <definedName name="solver_lhs689" localSheetId="0" hidden="1">monday_model.lp!$ZK$2</definedName>
    <definedName name="solver_lhs69" localSheetId="0" hidden="1">monday_model.lp!$BO$2</definedName>
    <definedName name="solver_lhs690" localSheetId="0" hidden="1">monday_model.lp!$ZL$2</definedName>
    <definedName name="solver_lhs691" localSheetId="0" hidden="1">monday_model.lp!$ZM$2</definedName>
    <definedName name="solver_lhs692" localSheetId="0" hidden="1">monday_model.lp!$ZN$2</definedName>
    <definedName name="solver_lhs693" localSheetId="0" hidden="1">monday_model.lp!$ZO$2</definedName>
    <definedName name="solver_lhs694" localSheetId="0" hidden="1">monday_model.lp!$ZP$2</definedName>
    <definedName name="solver_lhs695" localSheetId="0" hidden="1">monday_model.lp!$ZQ$2</definedName>
    <definedName name="solver_lhs696" localSheetId="0" hidden="1">monday_model.lp!$ZR$2</definedName>
    <definedName name="solver_lhs697" localSheetId="0" hidden="1">monday_model.lp!$ZS$2</definedName>
    <definedName name="solver_lhs698" localSheetId="0" hidden="1">monday_model.lp!$ZT$2</definedName>
    <definedName name="solver_lhs699" localSheetId="0" hidden="1">monday_model.lp!$ZU$2</definedName>
    <definedName name="solver_lhs7" localSheetId="0" hidden="1">monday_model.lp!$E$2</definedName>
    <definedName name="solver_lhs70" localSheetId="0" hidden="1">monday_model.lp!$BP$2</definedName>
    <definedName name="solver_lhs700" localSheetId="0" hidden="1">monday_model.lp!$ZV$2</definedName>
    <definedName name="solver_lhs701" localSheetId="0" hidden="1">monday_model.lp!$ZW$2</definedName>
    <definedName name="solver_lhs702" localSheetId="0" hidden="1">monday_model.lp!$ZX$2</definedName>
    <definedName name="solver_lhs703" localSheetId="0" hidden="1">monday_model.lp!$ZY$2</definedName>
    <definedName name="solver_lhs704" localSheetId="0" hidden="1">monday_model.lp!$ZZ$2</definedName>
    <definedName name="solver_lhs705" localSheetId="0" hidden="1">monday_model.lp!$AAA$2</definedName>
    <definedName name="solver_lhs706" localSheetId="0" hidden="1">monday_model.lp!$AAB$2</definedName>
    <definedName name="solver_lhs707" localSheetId="0" hidden="1">monday_model.lp!$AAC$2</definedName>
    <definedName name="solver_lhs708" localSheetId="0" hidden="1">monday_model.lp!$AAD$2</definedName>
    <definedName name="solver_lhs709" localSheetId="0" hidden="1">monday_model.lp!$AAE$2</definedName>
    <definedName name="solver_lhs71" localSheetId="0" hidden="1">monday_model.lp!$BQ$2</definedName>
    <definedName name="solver_lhs710" localSheetId="0" hidden="1">monday_model.lp!$AAF$2</definedName>
    <definedName name="solver_lhs711" localSheetId="0" hidden="1">monday_model.lp!$AAG$2</definedName>
    <definedName name="solver_lhs712" localSheetId="0" hidden="1">monday_model.lp!$AAH$2</definedName>
    <definedName name="solver_lhs713" localSheetId="0" hidden="1">monday_model.lp!$AAI$2</definedName>
    <definedName name="solver_lhs714" localSheetId="0" hidden="1">monday_model.lp!$AAJ$2</definedName>
    <definedName name="solver_lhs715" localSheetId="0" hidden="1">monday_model.lp!$AAK$2</definedName>
    <definedName name="solver_lhs716" localSheetId="0" hidden="1">monday_model.lp!$AAL$2</definedName>
    <definedName name="solver_lhs717" localSheetId="0" hidden="1">monday_model.lp!$AAM$2</definedName>
    <definedName name="solver_lhs718" localSheetId="0" hidden="1">monday_model.lp!$AAN$2</definedName>
    <definedName name="solver_lhs719" localSheetId="0" hidden="1">monday_model.lp!$AAO$2</definedName>
    <definedName name="solver_lhs72" localSheetId="0" hidden="1">monday_model.lp!$BR$2</definedName>
    <definedName name="solver_lhs720" localSheetId="0" hidden="1">monday_model.lp!$AAP$2</definedName>
    <definedName name="solver_lhs721" localSheetId="0" hidden="1">monday_model.lp!$AAQ$2</definedName>
    <definedName name="solver_lhs722" localSheetId="0" hidden="1">monday_model.lp!$AAR$2</definedName>
    <definedName name="solver_lhs723" localSheetId="0" hidden="1">monday_model.lp!$AAS$2</definedName>
    <definedName name="solver_lhs724" localSheetId="0" hidden="1">monday_model.lp!$AAT$2</definedName>
    <definedName name="solver_lhs725" localSheetId="0" hidden="1">monday_model.lp!$AAU$2</definedName>
    <definedName name="solver_lhs726" localSheetId="0" hidden="1">monday_model.lp!$AAV$2</definedName>
    <definedName name="solver_lhs727" localSheetId="0" hidden="1">monday_model.lp!$AAW$2</definedName>
    <definedName name="solver_lhs728" localSheetId="0" hidden="1">monday_model.lp!$AAX$2</definedName>
    <definedName name="solver_lhs729" localSheetId="0" hidden="1">monday_model.lp!$AAY$2</definedName>
    <definedName name="solver_lhs73" localSheetId="0" hidden="1">monday_model.lp!$BS$2</definedName>
    <definedName name="solver_lhs730" localSheetId="0" hidden="1">monday_model.lp!$AAZ$2</definedName>
    <definedName name="solver_lhs731" localSheetId="0" hidden="1">monday_model.lp!$ABA$2</definedName>
    <definedName name="solver_lhs732" localSheetId="0" hidden="1">monday_model.lp!$ABB$2</definedName>
    <definedName name="solver_lhs733" localSheetId="0" hidden="1">monday_model.lp!$ABC$2</definedName>
    <definedName name="solver_lhs734" localSheetId="0" hidden="1">monday_model.lp!$ABD$2</definedName>
    <definedName name="solver_lhs735" localSheetId="0" hidden="1">monday_model.lp!$ABE$2</definedName>
    <definedName name="solver_lhs736" localSheetId="0" hidden="1">monday_model.lp!$ABF$2</definedName>
    <definedName name="solver_lhs737" localSheetId="0" hidden="1">monday_model.lp!$ABG$2</definedName>
    <definedName name="solver_lhs738" localSheetId="0" hidden="1">monday_model.lp!$ABH$2</definedName>
    <definedName name="solver_lhs739" localSheetId="0" hidden="1">monday_model.lp!$ABI$2</definedName>
    <definedName name="solver_lhs74" localSheetId="0" hidden="1">monday_model.lp!$BT$2</definedName>
    <definedName name="solver_lhs740" localSheetId="0" hidden="1">monday_model.lp!$ABJ$2</definedName>
    <definedName name="solver_lhs741" localSheetId="0" hidden="1">monday_model.lp!$ABK$2</definedName>
    <definedName name="solver_lhs742" localSheetId="0" hidden="1">monday_model.lp!$ABL$2</definedName>
    <definedName name="solver_lhs743" localSheetId="0" hidden="1">monday_model.lp!$ABM$2</definedName>
    <definedName name="solver_lhs744" localSheetId="0" hidden="1">monday_model.lp!$ABN$2</definedName>
    <definedName name="solver_lhs745" localSheetId="0" hidden="1">monday_model.lp!$ABO$2</definedName>
    <definedName name="solver_lhs746" localSheetId="0" hidden="1">monday_model.lp!$ABP$2</definedName>
    <definedName name="solver_lhs747" localSheetId="0" hidden="1">monday_model.lp!$ABQ$2</definedName>
    <definedName name="solver_lhs748" localSheetId="0" hidden="1">monday_model.lp!$ABR$2</definedName>
    <definedName name="solver_lhs749" localSheetId="0" hidden="1">monday_model.lp!$ABS$2</definedName>
    <definedName name="solver_lhs75" localSheetId="0" hidden="1">monday_model.lp!$BU$2</definedName>
    <definedName name="solver_lhs750" localSheetId="0" hidden="1">monday_model.lp!$ABT$2</definedName>
    <definedName name="solver_lhs751" localSheetId="0" hidden="1">monday_model.lp!$ABU$2</definedName>
    <definedName name="solver_lhs752" localSheetId="0" hidden="1">monday_model.lp!$ABV$2</definedName>
    <definedName name="solver_lhs753" localSheetId="0" hidden="1">monday_model.lp!$ABW$2</definedName>
    <definedName name="solver_lhs754" localSheetId="0" hidden="1">monday_model.lp!$ABX$2</definedName>
    <definedName name="solver_lhs755" localSheetId="0" hidden="1">monday_model.lp!$ABY$2</definedName>
    <definedName name="solver_lhs756" localSheetId="0" hidden="1">monday_model.lp!$ABZ$2</definedName>
    <definedName name="solver_lhs757" localSheetId="0" hidden="1">monday_model.lp!$ACA$2</definedName>
    <definedName name="solver_lhs758" localSheetId="0" hidden="1">monday_model.lp!$ACB$2</definedName>
    <definedName name="solver_lhs759" localSheetId="0" hidden="1">monday_model.lp!$ACC$2</definedName>
    <definedName name="solver_lhs76" localSheetId="0" hidden="1">monday_model.lp!$BV$2</definedName>
    <definedName name="solver_lhs760" localSheetId="0" hidden="1">monday_model.lp!$ACD$2</definedName>
    <definedName name="solver_lhs761" localSheetId="0" hidden="1">monday_model.lp!$ACE$2</definedName>
    <definedName name="solver_lhs762" localSheetId="0" hidden="1">monday_model.lp!$ACF$2</definedName>
    <definedName name="solver_lhs763" localSheetId="0" hidden="1">monday_model.lp!$ACG$2</definedName>
    <definedName name="solver_lhs764" localSheetId="0" hidden="1">monday_model.lp!$ACH$2</definedName>
    <definedName name="solver_lhs765" localSheetId="0" hidden="1">monday_model.lp!$ACI$2</definedName>
    <definedName name="solver_lhs766" localSheetId="0" hidden="1">monday_model.lp!$ACJ$2</definedName>
    <definedName name="solver_lhs767" localSheetId="0" hidden="1">monday_model.lp!$ACK$2</definedName>
    <definedName name="solver_lhs768" localSheetId="0" hidden="1">monday_model.lp!$ACL$2</definedName>
    <definedName name="solver_lhs769" localSheetId="0" hidden="1">monday_model.lp!$ACM$2</definedName>
    <definedName name="solver_lhs77" localSheetId="0" hidden="1">monday_model.lp!$BW$2</definedName>
    <definedName name="solver_lhs770" localSheetId="0" hidden="1">monday_model.lp!$ACN$2</definedName>
    <definedName name="solver_lhs771" localSheetId="0" hidden="1">monday_model.lp!$ACO$2</definedName>
    <definedName name="solver_lhs772" localSheetId="0" hidden="1">monday_model.lp!$ACP$2</definedName>
    <definedName name="solver_lhs773" localSheetId="0" hidden="1">monday_model.lp!$ACQ$2</definedName>
    <definedName name="solver_lhs774" localSheetId="0" hidden="1">monday_model.lp!$ACR$2</definedName>
    <definedName name="solver_lhs775" localSheetId="0" hidden="1">monday_model.lp!$ACS$2</definedName>
    <definedName name="solver_lhs776" localSheetId="0" hidden="1">monday_model.lp!$ACT$2</definedName>
    <definedName name="solver_lhs777" localSheetId="0" hidden="1">monday_model.lp!$ACU$2</definedName>
    <definedName name="solver_lhs778" localSheetId="0" hidden="1">monday_model.lp!$ACV$2</definedName>
    <definedName name="solver_lhs779" localSheetId="0" hidden="1">monday_model.lp!$ACW$2</definedName>
    <definedName name="solver_lhs78" localSheetId="0" hidden="1">monday_model.lp!$BX$2</definedName>
    <definedName name="solver_lhs780" localSheetId="0" hidden="1">monday_model.lp!$ACX$2</definedName>
    <definedName name="solver_lhs781" localSheetId="0" hidden="1">monday_model.lp!$ACY$2</definedName>
    <definedName name="solver_lhs782" localSheetId="0" hidden="1">monday_model.lp!$ACZ$2</definedName>
    <definedName name="solver_lhs783" localSheetId="0" hidden="1">monday_model.lp!$ADA$2</definedName>
    <definedName name="solver_lhs784" localSheetId="0" hidden="1">monday_model.lp!$ADB$2</definedName>
    <definedName name="solver_lhs785" localSheetId="0" hidden="1">monday_model.lp!$ADC$2</definedName>
    <definedName name="solver_lhs786" localSheetId="0" hidden="1">monday_model.lp!$ADD$2</definedName>
    <definedName name="solver_lhs787" localSheetId="0" hidden="1">monday_model.lp!$ADE$2</definedName>
    <definedName name="solver_lhs788" localSheetId="0" hidden="1">monday_model.lp!$ADF$2</definedName>
    <definedName name="solver_lhs789" localSheetId="0" hidden="1">monday_model.lp!$ADG$2</definedName>
    <definedName name="solver_lhs79" localSheetId="0" hidden="1">monday_model.lp!$BY$2</definedName>
    <definedName name="solver_lhs790" localSheetId="0" hidden="1">monday_model.lp!$ADH$2</definedName>
    <definedName name="solver_lhs791" localSheetId="0" hidden="1">monday_model.lp!$ADI$2</definedName>
    <definedName name="solver_lhs792" localSheetId="0" hidden="1">monday_model.lp!$ADJ$2</definedName>
    <definedName name="solver_lhs793" localSheetId="0" hidden="1">monday_model.lp!$ADK$2</definedName>
    <definedName name="solver_lhs794" localSheetId="0" hidden="1">monday_model.lp!$ADL$2</definedName>
    <definedName name="solver_lhs795" localSheetId="0" hidden="1">monday_model.lp!$ADM$2</definedName>
    <definedName name="solver_lhs796" localSheetId="0" hidden="1">monday_model.lp!$ADN$2</definedName>
    <definedName name="solver_lhs797" localSheetId="0" hidden="1">monday_model.lp!$ADO$2</definedName>
    <definedName name="solver_lhs798" localSheetId="0" hidden="1">monday_model.lp!$ADP$2</definedName>
    <definedName name="solver_lhs799" localSheetId="0" hidden="1">monday_model.lp!$ADQ$2</definedName>
    <definedName name="solver_lhs8" localSheetId="0" hidden="1">monday_model.lp!$F$2</definedName>
    <definedName name="solver_lhs80" localSheetId="0" hidden="1">monday_model.lp!$BZ$2</definedName>
    <definedName name="solver_lhs800" localSheetId="0" hidden="1">monday_model.lp!$ADR$2</definedName>
    <definedName name="solver_lhs801" localSheetId="0" hidden="1">monday_model.lp!$ADS$2</definedName>
    <definedName name="solver_lhs802" localSheetId="0" hidden="1">monday_model.lp!$ADT$2</definedName>
    <definedName name="solver_lhs803" localSheetId="0" hidden="1">monday_model.lp!$ADU$2</definedName>
    <definedName name="solver_lhs804" localSheetId="0" hidden="1">monday_model.lp!$ADV$2</definedName>
    <definedName name="solver_lhs805" localSheetId="0" hidden="1">monday_model.lp!$ADW$2</definedName>
    <definedName name="solver_lhs806" localSheetId="0" hidden="1">monday_model.lp!$ADX$2</definedName>
    <definedName name="solver_lhs807" localSheetId="0" hidden="1">monday_model.lp!$ADY$2</definedName>
    <definedName name="solver_lhs808" localSheetId="0" hidden="1">monday_model.lp!$ADZ$2</definedName>
    <definedName name="solver_lhs809" localSheetId="0" hidden="1">monday_model.lp!$AEA$2</definedName>
    <definedName name="solver_lhs81" localSheetId="0" hidden="1">monday_model.lp!$CA$2</definedName>
    <definedName name="solver_lhs810" localSheetId="0" hidden="1">monday_model.lp!$AEB$2</definedName>
    <definedName name="solver_lhs811" localSheetId="0" hidden="1">monday_model.lp!$AEC$2</definedName>
    <definedName name="solver_lhs812" localSheetId="0" hidden="1">monday_model.lp!$AED$2</definedName>
    <definedName name="solver_lhs813" localSheetId="0" hidden="1">monday_model.lp!$AEE$2</definedName>
    <definedName name="solver_lhs814" localSheetId="0" hidden="1">monday_model.lp!$AEF$2</definedName>
    <definedName name="solver_lhs815" localSheetId="0" hidden="1">monday_model.lp!$AEG$2</definedName>
    <definedName name="solver_lhs816" localSheetId="0" hidden="1">monday_model.lp!$AEH$2</definedName>
    <definedName name="solver_lhs817" localSheetId="0" hidden="1">monday_model.lp!$AEI$2</definedName>
    <definedName name="solver_lhs818" localSheetId="0" hidden="1">monday_model.lp!$AEJ$2</definedName>
    <definedName name="solver_lhs819" localSheetId="0" hidden="1">monday_model.lp!$AEK$2</definedName>
    <definedName name="solver_lhs82" localSheetId="0" hidden="1">monday_model.lp!$CB$2</definedName>
    <definedName name="solver_lhs820" localSheetId="0" hidden="1">monday_model.lp!$AEL$2</definedName>
    <definedName name="solver_lhs821" localSheetId="0" hidden="1">monday_model.lp!$AEM$2</definedName>
    <definedName name="solver_lhs822" localSheetId="0" hidden="1">monday_model.lp!$AEN$2</definedName>
    <definedName name="solver_lhs823" localSheetId="0" hidden="1">monday_model.lp!$AEO$2</definedName>
    <definedName name="solver_lhs824" localSheetId="0" hidden="1">monday_model.lp!$AEP$2</definedName>
    <definedName name="solver_lhs825" localSheetId="0" hidden="1">monday_model.lp!$AEQ$2</definedName>
    <definedName name="solver_lhs826" localSheetId="0" hidden="1">monday_model.lp!$AER$2</definedName>
    <definedName name="solver_lhs827" localSheetId="0" hidden="1">monday_model.lp!$AES$2</definedName>
    <definedName name="solver_lhs828" localSheetId="0" hidden="1">monday_model.lp!$AET$2</definedName>
    <definedName name="solver_lhs829" localSheetId="0" hidden="1">monday_model.lp!$AEU$2</definedName>
    <definedName name="solver_lhs83" localSheetId="0" hidden="1">monday_model.lp!$CC$2</definedName>
    <definedName name="solver_lhs830" localSheetId="0" hidden="1">monday_model.lp!$AEV$2</definedName>
    <definedName name="solver_lhs831" localSheetId="0" hidden="1">monday_model.lp!$AEW$2</definedName>
    <definedName name="solver_lhs832" localSheetId="0" hidden="1">monday_model.lp!$AEX$2</definedName>
    <definedName name="solver_lhs833" localSheetId="0" hidden="1">monday_model.lp!$AEY$2</definedName>
    <definedName name="solver_lhs834" localSheetId="0" hidden="1">monday_model.lp!$AEZ$2</definedName>
    <definedName name="solver_lhs835" localSheetId="0" hidden="1">monday_model.lp!$AFA$2</definedName>
    <definedName name="solver_lhs836" localSheetId="0" hidden="1">monday_model.lp!$AFB$2</definedName>
    <definedName name="solver_lhs837" localSheetId="0" hidden="1">monday_model.lp!$AFC$2</definedName>
    <definedName name="solver_lhs838" localSheetId="0" hidden="1">monday_model.lp!$AFD$2</definedName>
    <definedName name="solver_lhs839" localSheetId="0" hidden="1">monday_model.lp!$AFE$2</definedName>
    <definedName name="solver_lhs84" localSheetId="0" hidden="1">monday_model.lp!$CD$2</definedName>
    <definedName name="solver_lhs840" localSheetId="0" hidden="1">monday_model.lp!$AFF$2</definedName>
    <definedName name="solver_lhs841" localSheetId="0" hidden="1">monday_model.lp!$AFG$2</definedName>
    <definedName name="solver_lhs842" localSheetId="0" hidden="1">monday_model.lp!$AFH$2</definedName>
    <definedName name="solver_lhs843" localSheetId="0" hidden="1">monday_model.lp!$AFI$2</definedName>
    <definedName name="solver_lhs844" localSheetId="0" hidden="1">monday_model.lp!$AFJ$2</definedName>
    <definedName name="solver_lhs845" localSheetId="0" hidden="1">monday_model.lp!$AFK$2</definedName>
    <definedName name="solver_lhs846" localSheetId="0" hidden="1">monday_model.lp!$AFL$2</definedName>
    <definedName name="solver_lhs847" localSheetId="0" hidden="1">monday_model.lp!$AFM$2</definedName>
    <definedName name="solver_lhs848" localSheetId="0" hidden="1">monday_model.lp!$AFN$2</definedName>
    <definedName name="solver_lhs849" localSheetId="0" hidden="1">monday_model.lp!$AFO$2</definedName>
    <definedName name="solver_lhs85" localSheetId="0" hidden="1">monday_model.lp!$CE$2</definedName>
    <definedName name="solver_lhs850" localSheetId="0" hidden="1">monday_model.lp!$AFP$2</definedName>
    <definedName name="solver_lhs851" localSheetId="0" hidden="1">monday_model.lp!$AFQ$2</definedName>
    <definedName name="solver_lhs852" localSheetId="0" hidden="1">monday_model.lp!$AFR$2</definedName>
    <definedName name="solver_lhs853" localSheetId="0" hidden="1">monday_model.lp!$AFS$2</definedName>
    <definedName name="solver_lhs854" localSheetId="0" hidden="1">monday_model.lp!$AFT$2</definedName>
    <definedName name="solver_lhs855" localSheetId="0" hidden="1">monday_model.lp!$AFU$2</definedName>
    <definedName name="solver_lhs856" localSheetId="0" hidden="1">monday_model.lp!$AFV$2</definedName>
    <definedName name="solver_lhs857" localSheetId="0" hidden="1">monday_model.lp!$AFW$2</definedName>
    <definedName name="solver_lhs858" localSheetId="0" hidden="1">monday_model.lp!$AFX$2</definedName>
    <definedName name="solver_lhs859" localSheetId="0" hidden="1">monday_model.lp!$AFY$2</definedName>
    <definedName name="solver_lhs86" localSheetId="0" hidden="1">monday_model.lp!$CF$2</definedName>
    <definedName name="solver_lhs860" localSheetId="0" hidden="1">monday_model.lp!$AFZ$2</definedName>
    <definedName name="solver_lhs861" localSheetId="0" hidden="1">monday_model.lp!$AGA$2</definedName>
    <definedName name="solver_lhs862" localSheetId="0" hidden="1">monday_model.lp!$AGB$2</definedName>
    <definedName name="solver_lhs863" localSheetId="0" hidden="1">monday_model.lp!$AGC$2</definedName>
    <definedName name="solver_lhs864" localSheetId="0" hidden="1">monday_model.lp!$AGD$2</definedName>
    <definedName name="solver_lhs865" localSheetId="0" hidden="1">monday_model.lp!$AGE$2</definedName>
    <definedName name="solver_lhs866" localSheetId="0" hidden="1">monday_model.lp!$AGF$2</definedName>
    <definedName name="solver_lhs867" localSheetId="0" hidden="1">monday_model.lp!$AGG$2</definedName>
    <definedName name="solver_lhs868" localSheetId="0" hidden="1">monday_model.lp!$AGH$2</definedName>
    <definedName name="solver_lhs869" localSheetId="0" hidden="1">monday_model.lp!$AGI$2</definedName>
    <definedName name="solver_lhs87" localSheetId="0" hidden="1">monday_model.lp!$CG$2</definedName>
    <definedName name="solver_lhs870" localSheetId="0" hidden="1">monday_model.lp!$AGJ$2</definedName>
    <definedName name="solver_lhs871" localSheetId="0" hidden="1">monday_model.lp!$AGK$2</definedName>
    <definedName name="solver_lhs872" localSheetId="0" hidden="1">monday_model.lp!$AGL$2</definedName>
    <definedName name="solver_lhs873" localSheetId="0" hidden="1">monday_model.lp!$AGM$2</definedName>
    <definedName name="solver_lhs874" localSheetId="0" hidden="1">monday_model.lp!$AGN$2</definedName>
    <definedName name="solver_lhs875" localSheetId="0" hidden="1">monday_model.lp!$AGO$2</definedName>
    <definedName name="solver_lhs876" localSheetId="0" hidden="1">monday_model.lp!$AGP$2</definedName>
    <definedName name="solver_lhs877" localSheetId="0" hidden="1">monday_model.lp!$AGQ$2</definedName>
    <definedName name="solver_lhs878" localSheetId="0" hidden="1">monday_model.lp!$AGR$2</definedName>
    <definedName name="solver_lhs879" localSheetId="0" hidden="1">monday_model.lp!$AGS$2</definedName>
    <definedName name="solver_lhs88" localSheetId="0" hidden="1">monday_model.lp!$CH$2</definedName>
    <definedName name="solver_lhs880" localSheetId="0" hidden="1">monday_model.lp!$AGT$2</definedName>
    <definedName name="solver_lhs881" localSheetId="0" hidden="1">monday_model.lp!$AGU$2</definedName>
    <definedName name="solver_lhs882" localSheetId="0" hidden="1">monday_model.lp!$AGV$2</definedName>
    <definedName name="solver_lhs883" localSheetId="0" hidden="1">monday_model.lp!$AGW$2</definedName>
    <definedName name="solver_lhs884" localSheetId="0" hidden="1">monday_model.lp!$AGX$2</definedName>
    <definedName name="solver_lhs885" localSheetId="0" hidden="1">monday_model.lp!$AGY$2</definedName>
    <definedName name="solver_lhs886" localSheetId="0" hidden="1">monday_model.lp!$AGZ$2</definedName>
    <definedName name="solver_lhs887" localSheetId="0" hidden="1">monday_model.lp!$AHA$2</definedName>
    <definedName name="solver_lhs888" localSheetId="0" hidden="1">monday_model.lp!$AHB$2</definedName>
    <definedName name="solver_lhs889" localSheetId="0" hidden="1">monday_model.lp!$AHC$2</definedName>
    <definedName name="solver_lhs89" localSheetId="0" hidden="1">monday_model.lp!$CI$2</definedName>
    <definedName name="solver_lhs890" localSheetId="0" hidden="1">monday_model.lp!$AHD$2</definedName>
    <definedName name="solver_lhs891" localSheetId="0" hidden="1">monday_model.lp!$AHE$2</definedName>
    <definedName name="solver_lhs892" localSheetId="0" hidden="1">monday_model.lp!$AHF$2</definedName>
    <definedName name="solver_lhs893" localSheetId="0" hidden="1">monday_model.lp!$AHG$2</definedName>
    <definedName name="solver_lhs894" localSheetId="0" hidden="1">monday_model.lp!$AHH$2</definedName>
    <definedName name="solver_lhs895" localSheetId="0" hidden="1">monday_model.lp!$AHI$2</definedName>
    <definedName name="solver_lhs896" localSheetId="0" hidden="1">monday_model.lp!$AHJ$2</definedName>
    <definedName name="solver_lhs897" localSheetId="0" hidden="1">monday_model.lp!$AHK$2</definedName>
    <definedName name="solver_lhs898" localSheetId="0" hidden="1">monday_model.lp!$AHL$2</definedName>
    <definedName name="solver_lhs899" localSheetId="0" hidden="1">monday_model.lp!$AHM$2</definedName>
    <definedName name="solver_lhs9" localSheetId="0" hidden="1">monday_model.lp!$G$2</definedName>
    <definedName name="solver_lhs90" localSheetId="0" hidden="1">monday_model.lp!$CJ$2</definedName>
    <definedName name="solver_lhs900" localSheetId="0" hidden="1">monday_model.lp!$AHN$2</definedName>
    <definedName name="solver_lhs901" localSheetId="0" hidden="1">monday_model.lp!$AHO$2</definedName>
    <definedName name="solver_lhs902" localSheetId="0" hidden="1">monday_model.lp!$AHP$2</definedName>
    <definedName name="solver_lhs903" localSheetId="0" hidden="1">monday_model.lp!$AHQ$2</definedName>
    <definedName name="solver_lhs904" localSheetId="0" hidden="1">monday_model.lp!$AHR$2</definedName>
    <definedName name="solver_lhs905" localSheetId="0" hidden="1">monday_model.lp!$AHS$2</definedName>
    <definedName name="solver_lhs906" localSheetId="0" hidden="1">monday_model.lp!$AHT$2</definedName>
    <definedName name="solver_lhs907" localSheetId="0" hidden="1">monday_model.lp!$AHU$2</definedName>
    <definedName name="solver_lhs908" localSheetId="0" hidden="1">monday_model.lp!$AHV$2</definedName>
    <definedName name="solver_lhs909" localSheetId="0" hidden="1">monday_model.lp!$AHW$2</definedName>
    <definedName name="solver_lhs91" localSheetId="0" hidden="1">monday_model.lp!$CK$2</definedName>
    <definedName name="solver_lhs910" localSheetId="0" hidden="1">monday_model.lp!$AHX$2</definedName>
    <definedName name="solver_lhs911" localSheetId="0" hidden="1">monday_model.lp!$AHY$2</definedName>
    <definedName name="solver_lhs912" localSheetId="0" hidden="1">monday_model.lp!$AHZ$2</definedName>
    <definedName name="solver_lhs913" localSheetId="0" hidden="1">monday_model.lp!$AIA$2</definedName>
    <definedName name="solver_lhs914" localSheetId="0" hidden="1">monday_model.lp!$AIB$2</definedName>
    <definedName name="solver_lhs915" localSheetId="0" hidden="1">monday_model.lp!$AIC$2</definedName>
    <definedName name="solver_lhs916" localSheetId="0" hidden="1">monday_model.lp!$AID$2</definedName>
    <definedName name="solver_lhs917" localSheetId="0" hidden="1">monday_model.lp!$AIE$2</definedName>
    <definedName name="solver_lhs918" localSheetId="0" hidden="1">monday_model.lp!$AIF$2</definedName>
    <definedName name="solver_lhs919" localSheetId="0" hidden="1">monday_model.lp!$AIG$2</definedName>
    <definedName name="solver_lhs92" localSheetId="0" hidden="1">monday_model.lp!$CL$2</definedName>
    <definedName name="solver_lhs920" localSheetId="0" hidden="1">monday_model.lp!$AIH$2</definedName>
    <definedName name="solver_lhs921" localSheetId="0" hidden="1">monday_model.lp!$AII$2</definedName>
    <definedName name="solver_lhs922" localSheetId="0" hidden="1">monday_model.lp!$AIJ$2</definedName>
    <definedName name="solver_lhs923" localSheetId="0" hidden="1">monday_model.lp!$AIK$2</definedName>
    <definedName name="solver_lhs924" localSheetId="0" hidden="1">monday_model.lp!$AIL$2</definedName>
    <definedName name="solver_lhs925" localSheetId="0" hidden="1">monday_model.lp!$AIM$2</definedName>
    <definedName name="solver_lhs926" localSheetId="0" hidden="1">monday_model.lp!$AIN$2</definedName>
    <definedName name="solver_lhs927" localSheetId="0" hidden="1">monday_model.lp!$AIO$2</definedName>
    <definedName name="solver_lhs928" localSheetId="0" hidden="1">monday_model.lp!$AIP$2</definedName>
    <definedName name="solver_lhs929" localSheetId="0" hidden="1">monday_model.lp!$AIQ$2</definedName>
    <definedName name="solver_lhs93" localSheetId="0" hidden="1">monday_model.lp!$CM$2</definedName>
    <definedName name="solver_lhs930" localSheetId="0" hidden="1">monday_model.lp!$AIR$2</definedName>
    <definedName name="solver_lhs931" localSheetId="0" hidden="1">monday_model.lp!$AIS$2</definedName>
    <definedName name="solver_lhs932" localSheetId="0" hidden="1">monday_model.lp!$AIT$2</definedName>
    <definedName name="solver_lhs933" localSheetId="0" hidden="1">monday_model.lp!$AIU$2</definedName>
    <definedName name="solver_lhs934" localSheetId="0" hidden="1">monday_model.lp!$AIV$2</definedName>
    <definedName name="solver_lhs935" localSheetId="0" hidden="1">monday_model.lp!$AIW$2</definedName>
    <definedName name="solver_lhs936" localSheetId="0" hidden="1">monday_model.lp!$AIX$2</definedName>
    <definedName name="solver_lhs937" localSheetId="0" hidden="1">monday_model.lp!$AIY$2</definedName>
    <definedName name="solver_lhs938" localSheetId="0" hidden="1">monday_model.lp!$AIZ$2</definedName>
    <definedName name="solver_lhs939" localSheetId="0" hidden="1">monday_model.lp!$AJA$2</definedName>
    <definedName name="solver_lhs94" localSheetId="0" hidden="1">monday_model.lp!$CN$2</definedName>
    <definedName name="solver_lhs940" localSheetId="0" hidden="1">monday_model.lp!$AJB$2</definedName>
    <definedName name="solver_lhs941" localSheetId="0" hidden="1">monday_model.lp!$AJC$2</definedName>
    <definedName name="solver_lhs942" localSheetId="0" hidden="1">monday_model.lp!$AJD$2</definedName>
    <definedName name="solver_lhs943" localSheetId="0" hidden="1">monday_model.lp!$AJE$2</definedName>
    <definedName name="solver_lhs944" localSheetId="0" hidden="1">monday_model.lp!$AJF$2</definedName>
    <definedName name="solver_lhs945" localSheetId="0" hidden="1">monday_model.lp!$AJG$2</definedName>
    <definedName name="solver_lhs946" localSheetId="0" hidden="1">monday_model.lp!$AJH$2</definedName>
    <definedName name="solver_lhs947" localSheetId="0" hidden="1">monday_model.lp!$AJI$2</definedName>
    <definedName name="solver_lhs948" localSheetId="0" hidden="1">monday_model.lp!$AJJ$2</definedName>
    <definedName name="solver_lhs949" localSheetId="0" hidden="1">monday_model.lp!$AJK$2</definedName>
    <definedName name="solver_lhs95" localSheetId="0" hidden="1">monday_model.lp!$CO$2</definedName>
    <definedName name="solver_lhs950" localSheetId="0" hidden="1">monday_model.lp!$AJL$2</definedName>
    <definedName name="solver_lhs951" localSheetId="0" hidden="1">monday_model.lp!$AJM$2</definedName>
    <definedName name="solver_lhs952" localSheetId="0" hidden="1">monday_model.lp!$AJN$2</definedName>
    <definedName name="solver_lhs953" localSheetId="0" hidden="1">monday_model.lp!$AJO$2</definedName>
    <definedName name="solver_lhs954" localSheetId="0" hidden="1">monday_model.lp!$AJP$2</definedName>
    <definedName name="solver_lhs955" localSheetId="0" hidden="1">monday_model.lp!$AJQ$2</definedName>
    <definedName name="solver_lhs956" localSheetId="0" hidden="1">monday_model.lp!$AJR$2</definedName>
    <definedName name="solver_lhs957" localSheetId="0" hidden="1">monday_model.lp!$AJS$2</definedName>
    <definedName name="solver_lhs958" localSheetId="0" hidden="1">monday_model.lp!$AJT$2</definedName>
    <definedName name="solver_lhs959" localSheetId="0" hidden="1">monday_model.lp!$AJU$2</definedName>
    <definedName name="solver_lhs96" localSheetId="0" hidden="1">monday_model.lp!$CP$2</definedName>
    <definedName name="solver_lhs960" localSheetId="0" hidden="1">monday_model.lp!$AJV$2</definedName>
    <definedName name="solver_lhs961" localSheetId="0" hidden="1">monday_model.lp!$AJW$2</definedName>
    <definedName name="solver_lhs962" localSheetId="0" hidden="1">monday_model.lp!$AJX$2</definedName>
    <definedName name="solver_lhs963" localSheetId="0" hidden="1">monday_model.lp!$AJY$2</definedName>
    <definedName name="solver_lhs964" localSheetId="0" hidden="1">monday_model.lp!$AJZ$2</definedName>
    <definedName name="solver_lhs965" localSheetId="0" hidden="1">monday_model.lp!$AKA$2</definedName>
    <definedName name="solver_lhs966" localSheetId="0" hidden="1">monday_model.lp!$AKB$2</definedName>
    <definedName name="solver_lhs967" localSheetId="0" hidden="1">monday_model.lp!$AKC$2</definedName>
    <definedName name="solver_lhs968" localSheetId="0" hidden="1">monday_model.lp!$AKD$2</definedName>
    <definedName name="solver_lhs969" localSheetId="0" hidden="1">monday_model.lp!$AKE$2</definedName>
    <definedName name="solver_lhs97" localSheetId="0" hidden="1">monday_model.lp!$CQ$2</definedName>
    <definedName name="solver_lhs970" localSheetId="0" hidden="1">monday_model.lp!$AKF$2</definedName>
    <definedName name="solver_lhs971" localSheetId="0" hidden="1">monday_model.lp!$AKG$2</definedName>
    <definedName name="solver_lhs972" localSheetId="0" hidden="1">monday_model.lp!$AKH$2</definedName>
    <definedName name="solver_lhs973" localSheetId="0" hidden="1">monday_model.lp!$AKI$2</definedName>
    <definedName name="solver_lhs974" localSheetId="0" hidden="1">monday_model.lp!$AKJ$2</definedName>
    <definedName name="solver_lhs975" localSheetId="0" hidden="1">monday_model.lp!$AKK$2</definedName>
    <definedName name="solver_lhs976" localSheetId="0" hidden="1">monday_model.lp!$AKL$2</definedName>
    <definedName name="solver_lhs977" localSheetId="0" hidden="1">monday_model.lp!$AKM$2</definedName>
    <definedName name="solver_lhs978" localSheetId="0" hidden="1">monday_model.lp!$AKN$2</definedName>
    <definedName name="solver_lhs979" localSheetId="0" hidden="1">monday_model.lp!$AKO$2</definedName>
    <definedName name="solver_lhs98" localSheetId="0" hidden="1">monday_model.lp!$CR$2</definedName>
    <definedName name="solver_lhs980" localSheetId="0" hidden="1">monday_model.lp!$AKP$2</definedName>
    <definedName name="solver_lhs981" localSheetId="0" hidden="1">monday_model.lp!$AKQ$2</definedName>
    <definedName name="solver_lhs982" localSheetId="0" hidden="1">monday_model.lp!$AKR$2</definedName>
    <definedName name="solver_lhs983" localSheetId="0" hidden="1">monday_model.lp!$AKS$2</definedName>
    <definedName name="solver_lhs984" localSheetId="0" hidden="1">monday_model.lp!$AKT$2</definedName>
    <definedName name="solver_lhs985" localSheetId="0" hidden="1">monday_model.lp!$AKU$2</definedName>
    <definedName name="solver_lhs986" localSheetId="0" hidden="1">monday_model.lp!$AKV$2</definedName>
    <definedName name="solver_lhs987" localSheetId="0" hidden="1">monday_model.lp!$AKW$2</definedName>
    <definedName name="solver_lhs988" localSheetId="0" hidden="1">monday_model.lp!$AKX$2</definedName>
    <definedName name="solver_lhs989" localSheetId="0" hidden="1">monday_model.lp!$AKY$2</definedName>
    <definedName name="solver_lhs99" localSheetId="0" hidden="1">monday_model.lp!$CS$2</definedName>
    <definedName name="solver_lhs990" localSheetId="0" hidden="1">monday_model.lp!$AKZ$2</definedName>
    <definedName name="solver_lhs991" localSheetId="0" hidden="1">monday_model.lp!$ALA$2</definedName>
    <definedName name="solver_lhs992" localSheetId="0" hidden="1">monday_model.lp!$ALB$2</definedName>
    <definedName name="solver_lhs993" localSheetId="0" hidden="1">monday_model.lp!$ALC$2</definedName>
    <definedName name="solver_lhs994" localSheetId="0" hidden="1">monday_model.lp!$ALD$2</definedName>
    <definedName name="solver_lhs995" localSheetId="0" hidden="1">monday_model.lp!$ALE$2</definedName>
    <definedName name="solver_lhs996" localSheetId="0" hidden="1">monday_model.lp!$ALF$2</definedName>
    <definedName name="solver_lhs997" localSheetId="0" hidden="1">monday_model.lp!$ALG$2</definedName>
    <definedName name="solver_lhs998" localSheetId="0" hidden="1">monday_model.lp!$ALH$2</definedName>
    <definedName name="solver_lhs999" localSheetId="0" hidden="1">monday_model.lp!$ALI$2</definedName>
    <definedName name="solver_neg" localSheetId="0" hidden="1">1</definedName>
    <definedName name="solver_num" localSheetId="0" hidden="1">3491</definedName>
    <definedName name="solver_opt" localSheetId="0" hidden="1">monday_model.lp!$EDG$4</definedName>
    <definedName name="solver_rel1" localSheetId="0" hidden="1">2</definedName>
    <definedName name="solver_rel10" localSheetId="0" hidden="1">5</definedName>
    <definedName name="solver_rel100" localSheetId="0" hidden="1">5</definedName>
    <definedName name="solver_rel1000" localSheetId="0" hidden="1">5</definedName>
    <definedName name="solver_rel1001" localSheetId="0" hidden="1">5</definedName>
    <definedName name="solver_rel1002" localSheetId="0" hidden="1">5</definedName>
    <definedName name="solver_rel1003" localSheetId="0" hidden="1">5</definedName>
    <definedName name="solver_rel1004" localSheetId="0" hidden="1">5</definedName>
    <definedName name="solver_rel1005" localSheetId="0" hidden="1">5</definedName>
    <definedName name="solver_rel1006" localSheetId="0" hidden="1">5</definedName>
    <definedName name="solver_rel1007" localSheetId="0" hidden="1">5</definedName>
    <definedName name="solver_rel1008" localSheetId="0" hidden="1">5</definedName>
    <definedName name="solver_rel1009" localSheetId="0" hidden="1">5</definedName>
    <definedName name="solver_rel101" localSheetId="0" hidden="1">5</definedName>
    <definedName name="solver_rel1010" localSheetId="0" hidden="1">5</definedName>
    <definedName name="solver_rel1011" localSheetId="0" hidden="1">5</definedName>
    <definedName name="solver_rel1012" localSheetId="0" hidden="1">5</definedName>
    <definedName name="solver_rel1013" localSheetId="0" hidden="1">5</definedName>
    <definedName name="solver_rel1014" localSheetId="0" hidden="1">5</definedName>
    <definedName name="solver_rel1015" localSheetId="0" hidden="1">5</definedName>
    <definedName name="solver_rel1016" localSheetId="0" hidden="1">5</definedName>
    <definedName name="solver_rel1017" localSheetId="0" hidden="1">5</definedName>
    <definedName name="solver_rel1018" localSheetId="0" hidden="1">5</definedName>
    <definedName name="solver_rel1019" localSheetId="0" hidden="1">5</definedName>
    <definedName name="solver_rel102" localSheetId="0" hidden="1">5</definedName>
    <definedName name="solver_rel1020" localSheetId="0" hidden="1">5</definedName>
    <definedName name="solver_rel1021" localSheetId="0" hidden="1">5</definedName>
    <definedName name="solver_rel1022" localSheetId="0" hidden="1">5</definedName>
    <definedName name="solver_rel1023" localSheetId="0" hidden="1">5</definedName>
    <definedName name="solver_rel1024" localSheetId="0" hidden="1">5</definedName>
    <definedName name="solver_rel1025" localSheetId="0" hidden="1">5</definedName>
    <definedName name="solver_rel1026" localSheetId="0" hidden="1">5</definedName>
    <definedName name="solver_rel1027" localSheetId="0" hidden="1">5</definedName>
    <definedName name="solver_rel1028" localSheetId="0" hidden="1">5</definedName>
    <definedName name="solver_rel1029" localSheetId="0" hidden="1">5</definedName>
    <definedName name="solver_rel103" localSheetId="0" hidden="1">5</definedName>
    <definedName name="solver_rel1030" localSheetId="0" hidden="1">5</definedName>
    <definedName name="solver_rel1031" localSheetId="0" hidden="1">5</definedName>
    <definedName name="solver_rel1032" localSheetId="0" hidden="1">5</definedName>
    <definedName name="solver_rel1033" localSheetId="0" hidden="1">5</definedName>
    <definedName name="solver_rel1034" localSheetId="0" hidden="1">5</definedName>
    <definedName name="solver_rel1035" localSheetId="0" hidden="1">5</definedName>
    <definedName name="solver_rel1036" localSheetId="0" hidden="1">5</definedName>
    <definedName name="solver_rel1037" localSheetId="0" hidden="1">5</definedName>
    <definedName name="solver_rel1038" localSheetId="0" hidden="1">5</definedName>
    <definedName name="solver_rel1039" localSheetId="0" hidden="1">5</definedName>
    <definedName name="solver_rel104" localSheetId="0" hidden="1">5</definedName>
    <definedName name="solver_rel1040" localSheetId="0" hidden="1">5</definedName>
    <definedName name="solver_rel1041" localSheetId="0" hidden="1">5</definedName>
    <definedName name="solver_rel1042" localSheetId="0" hidden="1">5</definedName>
    <definedName name="solver_rel1043" localSheetId="0" hidden="1">5</definedName>
    <definedName name="solver_rel1044" localSheetId="0" hidden="1">5</definedName>
    <definedName name="solver_rel1045" localSheetId="0" hidden="1">5</definedName>
    <definedName name="solver_rel1046" localSheetId="0" hidden="1">5</definedName>
    <definedName name="solver_rel1047" localSheetId="0" hidden="1">5</definedName>
    <definedName name="solver_rel1048" localSheetId="0" hidden="1">5</definedName>
    <definedName name="solver_rel1049" localSheetId="0" hidden="1">5</definedName>
    <definedName name="solver_rel105" localSheetId="0" hidden="1">5</definedName>
    <definedName name="solver_rel1050" localSheetId="0" hidden="1">5</definedName>
    <definedName name="solver_rel1051" localSheetId="0" hidden="1">5</definedName>
    <definedName name="solver_rel1052" localSheetId="0" hidden="1">5</definedName>
    <definedName name="solver_rel1053" localSheetId="0" hidden="1">5</definedName>
    <definedName name="solver_rel1054" localSheetId="0" hidden="1">5</definedName>
    <definedName name="solver_rel1055" localSheetId="0" hidden="1">5</definedName>
    <definedName name="solver_rel1056" localSheetId="0" hidden="1">5</definedName>
    <definedName name="solver_rel1057" localSheetId="0" hidden="1">5</definedName>
    <definedName name="solver_rel1058" localSheetId="0" hidden="1">5</definedName>
    <definedName name="solver_rel1059" localSheetId="0" hidden="1">5</definedName>
    <definedName name="solver_rel106" localSheetId="0" hidden="1">5</definedName>
    <definedName name="solver_rel1060" localSheetId="0" hidden="1">5</definedName>
    <definedName name="solver_rel1061" localSheetId="0" hidden="1">5</definedName>
    <definedName name="solver_rel1062" localSheetId="0" hidden="1">5</definedName>
    <definedName name="solver_rel1063" localSheetId="0" hidden="1">5</definedName>
    <definedName name="solver_rel1064" localSheetId="0" hidden="1">5</definedName>
    <definedName name="solver_rel1065" localSheetId="0" hidden="1">5</definedName>
    <definedName name="solver_rel1066" localSheetId="0" hidden="1">5</definedName>
    <definedName name="solver_rel1067" localSheetId="0" hidden="1">5</definedName>
    <definedName name="solver_rel1068" localSheetId="0" hidden="1">5</definedName>
    <definedName name="solver_rel1069" localSheetId="0" hidden="1">5</definedName>
    <definedName name="solver_rel107" localSheetId="0" hidden="1">5</definedName>
    <definedName name="solver_rel1070" localSheetId="0" hidden="1">5</definedName>
    <definedName name="solver_rel1071" localSheetId="0" hidden="1">5</definedName>
    <definedName name="solver_rel1072" localSheetId="0" hidden="1">5</definedName>
    <definedName name="solver_rel1073" localSheetId="0" hidden="1">5</definedName>
    <definedName name="solver_rel1074" localSheetId="0" hidden="1">5</definedName>
    <definedName name="solver_rel1075" localSheetId="0" hidden="1">5</definedName>
    <definedName name="solver_rel1076" localSheetId="0" hidden="1">5</definedName>
    <definedName name="solver_rel1077" localSheetId="0" hidden="1">5</definedName>
    <definedName name="solver_rel1078" localSheetId="0" hidden="1">5</definedName>
    <definedName name="solver_rel1079" localSheetId="0" hidden="1">5</definedName>
    <definedName name="solver_rel108" localSheetId="0" hidden="1">5</definedName>
    <definedName name="solver_rel1080" localSheetId="0" hidden="1">5</definedName>
    <definedName name="solver_rel1081" localSheetId="0" hidden="1">5</definedName>
    <definedName name="solver_rel1082" localSheetId="0" hidden="1">5</definedName>
    <definedName name="solver_rel1083" localSheetId="0" hidden="1">5</definedName>
    <definedName name="solver_rel1084" localSheetId="0" hidden="1">5</definedName>
    <definedName name="solver_rel1085" localSheetId="0" hidden="1">5</definedName>
    <definedName name="solver_rel1086" localSheetId="0" hidden="1">5</definedName>
    <definedName name="solver_rel1087" localSheetId="0" hidden="1">5</definedName>
    <definedName name="solver_rel1088" localSheetId="0" hidden="1">5</definedName>
    <definedName name="solver_rel1089" localSheetId="0" hidden="1">5</definedName>
    <definedName name="solver_rel109" localSheetId="0" hidden="1">5</definedName>
    <definedName name="solver_rel1090" localSheetId="0" hidden="1">5</definedName>
    <definedName name="solver_rel1091" localSheetId="0" hidden="1">5</definedName>
    <definedName name="solver_rel1092" localSheetId="0" hidden="1">5</definedName>
    <definedName name="solver_rel1093" localSheetId="0" hidden="1">5</definedName>
    <definedName name="solver_rel1094" localSheetId="0" hidden="1">5</definedName>
    <definedName name="solver_rel1095" localSheetId="0" hidden="1">5</definedName>
    <definedName name="solver_rel1096" localSheetId="0" hidden="1">5</definedName>
    <definedName name="solver_rel1097" localSheetId="0" hidden="1">5</definedName>
    <definedName name="solver_rel1098" localSheetId="0" hidden="1">5</definedName>
    <definedName name="solver_rel1099" localSheetId="0" hidden="1">5</definedName>
    <definedName name="solver_rel11" localSheetId="0" hidden="1">5</definedName>
    <definedName name="solver_rel110" localSheetId="0" hidden="1">5</definedName>
    <definedName name="solver_rel1100" localSheetId="0" hidden="1">5</definedName>
    <definedName name="solver_rel1101" localSheetId="0" hidden="1">5</definedName>
    <definedName name="solver_rel1102" localSheetId="0" hidden="1">5</definedName>
    <definedName name="solver_rel1103" localSheetId="0" hidden="1">5</definedName>
    <definedName name="solver_rel1104" localSheetId="0" hidden="1">5</definedName>
    <definedName name="solver_rel1105" localSheetId="0" hidden="1">5</definedName>
    <definedName name="solver_rel1106" localSheetId="0" hidden="1">5</definedName>
    <definedName name="solver_rel1107" localSheetId="0" hidden="1">5</definedName>
    <definedName name="solver_rel1108" localSheetId="0" hidden="1">5</definedName>
    <definedName name="solver_rel1109" localSheetId="0" hidden="1">5</definedName>
    <definedName name="solver_rel111" localSheetId="0" hidden="1">5</definedName>
    <definedName name="solver_rel1110" localSheetId="0" hidden="1">5</definedName>
    <definedName name="solver_rel1111" localSheetId="0" hidden="1">5</definedName>
    <definedName name="solver_rel1112" localSheetId="0" hidden="1">5</definedName>
    <definedName name="solver_rel1113" localSheetId="0" hidden="1">5</definedName>
    <definedName name="solver_rel1114" localSheetId="0" hidden="1">5</definedName>
    <definedName name="solver_rel1115" localSheetId="0" hidden="1">5</definedName>
    <definedName name="solver_rel1116" localSheetId="0" hidden="1">5</definedName>
    <definedName name="solver_rel1117" localSheetId="0" hidden="1">5</definedName>
    <definedName name="solver_rel1118" localSheetId="0" hidden="1">5</definedName>
    <definedName name="solver_rel1119" localSheetId="0" hidden="1">5</definedName>
    <definedName name="solver_rel112" localSheetId="0" hidden="1">5</definedName>
    <definedName name="solver_rel1120" localSheetId="0" hidden="1">5</definedName>
    <definedName name="solver_rel1121" localSheetId="0" hidden="1">5</definedName>
    <definedName name="solver_rel1122" localSheetId="0" hidden="1">5</definedName>
    <definedName name="solver_rel1123" localSheetId="0" hidden="1">5</definedName>
    <definedName name="solver_rel1124" localSheetId="0" hidden="1">5</definedName>
    <definedName name="solver_rel1125" localSheetId="0" hidden="1">5</definedName>
    <definedName name="solver_rel1126" localSheetId="0" hidden="1">5</definedName>
    <definedName name="solver_rel1127" localSheetId="0" hidden="1">5</definedName>
    <definedName name="solver_rel1128" localSheetId="0" hidden="1">5</definedName>
    <definedName name="solver_rel1129" localSheetId="0" hidden="1">5</definedName>
    <definedName name="solver_rel113" localSheetId="0" hidden="1">5</definedName>
    <definedName name="solver_rel1130" localSheetId="0" hidden="1">5</definedName>
    <definedName name="solver_rel1131" localSheetId="0" hidden="1">5</definedName>
    <definedName name="solver_rel1132" localSheetId="0" hidden="1">5</definedName>
    <definedName name="solver_rel1133" localSheetId="0" hidden="1">5</definedName>
    <definedName name="solver_rel1134" localSheetId="0" hidden="1">5</definedName>
    <definedName name="solver_rel1135" localSheetId="0" hidden="1">5</definedName>
    <definedName name="solver_rel1136" localSheetId="0" hidden="1">5</definedName>
    <definedName name="solver_rel1137" localSheetId="0" hidden="1">5</definedName>
    <definedName name="solver_rel1138" localSheetId="0" hidden="1">5</definedName>
    <definedName name="solver_rel1139" localSheetId="0" hidden="1">5</definedName>
    <definedName name="solver_rel114" localSheetId="0" hidden="1">5</definedName>
    <definedName name="solver_rel1140" localSheetId="0" hidden="1">5</definedName>
    <definedName name="solver_rel1141" localSheetId="0" hidden="1">5</definedName>
    <definedName name="solver_rel1142" localSheetId="0" hidden="1">5</definedName>
    <definedName name="solver_rel1143" localSheetId="0" hidden="1">5</definedName>
    <definedName name="solver_rel1144" localSheetId="0" hidden="1">5</definedName>
    <definedName name="solver_rel1145" localSheetId="0" hidden="1">5</definedName>
    <definedName name="solver_rel1146" localSheetId="0" hidden="1">5</definedName>
    <definedName name="solver_rel1147" localSheetId="0" hidden="1">5</definedName>
    <definedName name="solver_rel1148" localSheetId="0" hidden="1">5</definedName>
    <definedName name="solver_rel1149" localSheetId="0" hidden="1">5</definedName>
    <definedName name="solver_rel115" localSheetId="0" hidden="1">5</definedName>
    <definedName name="solver_rel1150" localSheetId="0" hidden="1">5</definedName>
    <definedName name="solver_rel1151" localSheetId="0" hidden="1">5</definedName>
    <definedName name="solver_rel1152" localSheetId="0" hidden="1">5</definedName>
    <definedName name="solver_rel1153" localSheetId="0" hidden="1">5</definedName>
    <definedName name="solver_rel1154" localSheetId="0" hidden="1">5</definedName>
    <definedName name="solver_rel1155" localSheetId="0" hidden="1">5</definedName>
    <definedName name="solver_rel1156" localSheetId="0" hidden="1">5</definedName>
    <definedName name="solver_rel1157" localSheetId="0" hidden="1">5</definedName>
    <definedName name="solver_rel1158" localSheetId="0" hidden="1">5</definedName>
    <definedName name="solver_rel1159" localSheetId="0" hidden="1">5</definedName>
    <definedName name="solver_rel116" localSheetId="0" hidden="1">5</definedName>
    <definedName name="solver_rel1160" localSheetId="0" hidden="1">5</definedName>
    <definedName name="solver_rel1161" localSheetId="0" hidden="1">5</definedName>
    <definedName name="solver_rel1162" localSheetId="0" hidden="1">5</definedName>
    <definedName name="solver_rel1163" localSheetId="0" hidden="1">5</definedName>
    <definedName name="solver_rel1164" localSheetId="0" hidden="1">5</definedName>
    <definedName name="solver_rel1165" localSheetId="0" hidden="1">5</definedName>
    <definedName name="solver_rel1166" localSheetId="0" hidden="1">5</definedName>
    <definedName name="solver_rel1167" localSheetId="0" hidden="1">5</definedName>
    <definedName name="solver_rel1168" localSheetId="0" hidden="1">5</definedName>
    <definedName name="solver_rel1169" localSheetId="0" hidden="1">5</definedName>
    <definedName name="solver_rel117" localSheetId="0" hidden="1">5</definedName>
    <definedName name="solver_rel1170" localSheetId="0" hidden="1">5</definedName>
    <definedName name="solver_rel1171" localSheetId="0" hidden="1">5</definedName>
    <definedName name="solver_rel1172" localSheetId="0" hidden="1">5</definedName>
    <definedName name="solver_rel1173" localSheetId="0" hidden="1">5</definedName>
    <definedName name="solver_rel1174" localSheetId="0" hidden="1">5</definedName>
    <definedName name="solver_rel1175" localSheetId="0" hidden="1">5</definedName>
    <definedName name="solver_rel1176" localSheetId="0" hidden="1">5</definedName>
    <definedName name="solver_rel1177" localSheetId="0" hidden="1">5</definedName>
    <definedName name="solver_rel1178" localSheetId="0" hidden="1">5</definedName>
    <definedName name="solver_rel1179" localSheetId="0" hidden="1">5</definedName>
    <definedName name="solver_rel118" localSheetId="0" hidden="1">5</definedName>
    <definedName name="solver_rel1180" localSheetId="0" hidden="1">5</definedName>
    <definedName name="solver_rel1181" localSheetId="0" hidden="1">5</definedName>
    <definedName name="solver_rel1182" localSheetId="0" hidden="1">5</definedName>
    <definedName name="solver_rel1183" localSheetId="0" hidden="1">5</definedName>
    <definedName name="solver_rel1184" localSheetId="0" hidden="1">5</definedName>
    <definedName name="solver_rel1185" localSheetId="0" hidden="1">5</definedName>
    <definedName name="solver_rel1186" localSheetId="0" hidden="1">5</definedName>
    <definedName name="solver_rel1187" localSheetId="0" hidden="1">5</definedName>
    <definedName name="solver_rel1188" localSheetId="0" hidden="1">5</definedName>
    <definedName name="solver_rel1189" localSheetId="0" hidden="1">5</definedName>
    <definedName name="solver_rel119" localSheetId="0" hidden="1">5</definedName>
    <definedName name="solver_rel1190" localSheetId="0" hidden="1">5</definedName>
    <definedName name="solver_rel1191" localSheetId="0" hidden="1">5</definedName>
    <definedName name="solver_rel1192" localSheetId="0" hidden="1">5</definedName>
    <definedName name="solver_rel1193" localSheetId="0" hidden="1">5</definedName>
    <definedName name="solver_rel1194" localSheetId="0" hidden="1">5</definedName>
    <definedName name="solver_rel1195" localSheetId="0" hidden="1">5</definedName>
    <definedName name="solver_rel1196" localSheetId="0" hidden="1">5</definedName>
    <definedName name="solver_rel1197" localSheetId="0" hidden="1">5</definedName>
    <definedName name="solver_rel1198" localSheetId="0" hidden="1">5</definedName>
    <definedName name="solver_rel1199" localSheetId="0" hidden="1">5</definedName>
    <definedName name="solver_rel12" localSheetId="0" hidden="1">5</definedName>
    <definedName name="solver_rel120" localSheetId="0" hidden="1">5</definedName>
    <definedName name="solver_rel1200" localSheetId="0" hidden="1">5</definedName>
    <definedName name="solver_rel1201" localSheetId="0" hidden="1">5</definedName>
    <definedName name="solver_rel1202" localSheetId="0" hidden="1">5</definedName>
    <definedName name="solver_rel1203" localSheetId="0" hidden="1">5</definedName>
    <definedName name="solver_rel1204" localSheetId="0" hidden="1">5</definedName>
    <definedName name="solver_rel1205" localSheetId="0" hidden="1">5</definedName>
    <definedName name="solver_rel1206" localSheetId="0" hidden="1">5</definedName>
    <definedName name="solver_rel1207" localSheetId="0" hidden="1">5</definedName>
    <definedName name="solver_rel1208" localSheetId="0" hidden="1">5</definedName>
    <definedName name="solver_rel1209" localSheetId="0" hidden="1">5</definedName>
    <definedName name="solver_rel121" localSheetId="0" hidden="1">5</definedName>
    <definedName name="solver_rel1210" localSheetId="0" hidden="1">5</definedName>
    <definedName name="solver_rel1211" localSheetId="0" hidden="1">5</definedName>
    <definedName name="solver_rel1212" localSheetId="0" hidden="1">5</definedName>
    <definedName name="solver_rel1213" localSheetId="0" hidden="1">5</definedName>
    <definedName name="solver_rel1214" localSheetId="0" hidden="1">5</definedName>
    <definedName name="solver_rel1215" localSheetId="0" hidden="1">5</definedName>
    <definedName name="solver_rel1216" localSheetId="0" hidden="1">5</definedName>
    <definedName name="solver_rel1217" localSheetId="0" hidden="1">5</definedName>
    <definedName name="solver_rel1218" localSheetId="0" hidden="1">5</definedName>
    <definedName name="solver_rel1219" localSheetId="0" hidden="1">5</definedName>
    <definedName name="solver_rel122" localSheetId="0" hidden="1">5</definedName>
    <definedName name="solver_rel1220" localSheetId="0" hidden="1">5</definedName>
    <definedName name="solver_rel1221" localSheetId="0" hidden="1">5</definedName>
    <definedName name="solver_rel1222" localSheetId="0" hidden="1">5</definedName>
    <definedName name="solver_rel1223" localSheetId="0" hidden="1">5</definedName>
    <definedName name="solver_rel1224" localSheetId="0" hidden="1">5</definedName>
    <definedName name="solver_rel1225" localSheetId="0" hidden="1">5</definedName>
    <definedName name="solver_rel1226" localSheetId="0" hidden="1">5</definedName>
    <definedName name="solver_rel1227" localSheetId="0" hidden="1">5</definedName>
    <definedName name="solver_rel1228" localSheetId="0" hidden="1">5</definedName>
    <definedName name="solver_rel1229" localSheetId="0" hidden="1">5</definedName>
    <definedName name="solver_rel123" localSheetId="0" hidden="1">5</definedName>
    <definedName name="solver_rel1230" localSheetId="0" hidden="1">5</definedName>
    <definedName name="solver_rel1231" localSheetId="0" hidden="1">5</definedName>
    <definedName name="solver_rel1232" localSheetId="0" hidden="1">5</definedName>
    <definedName name="solver_rel1233" localSheetId="0" hidden="1">5</definedName>
    <definedName name="solver_rel1234" localSheetId="0" hidden="1">5</definedName>
    <definedName name="solver_rel1235" localSheetId="0" hidden="1">5</definedName>
    <definedName name="solver_rel1236" localSheetId="0" hidden="1">5</definedName>
    <definedName name="solver_rel1237" localSheetId="0" hidden="1">5</definedName>
    <definedName name="solver_rel1238" localSheetId="0" hidden="1">5</definedName>
    <definedName name="solver_rel1239" localSheetId="0" hidden="1">5</definedName>
    <definedName name="solver_rel124" localSheetId="0" hidden="1">5</definedName>
    <definedName name="solver_rel1240" localSheetId="0" hidden="1">5</definedName>
    <definedName name="solver_rel1241" localSheetId="0" hidden="1">5</definedName>
    <definedName name="solver_rel1242" localSheetId="0" hidden="1">5</definedName>
    <definedName name="solver_rel1243" localSheetId="0" hidden="1">5</definedName>
    <definedName name="solver_rel1244" localSheetId="0" hidden="1">5</definedName>
    <definedName name="solver_rel1245" localSheetId="0" hidden="1">5</definedName>
    <definedName name="solver_rel1246" localSheetId="0" hidden="1">5</definedName>
    <definedName name="solver_rel1247" localSheetId="0" hidden="1">5</definedName>
    <definedName name="solver_rel1248" localSheetId="0" hidden="1">5</definedName>
    <definedName name="solver_rel1249" localSheetId="0" hidden="1">5</definedName>
    <definedName name="solver_rel125" localSheetId="0" hidden="1">5</definedName>
    <definedName name="solver_rel1250" localSheetId="0" hidden="1">5</definedName>
    <definedName name="solver_rel1251" localSheetId="0" hidden="1">5</definedName>
    <definedName name="solver_rel1252" localSheetId="0" hidden="1">5</definedName>
    <definedName name="solver_rel1253" localSheetId="0" hidden="1">5</definedName>
    <definedName name="solver_rel1254" localSheetId="0" hidden="1">5</definedName>
    <definedName name="solver_rel1255" localSheetId="0" hidden="1">5</definedName>
    <definedName name="solver_rel1256" localSheetId="0" hidden="1">5</definedName>
    <definedName name="solver_rel1257" localSheetId="0" hidden="1">5</definedName>
    <definedName name="solver_rel1258" localSheetId="0" hidden="1">5</definedName>
    <definedName name="solver_rel1259" localSheetId="0" hidden="1">5</definedName>
    <definedName name="solver_rel126" localSheetId="0" hidden="1">5</definedName>
    <definedName name="solver_rel1260" localSheetId="0" hidden="1">5</definedName>
    <definedName name="solver_rel1261" localSheetId="0" hidden="1">5</definedName>
    <definedName name="solver_rel1262" localSheetId="0" hidden="1">5</definedName>
    <definedName name="solver_rel1263" localSheetId="0" hidden="1">5</definedName>
    <definedName name="solver_rel1264" localSheetId="0" hidden="1">5</definedName>
    <definedName name="solver_rel1265" localSheetId="0" hidden="1">5</definedName>
    <definedName name="solver_rel1266" localSheetId="0" hidden="1">5</definedName>
    <definedName name="solver_rel1267" localSheetId="0" hidden="1">5</definedName>
    <definedName name="solver_rel1268" localSheetId="0" hidden="1">5</definedName>
    <definedName name="solver_rel1269" localSheetId="0" hidden="1">5</definedName>
    <definedName name="solver_rel127" localSheetId="0" hidden="1">5</definedName>
    <definedName name="solver_rel1270" localSheetId="0" hidden="1">5</definedName>
    <definedName name="solver_rel1271" localSheetId="0" hidden="1">5</definedName>
    <definedName name="solver_rel1272" localSheetId="0" hidden="1">5</definedName>
    <definedName name="solver_rel1273" localSheetId="0" hidden="1">5</definedName>
    <definedName name="solver_rel1274" localSheetId="0" hidden="1">5</definedName>
    <definedName name="solver_rel1275" localSheetId="0" hidden="1">5</definedName>
    <definedName name="solver_rel1276" localSheetId="0" hidden="1">5</definedName>
    <definedName name="solver_rel1277" localSheetId="0" hidden="1">5</definedName>
    <definedName name="solver_rel1278" localSheetId="0" hidden="1">5</definedName>
    <definedName name="solver_rel1279" localSheetId="0" hidden="1">5</definedName>
    <definedName name="solver_rel128" localSheetId="0" hidden="1">5</definedName>
    <definedName name="solver_rel1280" localSheetId="0" hidden="1">5</definedName>
    <definedName name="solver_rel1281" localSheetId="0" hidden="1">5</definedName>
    <definedName name="solver_rel1282" localSheetId="0" hidden="1">5</definedName>
    <definedName name="solver_rel1283" localSheetId="0" hidden="1">5</definedName>
    <definedName name="solver_rel1284" localSheetId="0" hidden="1">5</definedName>
    <definedName name="solver_rel1285" localSheetId="0" hidden="1">5</definedName>
    <definedName name="solver_rel1286" localSheetId="0" hidden="1">5</definedName>
    <definedName name="solver_rel1287" localSheetId="0" hidden="1">5</definedName>
    <definedName name="solver_rel1288" localSheetId="0" hidden="1">5</definedName>
    <definedName name="solver_rel1289" localSheetId="0" hidden="1">5</definedName>
    <definedName name="solver_rel129" localSheetId="0" hidden="1">5</definedName>
    <definedName name="solver_rel1290" localSheetId="0" hidden="1">5</definedName>
    <definedName name="solver_rel1291" localSheetId="0" hidden="1">5</definedName>
    <definedName name="solver_rel1292" localSheetId="0" hidden="1">5</definedName>
    <definedName name="solver_rel1293" localSheetId="0" hidden="1">5</definedName>
    <definedName name="solver_rel1294" localSheetId="0" hidden="1">5</definedName>
    <definedName name="solver_rel1295" localSheetId="0" hidden="1">5</definedName>
    <definedName name="solver_rel1296" localSheetId="0" hidden="1">5</definedName>
    <definedName name="solver_rel1297" localSheetId="0" hidden="1">5</definedName>
    <definedName name="solver_rel1298" localSheetId="0" hidden="1">5</definedName>
    <definedName name="solver_rel1299" localSheetId="0" hidden="1">5</definedName>
    <definedName name="solver_rel13" localSheetId="0" hidden="1">5</definedName>
    <definedName name="solver_rel130" localSheetId="0" hidden="1">5</definedName>
    <definedName name="solver_rel1300" localSheetId="0" hidden="1">5</definedName>
    <definedName name="solver_rel1301" localSheetId="0" hidden="1">5</definedName>
    <definedName name="solver_rel1302" localSheetId="0" hidden="1">5</definedName>
    <definedName name="solver_rel1303" localSheetId="0" hidden="1">5</definedName>
    <definedName name="solver_rel1304" localSheetId="0" hidden="1">5</definedName>
    <definedName name="solver_rel1305" localSheetId="0" hidden="1">5</definedName>
    <definedName name="solver_rel1306" localSheetId="0" hidden="1">5</definedName>
    <definedName name="solver_rel1307" localSheetId="0" hidden="1">5</definedName>
    <definedName name="solver_rel1308" localSheetId="0" hidden="1">5</definedName>
    <definedName name="solver_rel1309" localSheetId="0" hidden="1">5</definedName>
    <definedName name="solver_rel131" localSheetId="0" hidden="1">5</definedName>
    <definedName name="solver_rel1310" localSheetId="0" hidden="1">5</definedName>
    <definedName name="solver_rel1311" localSheetId="0" hidden="1">5</definedName>
    <definedName name="solver_rel1312" localSheetId="0" hidden="1">5</definedName>
    <definedName name="solver_rel1313" localSheetId="0" hidden="1">5</definedName>
    <definedName name="solver_rel1314" localSheetId="0" hidden="1">5</definedName>
    <definedName name="solver_rel1315" localSheetId="0" hidden="1">5</definedName>
    <definedName name="solver_rel1316" localSheetId="0" hidden="1">5</definedName>
    <definedName name="solver_rel1317" localSheetId="0" hidden="1">5</definedName>
    <definedName name="solver_rel1318" localSheetId="0" hidden="1">5</definedName>
    <definedName name="solver_rel1319" localSheetId="0" hidden="1">5</definedName>
    <definedName name="solver_rel132" localSheetId="0" hidden="1">5</definedName>
    <definedName name="solver_rel1320" localSheetId="0" hidden="1">5</definedName>
    <definedName name="solver_rel1321" localSheetId="0" hidden="1">5</definedName>
    <definedName name="solver_rel1322" localSheetId="0" hidden="1">5</definedName>
    <definedName name="solver_rel1323" localSheetId="0" hidden="1">5</definedName>
    <definedName name="solver_rel1324" localSheetId="0" hidden="1">5</definedName>
    <definedName name="solver_rel1325" localSheetId="0" hidden="1">5</definedName>
    <definedName name="solver_rel1326" localSheetId="0" hidden="1">5</definedName>
    <definedName name="solver_rel1327" localSheetId="0" hidden="1">5</definedName>
    <definedName name="solver_rel1328" localSheetId="0" hidden="1">5</definedName>
    <definedName name="solver_rel1329" localSheetId="0" hidden="1">5</definedName>
    <definedName name="solver_rel133" localSheetId="0" hidden="1">5</definedName>
    <definedName name="solver_rel1330" localSheetId="0" hidden="1">5</definedName>
    <definedName name="solver_rel1331" localSheetId="0" hidden="1">5</definedName>
    <definedName name="solver_rel1332" localSheetId="0" hidden="1">5</definedName>
    <definedName name="solver_rel1333" localSheetId="0" hidden="1">5</definedName>
    <definedName name="solver_rel1334" localSheetId="0" hidden="1">5</definedName>
    <definedName name="solver_rel1335" localSheetId="0" hidden="1">5</definedName>
    <definedName name="solver_rel1336" localSheetId="0" hidden="1">5</definedName>
    <definedName name="solver_rel1337" localSheetId="0" hidden="1">5</definedName>
    <definedName name="solver_rel1338" localSheetId="0" hidden="1">5</definedName>
    <definedName name="solver_rel1339" localSheetId="0" hidden="1">5</definedName>
    <definedName name="solver_rel134" localSheetId="0" hidden="1">5</definedName>
    <definedName name="solver_rel1340" localSheetId="0" hidden="1">5</definedName>
    <definedName name="solver_rel1341" localSheetId="0" hidden="1">5</definedName>
    <definedName name="solver_rel1342" localSheetId="0" hidden="1">5</definedName>
    <definedName name="solver_rel1343" localSheetId="0" hidden="1">5</definedName>
    <definedName name="solver_rel1344" localSheetId="0" hidden="1">5</definedName>
    <definedName name="solver_rel1345" localSheetId="0" hidden="1">5</definedName>
    <definedName name="solver_rel1346" localSheetId="0" hidden="1">5</definedName>
    <definedName name="solver_rel1347" localSheetId="0" hidden="1">5</definedName>
    <definedName name="solver_rel1348" localSheetId="0" hidden="1">5</definedName>
    <definedName name="solver_rel1349" localSheetId="0" hidden="1">5</definedName>
    <definedName name="solver_rel135" localSheetId="0" hidden="1">5</definedName>
    <definedName name="solver_rel1350" localSheetId="0" hidden="1">5</definedName>
    <definedName name="solver_rel1351" localSheetId="0" hidden="1">5</definedName>
    <definedName name="solver_rel1352" localSheetId="0" hidden="1">5</definedName>
    <definedName name="solver_rel1353" localSheetId="0" hidden="1">5</definedName>
    <definedName name="solver_rel1354" localSheetId="0" hidden="1">5</definedName>
    <definedName name="solver_rel1355" localSheetId="0" hidden="1">5</definedName>
    <definedName name="solver_rel1356" localSheetId="0" hidden="1">5</definedName>
    <definedName name="solver_rel1357" localSheetId="0" hidden="1">5</definedName>
    <definedName name="solver_rel1358" localSheetId="0" hidden="1">5</definedName>
    <definedName name="solver_rel1359" localSheetId="0" hidden="1">5</definedName>
    <definedName name="solver_rel136" localSheetId="0" hidden="1">5</definedName>
    <definedName name="solver_rel1360" localSheetId="0" hidden="1">5</definedName>
    <definedName name="solver_rel1361" localSheetId="0" hidden="1">5</definedName>
    <definedName name="solver_rel1362" localSheetId="0" hidden="1">5</definedName>
    <definedName name="solver_rel1363" localSheetId="0" hidden="1">5</definedName>
    <definedName name="solver_rel1364" localSheetId="0" hidden="1">5</definedName>
    <definedName name="solver_rel1365" localSheetId="0" hidden="1">5</definedName>
    <definedName name="solver_rel1366" localSheetId="0" hidden="1">5</definedName>
    <definedName name="solver_rel1367" localSheetId="0" hidden="1">5</definedName>
    <definedName name="solver_rel1368" localSheetId="0" hidden="1">5</definedName>
    <definedName name="solver_rel1369" localSheetId="0" hidden="1">5</definedName>
    <definedName name="solver_rel137" localSheetId="0" hidden="1">5</definedName>
    <definedName name="solver_rel1370" localSheetId="0" hidden="1">5</definedName>
    <definedName name="solver_rel1371" localSheetId="0" hidden="1">5</definedName>
    <definedName name="solver_rel1372" localSheetId="0" hidden="1">5</definedName>
    <definedName name="solver_rel1373" localSheetId="0" hidden="1">5</definedName>
    <definedName name="solver_rel1374" localSheetId="0" hidden="1">5</definedName>
    <definedName name="solver_rel1375" localSheetId="0" hidden="1">5</definedName>
    <definedName name="solver_rel1376" localSheetId="0" hidden="1">5</definedName>
    <definedName name="solver_rel1377" localSheetId="0" hidden="1">5</definedName>
    <definedName name="solver_rel1378" localSheetId="0" hidden="1">5</definedName>
    <definedName name="solver_rel1379" localSheetId="0" hidden="1">5</definedName>
    <definedName name="solver_rel138" localSheetId="0" hidden="1">5</definedName>
    <definedName name="solver_rel1380" localSheetId="0" hidden="1">5</definedName>
    <definedName name="solver_rel1381" localSheetId="0" hidden="1">5</definedName>
    <definedName name="solver_rel1382" localSheetId="0" hidden="1">5</definedName>
    <definedName name="solver_rel1383" localSheetId="0" hidden="1">5</definedName>
    <definedName name="solver_rel1384" localSheetId="0" hidden="1">5</definedName>
    <definedName name="solver_rel1385" localSheetId="0" hidden="1">5</definedName>
    <definedName name="solver_rel1386" localSheetId="0" hidden="1">5</definedName>
    <definedName name="solver_rel1387" localSheetId="0" hidden="1">5</definedName>
    <definedName name="solver_rel1388" localSheetId="0" hidden="1">5</definedName>
    <definedName name="solver_rel1389" localSheetId="0" hidden="1">5</definedName>
    <definedName name="solver_rel139" localSheetId="0" hidden="1">5</definedName>
    <definedName name="solver_rel1390" localSheetId="0" hidden="1">5</definedName>
    <definedName name="solver_rel1391" localSheetId="0" hidden="1">5</definedName>
    <definedName name="solver_rel1392" localSheetId="0" hidden="1">5</definedName>
    <definedName name="solver_rel1393" localSheetId="0" hidden="1">5</definedName>
    <definedName name="solver_rel1394" localSheetId="0" hidden="1">5</definedName>
    <definedName name="solver_rel1395" localSheetId="0" hidden="1">5</definedName>
    <definedName name="solver_rel1396" localSheetId="0" hidden="1">5</definedName>
    <definedName name="solver_rel1397" localSheetId="0" hidden="1">5</definedName>
    <definedName name="solver_rel1398" localSheetId="0" hidden="1">5</definedName>
    <definedName name="solver_rel1399" localSheetId="0" hidden="1">5</definedName>
    <definedName name="solver_rel14" localSheetId="0" hidden="1">5</definedName>
    <definedName name="solver_rel140" localSheetId="0" hidden="1">5</definedName>
    <definedName name="solver_rel1400" localSheetId="0" hidden="1">5</definedName>
    <definedName name="solver_rel1401" localSheetId="0" hidden="1">5</definedName>
    <definedName name="solver_rel1402" localSheetId="0" hidden="1">5</definedName>
    <definedName name="solver_rel1403" localSheetId="0" hidden="1">5</definedName>
    <definedName name="solver_rel1404" localSheetId="0" hidden="1">5</definedName>
    <definedName name="solver_rel1405" localSheetId="0" hidden="1">5</definedName>
    <definedName name="solver_rel1406" localSheetId="0" hidden="1">5</definedName>
    <definedName name="solver_rel1407" localSheetId="0" hidden="1">5</definedName>
    <definedName name="solver_rel1408" localSheetId="0" hidden="1">5</definedName>
    <definedName name="solver_rel1409" localSheetId="0" hidden="1">5</definedName>
    <definedName name="solver_rel141" localSheetId="0" hidden="1">5</definedName>
    <definedName name="solver_rel1410" localSheetId="0" hidden="1">5</definedName>
    <definedName name="solver_rel1411" localSheetId="0" hidden="1">5</definedName>
    <definedName name="solver_rel1412" localSheetId="0" hidden="1">5</definedName>
    <definedName name="solver_rel1413" localSheetId="0" hidden="1">5</definedName>
    <definedName name="solver_rel1414" localSheetId="0" hidden="1">5</definedName>
    <definedName name="solver_rel1415" localSheetId="0" hidden="1">5</definedName>
    <definedName name="solver_rel1416" localSheetId="0" hidden="1">5</definedName>
    <definedName name="solver_rel1417" localSheetId="0" hidden="1">5</definedName>
    <definedName name="solver_rel1418" localSheetId="0" hidden="1">5</definedName>
    <definedName name="solver_rel1419" localSheetId="0" hidden="1">5</definedName>
    <definedName name="solver_rel142" localSheetId="0" hidden="1">5</definedName>
    <definedName name="solver_rel1420" localSheetId="0" hidden="1">5</definedName>
    <definedName name="solver_rel1421" localSheetId="0" hidden="1">5</definedName>
    <definedName name="solver_rel1422" localSheetId="0" hidden="1">5</definedName>
    <definedName name="solver_rel1423" localSheetId="0" hidden="1">5</definedName>
    <definedName name="solver_rel1424" localSheetId="0" hidden="1">5</definedName>
    <definedName name="solver_rel1425" localSheetId="0" hidden="1">5</definedName>
    <definedName name="solver_rel1426" localSheetId="0" hidden="1">5</definedName>
    <definedName name="solver_rel1427" localSheetId="0" hidden="1">5</definedName>
    <definedName name="solver_rel1428" localSheetId="0" hidden="1">5</definedName>
    <definedName name="solver_rel1429" localSheetId="0" hidden="1">5</definedName>
    <definedName name="solver_rel143" localSheetId="0" hidden="1">5</definedName>
    <definedName name="solver_rel1430" localSheetId="0" hidden="1">5</definedName>
    <definedName name="solver_rel1431" localSheetId="0" hidden="1">5</definedName>
    <definedName name="solver_rel1432" localSheetId="0" hidden="1">5</definedName>
    <definedName name="solver_rel1433" localSheetId="0" hidden="1">5</definedName>
    <definedName name="solver_rel1434" localSheetId="0" hidden="1">5</definedName>
    <definedName name="solver_rel1435" localSheetId="0" hidden="1">5</definedName>
    <definedName name="solver_rel1436" localSheetId="0" hidden="1">5</definedName>
    <definedName name="solver_rel1437" localSheetId="0" hidden="1">5</definedName>
    <definedName name="solver_rel1438" localSheetId="0" hidden="1">5</definedName>
    <definedName name="solver_rel1439" localSheetId="0" hidden="1">5</definedName>
    <definedName name="solver_rel144" localSheetId="0" hidden="1">5</definedName>
    <definedName name="solver_rel1440" localSheetId="0" hidden="1">5</definedName>
    <definedName name="solver_rel1441" localSheetId="0" hidden="1">5</definedName>
    <definedName name="solver_rel1442" localSheetId="0" hidden="1">5</definedName>
    <definedName name="solver_rel1443" localSheetId="0" hidden="1">5</definedName>
    <definedName name="solver_rel1444" localSheetId="0" hidden="1">5</definedName>
    <definedName name="solver_rel1445" localSheetId="0" hidden="1">5</definedName>
    <definedName name="solver_rel1446" localSheetId="0" hidden="1">5</definedName>
    <definedName name="solver_rel1447" localSheetId="0" hidden="1">5</definedName>
    <definedName name="solver_rel1448" localSheetId="0" hidden="1">5</definedName>
    <definedName name="solver_rel1449" localSheetId="0" hidden="1">5</definedName>
    <definedName name="solver_rel145" localSheetId="0" hidden="1">5</definedName>
    <definedName name="solver_rel1450" localSheetId="0" hidden="1">5</definedName>
    <definedName name="solver_rel1451" localSheetId="0" hidden="1">5</definedName>
    <definedName name="solver_rel1452" localSheetId="0" hidden="1">5</definedName>
    <definedName name="solver_rel1453" localSheetId="0" hidden="1">5</definedName>
    <definedName name="solver_rel1454" localSheetId="0" hidden="1">5</definedName>
    <definedName name="solver_rel1455" localSheetId="0" hidden="1">5</definedName>
    <definedName name="solver_rel1456" localSheetId="0" hidden="1">5</definedName>
    <definedName name="solver_rel1457" localSheetId="0" hidden="1">5</definedName>
    <definedName name="solver_rel1458" localSheetId="0" hidden="1">5</definedName>
    <definedName name="solver_rel1459" localSheetId="0" hidden="1">5</definedName>
    <definedName name="solver_rel146" localSheetId="0" hidden="1">5</definedName>
    <definedName name="solver_rel1460" localSheetId="0" hidden="1">5</definedName>
    <definedName name="solver_rel1461" localSheetId="0" hidden="1">5</definedName>
    <definedName name="solver_rel1462" localSheetId="0" hidden="1">5</definedName>
    <definedName name="solver_rel1463" localSheetId="0" hidden="1">5</definedName>
    <definedName name="solver_rel1464" localSheetId="0" hidden="1">5</definedName>
    <definedName name="solver_rel1465" localSheetId="0" hidden="1">5</definedName>
    <definedName name="solver_rel1466" localSheetId="0" hidden="1">5</definedName>
    <definedName name="solver_rel1467" localSheetId="0" hidden="1">5</definedName>
    <definedName name="solver_rel1468" localSheetId="0" hidden="1">5</definedName>
    <definedName name="solver_rel1469" localSheetId="0" hidden="1">5</definedName>
    <definedName name="solver_rel147" localSheetId="0" hidden="1">5</definedName>
    <definedName name="solver_rel1470" localSheetId="0" hidden="1">5</definedName>
    <definedName name="solver_rel1471" localSheetId="0" hidden="1">5</definedName>
    <definedName name="solver_rel1472" localSheetId="0" hidden="1">5</definedName>
    <definedName name="solver_rel1473" localSheetId="0" hidden="1">5</definedName>
    <definedName name="solver_rel1474" localSheetId="0" hidden="1">5</definedName>
    <definedName name="solver_rel1475" localSheetId="0" hidden="1">5</definedName>
    <definedName name="solver_rel1476" localSheetId="0" hidden="1">5</definedName>
    <definedName name="solver_rel1477" localSheetId="0" hidden="1">5</definedName>
    <definedName name="solver_rel1478" localSheetId="0" hidden="1">5</definedName>
    <definedName name="solver_rel1479" localSheetId="0" hidden="1">5</definedName>
    <definedName name="solver_rel148" localSheetId="0" hidden="1">5</definedName>
    <definedName name="solver_rel1480" localSheetId="0" hidden="1">5</definedName>
    <definedName name="solver_rel1481" localSheetId="0" hidden="1">5</definedName>
    <definedName name="solver_rel1482" localSheetId="0" hidden="1">5</definedName>
    <definedName name="solver_rel1483" localSheetId="0" hidden="1">5</definedName>
    <definedName name="solver_rel1484" localSheetId="0" hidden="1">5</definedName>
    <definedName name="solver_rel1485" localSheetId="0" hidden="1">5</definedName>
    <definedName name="solver_rel1486" localSheetId="0" hidden="1">5</definedName>
    <definedName name="solver_rel1487" localSheetId="0" hidden="1">5</definedName>
    <definedName name="solver_rel1488" localSheetId="0" hidden="1">5</definedName>
    <definedName name="solver_rel1489" localSheetId="0" hidden="1">5</definedName>
    <definedName name="solver_rel149" localSheetId="0" hidden="1">5</definedName>
    <definedName name="solver_rel1490" localSheetId="0" hidden="1">5</definedName>
    <definedName name="solver_rel1491" localSheetId="0" hidden="1">5</definedName>
    <definedName name="solver_rel1492" localSheetId="0" hidden="1">5</definedName>
    <definedName name="solver_rel1493" localSheetId="0" hidden="1">5</definedName>
    <definedName name="solver_rel1494" localSheetId="0" hidden="1">5</definedName>
    <definedName name="solver_rel1495" localSheetId="0" hidden="1">5</definedName>
    <definedName name="solver_rel1496" localSheetId="0" hidden="1">5</definedName>
    <definedName name="solver_rel1497" localSheetId="0" hidden="1">5</definedName>
    <definedName name="solver_rel1498" localSheetId="0" hidden="1">5</definedName>
    <definedName name="solver_rel1499" localSheetId="0" hidden="1">5</definedName>
    <definedName name="solver_rel15" localSheetId="0" hidden="1">5</definedName>
    <definedName name="solver_rel150" localSheetId="0" hidden="1">5</definedName>
    <definedName name="solver_rel1500" localSheetId="0" hidden="1">5</definedName>
    <definedName name="solver_rel1501" localSheetId="0" hidden="1">5</definedName>
    <definedName name="solver_rel1502" localSheetId="0" hidden="1">5</definedName>
    <definedName name="solver_rel1503" localSheetId="0" hidden="1">5</definedName>
    <definedName name="solver_rel1504" localSheetId="0" hidden="1">5</definedName>
    <definedName name="solver_rel1505" localSheetId="0" hidden="1">5</definedName>
    <definedName name="solver_rel1506" localSheetId="0" hidden="1">5</definedName>
    <definedName name="solver_rel1507" localSheetId="0" hidden="1">5</definedName>
    <definedName name="solver_rel1508" localSheetId="0" hidden="1">5</definedName>
    <definedName name="solver_rel1509" localSheetId="0" hidden="1">5</definedName>
    <definedName name="solver_rel151" localSheetId="0" hidden="1">5</definedName>
    <definedName name="solver_rel1510" localSheetId="0" hidden="1">5</definedName>
    <definedName name="solver_rel1511" localSheetId="0" hidden="1">5</definedName>
    <definedName name="solver_rel1512" localSheetId="0" hidden="1">5</definedName>
    <definedName name="solver_rel1513" localSheetId="0" hidden="1">5</definedName>
    <definedName name="solver_rel1514" localSheetId="0" hidden="1">5</definedName>
    <definedName name="solver_rel1515" localSheetId="0" hidden="1">5</definedName>
    <definedName name="solver_rel1516" localSheetId="0" hidden="1">5</definedName>
    <definedName name="solver_rel1517" localSheetId="0" hidden="1">5</definedName>
    <definedName name="solver_rel1518" localSheetId="0" hidden="1">5</definedName>
    <definedName name="solver_rel1519" localSheetId="0" hidden="1">5</definedName>
    <definedName name="solver_rel152" localSheetId="0" hidden="1">5</definedName>
    <definedName name="solver_rel1520" localSheetId="0" hidden="1">5</definedName>
    <definedName name="solver_rel1521" localSheetId="0" hidden="1">5</definedName>
    <definedName name="solver_rel1522" localSheetId="0" hidden="1">5</definedName>
    <definedName name="solver_rel1523" localSheetId="0" hidden="1">5</definedName>
    <definedName name="solver_rel1524" localSheetId="0" hidden="1">5</definedName>
    <definedName name="solver_rel1525" localSheetId="0" hidden="1">5</definedName>
    <definedName name="solver_rel1526" localSheetId="0" hidden="1">5</definedName>
    <definedName name="solver_rel1527" localSheetId="0" hidden="1">5</definedName>
    <definedName name="solver_rel1528" localSheetId="0" hidden="1">5</definedName>
    <definedName name="solver_rel1529" localSheetId="0" hidden="1">5</definedName>
    <definedName name="solver_rel153" localSheetId="0" hidden="1">5</definedName>
    <definedName name="solver_rel1530" localSheetId="0" hidden="1">5</definedName>
    <definedName name="solver_rel1531" localSheetId="0" hidden="1">5</definedName>
    <definedName name="solver_rel1532" localSheetId="0" hidden="1">5</definedName>
    <definedName name="solver_rel1533" localSheetId="0" hidden="1">5</definedName>
    <definedName name="solver_rel1534" localSheetId="0" hidden="1">5</definedName>
    <definedName name="solver_rel1535" localSheetId="0" hidden="1">5</definedName>
    <definedName name="solver_rel1536" localSheetId="0" hidden="1">5</definedName>
    <definedName name="solver_rel1537" localSheetId="0" hidden="1">5</definedName>
    <definedName name="solver_rel1538" localSheetId="0" hidden="1">5</definedName>
    <definedName name="solver_rel1539" localSheetId="0" hidden="1">5</definedName>
    <definedName name="solver_rel154" localSheetId="0" hidden="1">5</definedName>
    <definedName name="solver_rel1540" localSheetId="0" hidden="1">5</definedName>
    <definedName name="solver_rel1541" localSheetId="0" hidden="1">5</definedName>
    <definedName name="solver_rel1542" localSheetId="0" hidden="1">5</definedName>
    <definedName name="solver_rel1543" localSheetId="0" hidden="1">5</definedName>
    <definedName name="solver_rel1544" localSheetId="0" hidden="1">5</definedName>
    <definedName name="solver_rel1545" localSheetId="0" hidden="1">5</definedName>
    <definedName name="solver_rel1546" localSheetId="0" hidden="1">5</definedName>
    <definedName name="solver_rel1547" localSheetId="0" hidden="1">5</definedName>
    <definedName name="solver_rel1548" localSheetId="0" hidden="1">5</definedName>
    <definedName name="solver_rel1549" localSheetId="0" hidden="1">5</definedName>
    <definedName name="solver_rel155" localSheetId="0" hidden="1">5</definedName>
    <definedName name="solver_rel1550" localSheetId="0" hidden="1">5</definedName>
    <definedName name="solver_rel1551" localSheetId="0" hidden="1">5</definedName>
    <definedName name="solver_rel1552" localSheetId="0" hidden="1">5</definedName>
    <definedName name="solver_rel1553" localSheetId="0" hidden="1">5</definedName>
    <definedName name="solver_rel1554" localSheetId="0" hidden="1">5</definedName>
    <definedName name="solver_rel1555" localSheetId="0" hidden="1">5</definedName>
    <definedName name="solver_rel1556" localSheetId="0" hidden="1">5</definedName>
    <definedName name="solver_rel1557" localSheetId="0" hidden="1">5</definedName>
    <definedName name="solver_rel1558" localSheetId="0" hidden="1">5</definedName>
    <definedName name="solver_rel1559" localSheetId="0" hidden="1">5</definedName>
    <definedName name="solver_rel156" localSheetId="0" hidden="1">5</definedName>
    <definedName name="solver_rel1560" localSheetId="0" hidden="1">5</definedName>
    <definedName name="solver_rel1561" localSheetId="0" hidden="1">5</definedName>
    <definedName name="solver_rel1562" localSheetId="0" hidden="1">5</definedName>
    <definedName name="solver_rel1563" localSheetId="0" hidden="1">5</definedName>
    <definedName name="solver_rel1564" localSheetId="0" hidden="1">5</definedName>
    <definedName name="solver_rel1565" localSheetId="0" hidden="1">5</definedName>
    <definedName name="solver_rel1566" localSheetId="0" hidden="1">5</definedName>
    <definedName name="solver_rel1567" localSheetId="0" hidden="1">5</definedName>
    <definedName name="solver_rel1568" localSheetId="0" hidden="1">5</definedName>
    <definedName name="solver_rel1569" localSheetId="0" hidden="1">5</definedName>
    <definedName name="solver_rel157" localSheetId="0" hidden="1">5</definedName>
    <definedName name="solver_rel1570" localSheetId="0" hidden="1">5</definedName>
    <definedName name="solver_rel1571" localSheetId="0" hidden="1">5</definedName>
    <definedName name="solver_rel1572" localSheetId="0" hidden="1">5</definedName>
    <definedName name="solver_rel1573" localSheetId="0" hidden="1">5</definedName>
    <definedName name="solver_rel1574" localSheetId="0" hidden="1">5</definedName>
    <definedName name="solver_rel1575" localSheetId="0" hidden="1">5</definedName>
    <definedName name="solver_rel1576" localSheetId="0" hidden="1">5</definedName>
    <definedName name="solver_rel1577" localSheetId="0" hidden="1">5</definedName>
    <definedName name="solver_rel1578" localSheetId="0" hidden="1">5</definedName>
    <definedName name="solver_rel1579" localSheetId="0" hidden="1">5</definedName>
    <definedName name="solver_rel158" localSheetId="0" hidden="1">5</definedName>
    <definedName name="solver_rel1580" localSheetId="0" hidden="1">5</definedName>
    <definedName name="solver_rel1581" localSheetId="0" hidden="1">5</definedName>
    <definedName name="solver_rel1582" localSheetId="0" hidden="1">5</definedName>
    <definedName name="solver_rel1583" localSheetId="0" hidden="1">5</definedName>
    <definedName name="solver_rel1584" localSheetId="0" hidden="1">5</definedName>
    <definedName name="solver_rel1585" localSheetId="0" hidden="1">5</definedName>
    <definedName name="solver_rel1586" localSheetId="0" hidden="1">5</definedName>
    <definedName name="solver_rel1587" localSheetId="0" hidden="1">5</definedName>
    <definedName name="solver_rel1588" localSheetId="0" hidden="1">5</definedName>
    <definedName name="solver_rel1589" localSheetId="0" hidden="1">5</definedName>
    <definedName name="solver_rel159" localSheetId="0" hidden="1">5</definedName>
    <definedName name="solver_rel1590" localSheetId="0" hidden="1">5</definedName>
    <definedName name="solver_rel1591" localSheetId="0" hidden="1">5</definedName>
    <definedName name="solver_rel1592" localSheetId="0" hidden="1">5</definedName>
    <definedName name="solver_rel1593" localSheetId="0" hidden="1">5</definedName>
    <definedName name="solver_rel1594" localSheetId="0" hidden="1">5</definedName>
    <definedName name="solver_rel1595" localSheetId="0" hidden="1">5</definedName>
    <definedName name="solver_rel1596" localSheetId="0" hidden="1">5</definedName>
    <definedName name="solver_rel1597" localSheetId="0" hidden="1">5</definedName>
    <definedName name="solver_rel1598" localSheetId="0" hidden="1">5</definedName>
    <definedName name="solver_rel1599" localSheetId="0" hidden="1">5</definedName>
    <definedName name="solver_rel16" localSheetId="0" hidden="1">5</definedName>
    <definedName name="solver_rel160" localSheetId="0" hidden="1">5</definedName>
    <definedName name="solver_rel1600" localSheetId="0" hidden="1">5</definedName>
    <definedName name="solver_rel1601" localSheetId="0" hidden="1">5</definedName>
    <definedName name="solver_rel1602" localSheetId="0" hidden="1">5</definedName>
    <definedName name="solver_rel1603" localSheetId="0" hidden="1">5</definedName>
    <definedName name="solver_rel1604" localSheetId="0" hidden="1">5</definedName>
    <definedName name="solver_rel1605" localSheetId="0" hidden="1">5</definedName>
    <definedName name="solver_rel1606" localSheetId="0" hidden="1">5</definedName>
    <definedName name="solver_rel1607" localSheetId="0" hidden="1">5</definedName>
    <definedName name="solver_rel1608" localSheetId="0" hidden="1">5</definedName>
    <definedName name="solver_rel1609" localSheetId="0" hidden="1">5</definedName>
    <definedName name="solver_rel161" localSheetId="0" hidden="1">5</definedName>
    <definedName name="solver_rel1610" localSheetId="0" hidden="1">5</definedName>
    <definedName name="solver_rel1611" localSheetId="0" hidden="1">5</definedName>
    <definedName name="solver_rel1612" localSheetId="0" hidden="1">5</definedName>
    <definedName name="solver_rel1613" localSheetId="0" hidden="1">5</definedName>
    <definedName name="solver_rel1614" localSheetId="0" hidden="1">5</definedName>
    <definedName name="solver_rel1615" localSheetId="0" hidden="1">5</definedName>
    <definedName name="solver_rel1616" localSheetId="0" hidden="1">5</definedName>
    <definedName name="solver_rel1617" localSheetId="0" hidden="1">5</definedName>
    <definedName name="solver_rel1618" localSheetId="0" hidden="1">5</definedName>
    <definedName name="solver_rel1619" localSheetId="0" hidden="1">5</definedName>
    <definedName name="solver_rel162" localSheetId="0" hidden="1">5</definedName>
    <definedName name="solver_rel1620" localSheetId="0" hidden="1">5</definedName>
    <definedName name="solver_rel1621" localSheetId="0" hidden="1">5</definedName>
    <definedName name="solver_rel1622" localSheetId="0" hidden="1">5</definedName>
    <definedName name="solver_rel1623" localSheetId="0" hidden="1">5</definedName>
    <definedName name="solver_rel1624" localSheetId="0" hidden="1">5</definedName>
    <definedName name="solver_rel1625" localSheetId="0" hidden="1">5</definedName>
    <definedName name="solver_rel1626" localSheetId="0" hidden="1">5</definedName>
    <definedName name="solver_rel1627" localSheetId="0" hidden="1">5</definedName>
    <definedName name="solver_rel1628" localSheetId="0" hidden="1">5</definedName>
    <definedName name="solver_rel1629" localSheetId="0" hidden="1">5</definedName>
    <definedName name="solver_rel163" localSheetId="0" hidden="1">5</definedName>
    <definedName name="solver_rel1630" localSheetId="0" hidden="1">5</definedName>
    <definedName name="solver_rel1631" localSheetId="0" hidden="1">5</definedName>
    <definedName name="solver_rel1632" localSheetId="0" hidden="1">5</definedName>
    <definedName name="solver_rel1633" localSheetId="0" hidden="1">5</definedName>
    <definedName name="solver_rel1634" localSheetId="0" hidden="1">5</definedName>
    <definedName name="solver_rel1635" localSheetId="0" hidden="1">5</definedName>
    <definedName name="solver_rel1636" localSheetId="0" hidden="1">5</definedName>
    <definedName name="solver_rel1637" localSheetId="0" hidden="1">5</definedName>
    <definedName name="solver_rel1638" localSheetId="0" hidden="1">5</definedName>
    <definedName name="solver_rel1639" localSheetId="0" hidden="1">5</definedName>
    <definedName name="solver_rel164" localSheetId="0" hidden="1">5</definedName>
    <definedName name="solver_rel1640" localSheetId="0" hidden="1">5</definedName>
    <definedName name="solver_rel1641" localSheetId="0" hidden="1">5</definedName>
    <definedName name="solver_rel1642" localSheetId="0" hidden="1">5</definedName>
    <definedName name="solver_rel1643" localSheetId="0" hidden="1">5</definedName>
    <definedName name="solver_rel1644" localSheetId="0" hidden="1">5</definedName>
    <definedName name="solver_rel1645" localSheetId="0" hidden="1">5</definedName>
    <definedName name="solver_rel1646" localSheetId="0" hidden="1">5</definedName>
    <definedName name="solver_rel1647" localSheetId="0" hidden="1">5</definedName>
    <definedName name="solver_rel1648" localSheetId="0" hidden="1">5</definedName>
    <definedName name="solver_rel1649" localSheetId="0" hidden="1">5</definedName>
    <definedName name="solver_rel165" localSheetId="0" hidden="1">5</definedName>
    <definedName name="solver_rel1650" localSheetId="0" hidden="1">5</definedName>
    <definedName name="solver_rel1651" localSheetId="0" hidden="1">5</definedName>
    <definedName name="solver_rel1652" localSheetId="0" hidden="1">5</definedName>
    <definedName name="solver_rel1653" localSheetId="0" hidden="1">5</definedName>
    <definedName name="solver_rel1654" localSheetId="0" hidden="1">5</definedName>
    <definedName name="solver_rel1655" localSheetId="0" hidden="1">5</definedName>
    <definedName name="solver_rel1656" localSheetId="0" hidden="1">5</definedName>
    <definedName name="solver_rel1657" localSheetId="0" hidden="1">5</definedName>
    <definedName name="solver_rel1658" localSheetId="0" hidden="1">5</definedName>
    <definedName name="solver_rel1659" localSheetId="0" hidden="1">5</definedName>
    <definedName name="solver_rel166" localSheetId="0" hidden="1">5</definedName>
    <definedName name="solver_rel1660" localSheetId="0" hidden="1">5</definedName>
    <definedName name="solver_rel1661" localSheetId="0" hidden="1">5</definedName>
    <definedName name="solver_rel1662" localSheetId="0" hidden="1">5</definedName>
    <definedName name="solver_rel1663" localSheetId="0" hidden="1">5</definedName>
    <definedName name="solver_rel1664" localSheetId="0" hidden="1">5</definedName>
    <definedName name="solver_rel1665" localSheetId="0" hidden="1">5</definedName>
    <definedName name="solver_rel1666" localSheetId="0" hidden="1">5</definedName>
    <definedName name="solver_rel1667" localSheetId="0" hidden="1">5</definedName>
    <definedName name="solver_rel1668" localSheetId="0" hidden="1">5</definedName>
    <definedName name="solver_rel1669" localSheetId="0" hidden="1">5</definedName>
    <definedName name="solver_rel167" localSheetId="0" hidden="1">5</definedName>
    <definedName name="solver_rel1670" localSheetId="0" hidden="1">5</definedName>
    <definedName name="solver_rel1671" localSheetId="0" hidden="1">5</definedName>
    <definedName name="solver_rel1672" localSheetId="0" hidden="1">5</definedName>
    <definedName name="solver_rel1673" localSheetId="0" hidden="1">5</definedName>
    <definedName name="solver_rel1674" localSheetId="0" hidden="1">5</definedName>
    <definedName name="solver_rel1675" localSheetId="0" hidden="1">5</definedName>
    <definedName name="solver_rel1676" localSheetId="0" hidden="1">5</definedName>
    <definedName name="solver_rel1677" localSheetId="0" hidden="1">5</definedName>
    <definedName name="solver_rel1678" localSheetId="0" hidden="1">5</definedName>
    <definedName name="solver_rel1679" localSheetId="0" hidden="1">5</definedName>
    <definedName name="solver_rel168" localSheetId="0" hidden="1">5</definedName>
    <definedName name="solver_rel1680" localSheetId="0" hidden="1">5</definedName>
    <definedName name="solver_rel1681" localSheetId="0" hidden="1">5</definedName>
    <definedName name="solver_rel1682" localSheetId="0" hidden="1">5</definedName>
    <definedName name="solver_rel1683" localSheetId="0" hidden="1">5</definedName>
    <definedName name="solver_rel1684" localSheetId="0" hidden="1">5</definedName>
    <definedName name="solver_rel1685" localSheetId="0" hidden="1">5</definedName>
    <definedName name="solver_rel1686" localSheetId="0" hidden="1">5</definedName>
    <definedName name="solver_rel1687" localSheetId="0" hidden="1">5</definedName>
    <definedName name="solver_rel1688" localSheetId="0" hidden="1">5</definedName>
    <definedName name="solver_rel1689" localSheetId="0" hidden="1">5</definedName>
    <definedName name="solver_rel169" localSheetId="0" hidden="1">5</definedName>
    <definedName name="solver_rel1690" localSheetId="0" hidden="1">5</definedName>
    <definedName name="solver_rel1691" localSheetId="0" hidden="1">5</definedName>
    <definedName name="solver_rel1692" localSheetId="0" hidden="1">5</definedName>
    <definedName name="solver_rel1693" localSheetId="0" hidden="1">5</definedName>
    <definedName name="solver_rel1694" localSheetId="0" hidden="1">5</definedName>
    <definedName name="solver_rel1695" localSheetId="0" hidden="1">5</definedName>
    <definedName name="solver_rel1696" localSheetId="0" hidden="1">5</definedName>
    <definedName name="solver_rel1697" localSheetId="0" hidden="1">5</definedName>
    <definedName name="solver_rel1698" localSheetId="0" hidden="1">5</definedName>
    <definedName name="solver_rel1699" localSheetId="0" hidden="1">5</definedName>
    <definedName name="solver_rel17" localSheetId="0" hidden="1">5</definedName>
    <definedName name="solver_rel170" localSheetId="0" hidden="1">5</definedName>
    <definedName name="solver_rel1700" localSheetId="0" hidden="1">5</definedName>
    <definedName name="solver_rel1701" localSheetId="0" hidden="1">5</definedName>
    <definedName name="solver_rel1702" localSheetId="0" hidden="1">5</definedName>
    <definedName name="solver_rel1703" localSheetId="0" hidden="1">5</definedName>
    <definedName name="solver_rel1704" localSheetId="0" hidden="1">5</definedName>
    <definedName name="solver_rel1705" localSheetId="0" hidden="1">5</definedName>
    <definedName name="solver_rel1706" localSheetId="0" hidden="1">5</definedName>
    <definedName name="solver_rel1707" localSheetId="0" hidden="1">5</definedName>
    <definedName name="solver_rel1708" localSheetId="0" hidden="1">5</definedName>
    <definedName name="solver_rel1709" localSheetId="0" hidden="1">5</definedName>
    <definedName name="solver_rel171" localSheetId="0" hidden="1">5</definedName>
    <definedName name="solver_rel1710" localSheetId="0" hidden="1">5</definedName>
    <definedName name="solver_rel1711" localSheetId="0" hidden="1">5</definedName>
    <definedName name="solver_rel1712" localSheetId="0" hidden="1">5</definedName>
    <definedName name="solver_rel1713" localSheetId="0" hidden="1">5</definedName>
    <definedName name="solver_rel1714" localSheetId="0" hidden="1">5</definedName>
    <definedName name="solver_rel1715" localSheetId="0" hidden="1">5</definedName>
    <definedName name="solver_rel1716" localSheetId="0" hidden="1">5</definedName>
    <definedName name="solver_rel1717" localSheetId="0" hidden="1">5</definedName>
    <definedName name="solver_rel1718" localSheetId="0" hidden="1">5</definedName>
    <definedName name="solver_rel1719" localSheetId="0" hidden="1">5</definedName>
    <definedName name="solver_rel172" localSheetId="0" hidden="1">5</definedName>
    <definedName name="solver_rel1720" localSheetId="0" hidden="1">5</definedName>
    <definedName name="solver_rel1721" localSheetId="0" hidden="1">5</definedName>
    <definedName name="solver_rel1722" localSheetId="0" hidden="1">5</definedName>
    <definedName name="solver_rel1723" localSheetId="0" hidden="1">5</definedName>
    <definedName name="solver_rel1724" localSheetId="0" hidden="1">5</definedName>
    <definedName name="solver_rel1725" localSheetId="0" hidden="1">5</definedName>
    <definedName name="solver_rel1726" localSheetId="0" hidden="1">5</definedName>
    <definedName name="solver_rel1727" localSheetId="0" hidden="1">5</definedName>
    <definedName name="solver_rel1728" localSheetId="0" hidden="1">5</definedName>
    <definedName name="solver_rel1729" localSheetId="0" hidden="1">5</definedName>
    <definedName name="solver_rel173" localSheetId="0" hidden="1">5</definedName>
    <definedName name="solver_rel1730" localSheetId="0" hidden="1">5</definedName>
    <definedName name="solver_rel1731" localSheetId="0" hidden="1">5</definedName>
    <definedName name="solver_rel1732" localSheetId="0" hidden="1">5</definedName>
    <definedName name="solver_rel1733" localSheetId="0" hidden="1">5</definedName>
    <definedName name="solver_rel1734" localSheetId="0" hidden="1">5</definedName>
    <definedName name="solver_rel1735" localSheetId="0" hidden="1">5</definedName>
    <definedName name="solver_rel1736" localSheetId="0" hidden="1">5</definedName>
    <definedName name="solver_rel1737" localSheetId="0" hidden="1">5</definedName>
    <definedName name="solver_rel1738" localSheetId="0" hidden="1">5</definedName>
    <definedName name="solver_rel1739" localSheetId="0" hidden="1">5</definedName>
    <definedName name="solver_rel174" localSheetId="0" hidden="1">5</definedName>
    <definedName name="solver_rel1740" localSheetId="0" hidden="1">5</definedName>
    <definedName name="solver_rel1741" localSheetId="0" hidden="1">5</definedName>
    <definedName name="solver_rel1742" localSheetId="0" hidden="1">5</definedName>
    <definedName name="solver_rel1743" localSheetId="0" hidden="1">5</definedName>
    <definedName name="solver_rel1744" localSheetId="0" hidden="1">5</definedName>
    <definedName name="solver_rel1745" localSheetId="0" hidden="1">5</definedName>
    <definedName name="solver_rel1746" localSheetId="0" hidden="1">5</definedName>
    <definedName name="solver_rel1747" localSheetId="0" hidden="1">5</definedName>
    <definedName name="solver_rel1748" localSheetId="0" hidden="1">5</definedName>
    <definedName name="solver_rel1749" localSheetId="0" hidden="1">5</definedName>
    <definedName name="solver_rel175" localSheetId="0" hidden="1">5</definedName>
    <definedName name="solver_rel1750" localSheetId="0" hidden="1">5</definedName>
    <definedName name="solver_rel1751" localSheetId="0" hidden="1">5</definedName>
    <definedName name="solver_rel1752" localSheetId="0" hidden="1">5</definedName>
    <definedName name="solver_rel1753" localSheetId="0" hidden="1">5</definedName>
    <definedName name="solver_rel1754" localSheetId="0" hidden="1">5</definedName>
    <definedName name="solver_rel1755" localSheetId="0" hidden="1">5</definedName>
    <definedName name="solver_rel1756" localSheetId="0" hidden="1">5</definedName>
    <definedName name="solver_rel1757" localSheetId="0" hidden="1">5</definedName>
    <definedName name="solver_rel1758" localSheetId="0" hidden="1">5</definedName>
    <definedName name="solver_rel1759" localSheetId="0" hidden="1">5</definedName>
    <definedName name="solver_rel176" localSheetId="0" hidden="1">5</definedName>
    <definedName name="solver_rel1760" localSheetId="0" hidden="1">5</definedName>
    <definedName name="solver_rel1761" localSheetId="0" hidden="1">5</definedName>
    <definedName name="solver_rel1762" localSheetId="0" hidden="1">5</definedName>
    <definedName name="solver_rel1763" localSheetId="0" hidden="1">5</definedName>
    <definedName name="solver_rel1764" localSheetId="0" hidden="1">5</definedName>
    <definedName name="solver_rel1765" localSheetId="0" hidden="1">5</definedName>
    <definedName name="solver_rel1766" localSheetId="0" hidden="1">5</definedName>
    <definedName name="solver_rel1767" localSheetId="0" hidden="1">5</definedName>
    <definedName name="solver_rel1768" localSheetId="0" hidden="1">5</definedName>
    <definedName name="solver_rel1769" localSheetId="0" hidden="1">5</definedName>
    <definedName name="solver_rel177" localSheetId="0" hidden="1">5</definedName>
    <definedName name="solver_rel1770" localSheetId="0" hidden="1">5</definedName>
    <definedName name="solver_rel1771" localSheetId="0" hidden="1">5</definedName>
    <definedName name="solver_rel1772" localSheetId="0" hidden="1">5</definedName>
    <definedName name="solver_rel1773" localSheetId="0" hidden="1">5</definedName>
    <definedName name="solver_rel1774" localSheetId="0" hidden="1">5</definedName>
    <definedName name="solver_rel1775" localSheetId="0" hidden="1">5</definedName>
    <definedName name="solver_rel1776" localSheetId="0" hidden="1">5</definedName>
    <definedName name="solver_rel1777" localSheetId="0" hidden="1">5</definedName>
    <definedName name="solver_rel1778" localSheetId="0" hidden="1">5</definedName>
    <definedName name="solver_rel1779" localSheetId="0" hidden="1">5</definedName>
    <definedName name="solver_rel178" localSheetId="0" hidden="1">5</definedName>
    <definedName name="solver_rel1780" localSheetId="0" hidden="1">5</definedName>
    <definedName name="solver_rel1781" localSheetId="0" hidden="1">5</definedName>
    <definedName name="solver_rel1782" localSheetId="0" hidden="1">5</definedName>
    <definedName name="solver_rel1783" localSheetId="0" hidden="1">5</definedName>
    <definedName name="solver_rel1784" localSheetId="0" hidden="1">5</definedName>
    <definedName name="solver_rel1785" localSheetId="0" hidden="1">5</definedName>
    <definedName name="solver_rel1786" localSheetId="0" hidden="1">5</definedName>
    <definedName name="solver_rel1787" localSheetId="0" hidden="1">5</definedName>
    <definedName name="solver_rel1788" localSheetId="0" hidden="1">5</definedName>
    <definedName name="solver_rel1789" localSheetId="0" hidden="1">5</definedName>
    <definedName name="solver_rel179" localSheetId="0" hidden="1">5</definedName>
    <definedName name="solver_rel1790" localSheetId="0" hidden="1">5</definedName>
    <definedName name="solver_rel1791" localSheetId="0" hidden="1">5</definedName>
    <definedName name="solver_rel1792" localSheetId="0" hidden="1">5</definedName>
    <definedName name="solver_rel1793" localSheetId="0" hidden="1">5</definedName>
    <definedName name="solver_rel1794" localSheetId="0" hidden="1">5</definedName>
    <definedName name="solver_rel1795" localSheetId="0" hidden="1">5</definedName>
    <definedName name="solver_rel1796" localSheetId="0" hidden="1">5</definedName>
    <definedName name="solver_rel1797" localSheetId="0" hidden="1">5</definedName>
    <definedName name="solver_rel1798" localSheetId="0" hidden="1">5</definedName>
    <definedName name="solver_rel1799" localSheetId="0" hidden="1">5</definedName>
    <definedName name="solver_rel18" localSheetId="0" hidden="1">5</definedName>
    <definedName name="solver_rel180" localSheetId="0" hidden="1">5</definedName>
    <definedName name="solver_rel1800" localSheetId="0" hidden="1">5</definedName>
    <definedName name="solver_rel1801" localSheetId="0" hidden="1">5</definedName>
    <definedName name="solver_rel1802" localSheetId="0" hidden="1">5</definedName>
    <definedName name="solver_rel1803" localSheetId="0" hidden="1">5</definedName>
    <definedName name="solver_rel1804" localSheetId="0" hidden="1">5</definedName>
    <definedName name="solver_rel1805" localSheetId="0" hidden="1">5</definedName>
    <definedName name="solver_rel1806" localSheetId="0" hidden="1">5</definedName>
    <definedName name="solver_rel1807" localSheetId="0" hidden="1">5</definedName>
    <definedName name="solver_rel1808" localSheetId="0" hidden="1">5</definedName>
    <definedName name="solver_rel1809" localSheetId="0" hidden="1">5</definedName>
    <definedName name="solver_rel181" localSheetId="0" hidden="1">5</definedName>
    <definedName name="solver_rel1810" localSheetId="0" hidden="1">5</definedName>
    <definedName name="solver_rel1811" localSheetId="0" hidden="1">5</definedName>
    <definedName name="solver_rel1812" localSheetId="0" hidden="1">5</definedName>
    <definedName name="solver_rel1813" localSheetId="0" hidden="1">5</definedName>
    <definedName name="solver_rel1814" localSheetId="0" hidden="1">5</definedName>
    <definedName name="solver_rel1815" localSheetId="0" hidden="1">5</definedName>
    <definedName name="solver_rel1816" localSheetId="0" hidden="1">5</definedName>
    <definedName name="solver_rel1817" localSheetId="0" hidden="1">5</definedName>
    <definedName name="solver_rel1818" localSheetId="0" hidden="1">5</definedName>
    <definedName name="solver_rel1819" localSheetId="0" hidden="1">5</definedName>
    <definedName name="solver_rel182" localSheetId="0" hidden="1">5</definedName>
    <definedName name="solver_rel1820" localSheetId="0" hidden="1">5</definedName>
    <definedName name="solver_rel1821" localSheetId="0" hidden="1">5</definedName>
    <definedName name="solver_rel1822" localSheetId="0" hidden="1">5</definedName>
    <definedName name="solver_rel1823" localSheetId="0" hidden="1">5</definedName>
    <definedName name="solver_rel1824" localSheetId="0" hidden="1">5</definedName>
    <definedName name="solver_rel1825" localSheetId="0" hidden="1">5</definedName>
    <definedName name="solver_rel1826" localSheetId="0" hidden="1">5</definedName>
    <definedName name="solver_rel1827" localSheetId="0" hidden="1">5</definedName>
    <definedName name="solver_rel1828" localSheetId="0" hidden="1">5</definedName>
    <definedName name="solver_rel1829" localSheetId="0" hidden="1">5</definedName>
    <definedName name="solver_rel183" localSheetId="0" hidden="1">5</definedName>
    <definedName name="solver_rel1830" localSheetId="0" hidden="1">5</definedName>
    <definedName name="solver_rel1831" localSheetId="0" hidden="1">5</definedName>
    <definedName name="solver_rel1832" localSheetId="0" hidden="1">5</definedName>
    <definedName name="solver_rel1833" localSheetId="0" hidden="1">5</definedName>
    <definedName name="solver_rel1834" localSheetId="0" hidden="1">5</definedName>
    <definedName name="solver_rel1835" localSheetId="0" hidden="1">5</definedName>
    <definedName name="solver_rel1836" localSheetId="0" hidden="1">5</definedName>
    <definedName name="solver_rel1837" localSheetId="0" hidden="1">5</definedName>
    <definedName name="solver_rel1838" localSheetId="0" hidden="1">5</definedName>
    <definedName name="solver_rel1839" localSheetId="0" hidden="1">5</definedName>
    <definedName name="solver_rel184" localSheetId="0" hidden="1">5</definedName>
    <definedName name="solver_rel1840" localSheetId="0" hidden="1">5</definedName>
    <definedName name="solver_rel1841" localSheetId="0" hidden="1">5</definedName>
    <definedName name="solver_rel1842" localSheetId="0" hidden="1">5</definedName>
    <definedName name="solver_rel1843" localSheetId="0" hidden="1">5</definedName>
    <definedName name="solver_rel1844" localSheetId="0" hidden="1">5</definedName>
    <definedName name="solver_rel1845" localSheetId="0" hidden="1">5</definedName>
    <definedName name="solver_rel1846" localSheetId="0" hidden="1">5</definedName>
    <definedName name="solver_rel1847" localSheetId="0" hidden="1">5</definedName>
    <definedName name="solver_rel1848" localSheetId="0" hidden="1">5</definedName>
    <definedName name="solver_rel1849" localSheetId="0" hidden="1">5</definedName>
    <definedName name="solver_rel185" localSheetId="0" hidden="1">5</definedName>
    <definedName name="solver_rel1850" localSheetId="0" hidden="1">5</definedName>
    <definedName name="solver_rel1851" localSheetId="0" hidden="1">5</definedName>
    <definedName name="solver_rel1852" localSheetId="0" hidden="1">5</definedName>
    <definedName name="solver_rel1853" localSheetId="0" hidden="1">5</definedName>
    <definedName name="solver_rel1854" localSheetId="0" hidden="1">5</definedName>
    <definedName name="solver_rel1855" localSheetId="0" hidden="1">5</definedName>
    <definedName name="solver_rel1856" localSheetId="0" hidden="1">5</definedName>
    <definedName name="solver_rel1857" localSheetId="0" hidden="1">5</definedName>
    <definedName name="solver_rel1858" localSheetId="0" hidden="1">5</definedName>
    <definedName name="solver_rel1859" localSheetId="0" hidden="1">5</definedName>
    <definedName name="solver_rel186" localSheetId="0" hidden="1">5</definedName>
    <definedName name="solver_rel1860" localSheetId="0" hidden="1">5</definedName>
    <definedName name="solver_rel1861" localSheetId="0" hidden="1">5</definedName>
    <definedName name="solver_rel1862" localSheetId="0" hidden="1">5</definedName>
    <definedName name="solver_rel1863" localSheetId="0" hidden="1">5</definedName>
    <definedName name="solver_rel1864" localSheetId="0" hidden="1">5</definedName>
    <definedName name="solver_rel1865" localSheetId="0" hidden="1">5</definedName>
    <definedName name="solver_rel1866" localSheetId="0" hidden="1">5</definedName>
    <definedName name="solver_rel1867" localSheetId="0" hidden="1">5</definedName>
    <definedName name="solver_rel1868" localSheetId="0" hidden="1">5</definedName>
    <definedName name="solver_rel1869" localSheetId="0" hidden="1">5</definedName>
    <definedName name="solver_rel187" localSheetId="0" hidden="1">5</definedName>
    <definedName name="solver_rel1870" localSheetId="0" hidden="1">5</definedName>
    <definedName name="solver_rel1871" localSheetId="0" hidden="1">5</definedName>
    <definedName name="solver_rel1872" localSheetId="0" hidden="1">5</definedName>
    <definedName name="solver_rel1873" localSheetId="0" hidden="1">5</definedName>
    <definedName name="solver_rel1874" localSheetId="0" hidden="1">5</definedName>
    <definedName name="solver_rel1875" localSheetId="0" hidden="1">5</definedName>
    <definedName name="solver_rel1876" localSheetId="0" hidden="1">5</definedName>
    <definedName name="solver_rel1877" localSheetId="0" hidden="1">5</definedName>
    <definedName name="solver_rel1878" localSheetId="0" hidden="1">5</definedName>
    <definedName name="solver_rel1879" localSheetId="0" hidden="1">5</definedName>
    <definedName name="solver_rel188" localSheetId="0" hidden="1">5</definedName>
    <definedName name="solver_rel1880" localSheetId="0" hidden="1">5</definedName>
    <definedName name="solver_rel1881" localSheetId="0" hidden="1">5</definedName>
    <definedName name="solver_rel1882" localSheetId="0" hidden="1">5</definedName>
    <definedName name="solver_rel1883" localSheetId="0" hidden="1">5</definedName>
    <definedName name="solver_rel1884" localSheetId="0" hidden="1">5</definedName>
    <definedName name="solver_rel1885" localSheetId="0" hidden="1">5</definedName>
    <definedName name="solver_rel1886" localSheetId="0" hidden="1">5</definedName>
    <definedName name="solver_rel1887" localSheetId="0" hidden="1">5</definedName>
    <definedName name="solver_rel1888" localSheetId="0" hidden="1">5</definedName>
    <definedName name="solver_rel1889" localSheetId="0" hidden="1">5</definedName>
    <definedName name="solver_rel189" localSheetId="0" hidden="1">5</definedName>
    <definedName name="solver_rel1890" localSheetId="0" hidden="1">5</definedName>
    <definedName name="solver_rel1891" localSheetId="0" hidden="1">5</definedName>
    <definedName name="solver_rel1892" localSheetId="0" hidden="1">5</definedName>
    <definedName name="solver_rel1893" localSheetId="0" hidden="1">5</definedName>
    <definedName name="solver_rel1894" localSheetId="0" hidden="1">5</definedName>
    <definedName name="solver_rel1895" localSheetId="0" hidden="1">5</definedName>
    <definedName name="solver_rel1896" localSheetId="0" hidden="1">5</definedName>
    <definedName name="solver_rel1897" localSheetId="0" hidden="1">5</definedName>
    <definedName name="solver_rel1898" localSheetId="0" hidden="1">5</definedName>
    <definedName name="solver_rel1899" localSheetId="0" hidden="1">5</definedName>
    <definedName name="solver_rel19" localSheetId="0" hidden="1">5</definedName>
    <definedName name="solver_rel190" localSheetId="0" hidden="1">5</definedName>
    <definedName name="solver_rel1900" localSheetId="0" hidden="1">5</definedName>
    <definedName name="solver_rel1901" localSheetId="0" hidden="1">5</definedName>
    <definedName name="solver_rel1902" localSheetId="0" hidden="1">5</definedName>
    <definedName name="solver_rel1903" localSheetId="0" hidden="1">5</definedName>
    <definedName name="solver_rel1904" localSheetId="0" hidden="1">5</definedName>
    <definedName name="solver_rel1905" localSheetId="0" hidden="1">5</definedName>
    <definedName name="solver_rel1906" localSheetId="0" hidden="1">5</definedName>
    <definedName name="solver_rel1907" localSheetId="0" hidden="1">5</definedName>
    <definedName name="solver_rel1908" localSheetId="0" hidden="1">5</definedName>
    <definedName name="solver_rel1909" localSheetId="0" hidden="1">5</definedName>
    <definedName name="solver_rel191" localSheetId="0" hidden="1">5</definedName>
    <definedName name="solver_rel1910" localSheetId="0" hidden="1">5</definedName>
    <definedName name="solver_rel1911" localSheetId="0" hidden="1">5</definedName>
    <definedName name="solver_rel1912" localSheetId="0" hidden="1">5</definedName>
    <definedName name="solver_rel1913" localSheetId="0" hidden="1">5</definedName>
    <definedName name="solver_rel1914" localSheetId="0" hidden="1">5</definedName>
    <definedName name="solver_rel1915" localSheetId="0" hidden="1">5</definedName>
    <definedName name="solver_rel1916" localSheetId="0" hidden="1">5</definedName>
    <definedName name="solver_rel1917" localSheetId="0" hidden="1">5</definedName>
    <definedName name="solver_rel1918" localSheetId="0" hidden="1">5</definedName>
    <definedName name="solver_rel1919" localSheetId="0" hidden="1">5</definedName>
    <definedName name="solver_rel192" localSheetId="0" hidden="1">5</definedName>
    <definedName name="solver_rel1920" localSheetId="0" hidden="1">5</definedName>
    <definedName name="solver_rel1921" localSheetId="0" hidden="1">5</definedName>
    <definedName name="solver_rel1922" localSheetId="0" hidden="1">5</definedName>
    <definedName name="solver_rel1923" localSheetId="0" hidden="1">5</definedName>
    <definedName name="solver_rel1924" localSheetId="0" hidden="1">5</definedName>
    <definedName name="solver_rel1925" localSheetId="0" hidden="1">5</definedName>
    <definedName name="solver_rel1926" localSheetId="0" hidden="1">5</definedName>
    <definedName name="solver_rel1927" localSheetId="0" hidden="1">5</definedName>
    <definedName name="solver_rel1928" localSheetId="0" hidden="1">5</definedName>
    <definedName name="solver_rel1929" localSheetId="0" hidden="1">5</definedName>
    <definedName name="solver_rel193" localSheetId="0" hidden="1">5</definedName>
    <definedName name="solver_rel1930" localSheetId="0" hidden="1">5</definedName>
    <definedName name="solver_rel1931" localSheetId="0" hidden="1">5</definedName>
    <definedName name="solver_rel1932" localSheetId="0" hidden="1">5</definedName>
    <definedName name="solver_rel1933" localSheetId="0" hidden="1">5</definedName>
    <definedName name="solver_rel1934" localSheetId="0" hidden="1">5</definedName>
    <definedName name="solver_rel1935" localSheetId="0" hidden="1">5</definedName>
    <definedName name="solver_rel1936" localSheetId="0" hidden="1">5</definedName>
    <definedName name="solver_rel1937" localSheetId="0" hidden="1">5</definedName>
    <definedName name="solver_rel1938" localSheetId="0" hidden="1">5</definedName>
    <definedName name="solver_rel1939" localSheetId="0" hidden="1">5</definedName>
    <definedName name="solver_rel194" localSheetId="0" hidden="1">5</definedName>
    <definedName name="solver_rel1940" localSheetId="0" hidden="1">5</definedName>
    <definedName name="solver_rel1941" localSheetId="0" hidden="1">5</definedName>
    <definedName name="solver_rel1942" localSheetId="0" hidden="1">5</definedName>
    <definedName name="solver_rel1943" localSheetId="0" hidden="1">5</definedName>
    <definedName name="solver_rel1944" localSheetId="0" hidden="1">5</definedName>
    <definedName name="solver_rel1945" localSheetId="0" hidden="1">5</definedName>
    <definedName name="solver_rel1946" localSheetId="0" hidden="1">5</definedName>
    <definedName name="solver_rel1947" localSheetId="0" hidden="1">5</definedName>
    <definedName name="solver_rel1948" localSheetId="0" hidden="1">5</definedName>
    <definedName name="solver_rel1949" localSheetId="0" hidden="1">5</definedName>
    <definedName name="solver_rel195" localSheetId="0" hidden="1">5</definedName>
    <definedName name="solver_rel1950" localSheetId="0" hidden="1">5</definedName>
    <definedName name="solver_rel1951" localSheetId="0" hidden="1">5</definedName>
    <definedName name="solver_rel1952" localSheetId="0" hidden="1">5</definedName>
    <definedName name="solver_rel1953" localSheetId="0" hidden="1">5</definedName>
    <definedName name="solver_rel1954" localSheetId="0" hidden="1">5</definedName>
    <definedName name="solver_rel1955" localSheetId="0" hidden="1">5</definedName>
    <definedName name="solver_rel1956" localSheetId="0" hidden="1">5</definedName>
    <definedName name="solver_rel1957" localSheetId="0" hidden="1">5</definedName>
    <definedName name="solver_rel1958" localSheetId="0" hidden="1">5</definedName>
    <definedName name="solver_rel1959" localSheetId="0" hidden="1">5</definedName>
    <definedName name="solver_rel196" localSheetId="0" hidden="1">5</definedName>
    <definedName name="solver_rel1960" localSheetId="0" hidden="1">5</definedName>
    <definedName name="solver_rel1961" localSheetId="0" hidden="1">5</definedName>
    <definedName name="solver_rel1962" localSheetId="0" hidden="1">5</definedName>
    <definedName name="solver_rel1963" localSheetId="0" hidden="1">5</definedName>
    <definedName name="solver_rel1964" localSheetId="0" hidden="1">5</definedName>
    <definedName name="solver_rel1965" localSheetId="0" hidden="1">5</definedName>
    <definedName name="solver_rel1966" localSheetId="0" hidden="1">5</definedName>
    <definedName name="solver_rel1967" localSheetId="0" hidden="1">5</definedName>
    <definedName name="solver_rel1968" localSheetId="0" hidden="1">5</definedName>
    <definedName name="solver_rel1969" localSheetId="0" hidden="1">5</definedName>
    <definedName name="solver_rel197" localSheetId="0" hidden="1">5</definedName>
    <definedName name="solver_rel1970" localSheetId="0" hidden="1">5</definedName>
    <definedName name="solver_rel1971" localSheetId="0" hidden="1">5</definedName>
    <definedName name="solver_rel1972" localSheetId="0" hidden="1">5</definedName>
    <definedName name="solver_rel1973" localSheetId="0" hidden="1">5</definedName>
    <definedName name="solver_rel1974" localSheetId="0" hidden="1">5</definedName>
    <definedName name="solver_rel1975" localSheetId="0" hidden="1">5</definedName>
    <definedName name="solver_rel1976" localSheetId="0" hidden="1">5</definedName>
    <definedName name="solver_rel1977" localSheetId="0" hidden="1">5</definedName>
    <definedName name="solver_rel1978" localSheetId="0" hidden="1">5</definedName>
    <definedName name="solver_rel1979" localSheetId="0" hidden="1">5</definedName>
    <definedName name="solver_rel198" localSheetId="0" hidden="1">5</definedName>
    <definedName name="solver_rel1980" localSheetId="0" hidden="1">5</definedName>
    <definedName name="solver_rel1981" localSheetId="0" hidden="1">5</definedName>
    <definedName name="solver_rel1982" localSheetId="0" hidden="1">5</definedName>
    <definedName name="solver_rel1983" localSheetId="0" hidden="1">5</definedName>
    <definedName name="solver_rel1984" localSheetId="0" hidden="1">5</definedName>
    <definedName name="solver_rel1985" localSheetId="0" hidden="1">5</definedName>
    <definedName name="solver_rel1986" localSheetId="0" hidden="1">5</definedName>
    <definedName name="solver_rel1987" localSheetId="0" hidden="1">5</definedName>
    <definedName name="solver_rel1988" localSheetId="0" hidden="1">5</definedName>
    <definedName name="solver_rel1989" localSheetId="0" hidden="1">5</definedName>
    <definedName name="solver_rel199" localSheetId="0" hidden="1">5</definedName>
    <definedName name="solver_rel1990" localSheetId="0" hidden="1">5</definedName>
    <definedName name="solver_rel1991" localSheetId="0" hidden="1">5</definedName>
    <definedName name="solver_rel1992" localSheetId="0" hidden="1">5</definedName>
    <definedName name="solver_rel1993" localSheetId="0" hidden="1">5</definedName>
    <definedName name="solver_rel1994" localSheetId="0" hidden="1">5</definedName>
    <definedName name="solver_rel1995" localSheetId="0" hidden="1">5</definedName>
    <definedName name="solver_rel1996" localSheetId="0" hidden="1">5</definedName>
    <definedName name="solver_rel1997" localSheetId="0" hidden="1">5</definedName>
    <definedName name="solver_rel1998" localSheetId="0" hidden="1">5</definedName>
    <definedName name="solver_rel1999" localSheetId="0" hidden="1">5</definedName>
    <definedName name="solver_rel2" localSheetId="0" hidden="1">1</definedName>
    <definedName name="solver_rel20" localSheetId="0" hidden="1">5</definedName>
    <definedName name="solver_rel200" localSheetId="0" hidden="1">5</definedName>
    <definedName name="solver_rel2000" localSheetId="0" hidden="1">5</definedName>
    <definedName name="solver_rel2001" localSheetId="0" hidden="1">5</definedName>
    <definedName name="solver_rel2002" localSheetId="0" hidden="1">5</definedName>
    <definedName name="solver_rel2003" localSheetId="0" hidden="1">5</definedName>
    <definedName name="solver_rel2004" localSheetId="0" hidden="1">5</definedName>
    <definedName name="solver_rel2005" localSheetId="0" hidden="1">5</definedName>
    <definedName name="solver_rel2006" localSheetId="0" hidden="1">5</definedName>
    <definedName name="solver_rel2007" localSheetId="0" hidden="1">5</definedName>
    <definedName name="solver_rel2008" localSheetId="0" hidden="1">5</definedName>
    <definedName name="solver_rel2009" localSheetId="0" hidden="1">5</definedName>
    <definedName name="solver_rel201" localSheetId="0" hidden="1">5</definedName>
    <definedName name="solver_rel2010" localSheetId="0" hidden="1">5</definedName>
    <definedName name="solver_rel2011" localSheetId="0" hidden="1">5</definedName>
    <definedName name="solver_rel2012" localSheetId="0" hidden="1">5</definedName>
    <definedName name="solver_rel2013" localSheetId="0" hidden="1">5</definedName>
    <definedName name="solver_rel2014" localSheetId="0" hidden="1">5</definedName>
    <definedName name="solver_rel2015" localSheetId="0" hidden="1">5</definedName>
    <definedName name="solver_rel2016" localSheetId="0" hidden="1">5</definedName>
    <definedName name="solver_rel2017" localSheetId="0" hidden="1">5</definedName>
    <definedName name="solver_rel2018" localSheetId="0" hidden="1">5</definedName>
    <definedName name="solver_rel2019" localSheetId="0" hidden="1">5</definedName>
    <definedName name="solver_rel202" localSheetId="0" hidden="1">5</definedName>
    <definedName name="solver_rel2020" localSheetId="0" hidden="1">5</definedName>
    <definedName name="solver_rel2021" localSheetId="0" hidden="1">5</definedName>
    <definedName name="solver_rel2022" localSheetId="0" hidden="1">5</definedName>
    <definedName name="solver_rel2023" localSheetId="0" hidden="1">5</definedName>
    <definedName name="solver_rel2024" localSheetId="0" hidden="1">5</definedName>
    <definedName name="solver_rel2025" localSheetId="0" hidden="1">5</definedName>
    <definedName name="solver_rel2026" localSheetId="0" hidden="1">5</definedName>
    <definedName name="solver_rel2027" localSheetId="0" hidden="1">5</definedName>
    <definedName name="solver_rel2028" localSheetId="0" hidden="1">5</definedName>
    <definedName name="solver_rel2029" localSheetId="0" hidden="1">5</definedName>
    <definedName name="solver_rel203" localSheetId="0" hidden="1">5</definedName>
    <definedName name="solver_rel2030" localSheetId="0" hidden="1">5</definedName>
    <definedName name="solver_rel2031" localSheetId="0" hidden="1">5</definedName>
    <definedName name="solver_rel2032" localSheetId="0" hidden="1">5</definedName>
    <definedName name="solver_rel2033" localSheetId="0" hidden="1">5</definedName>
    <definedName name="solver_rel2034" localSheetId="0" hidden="1">5</definedName>
    <definedName name="solver_rel2035" localSheetId="0" hidden="1">5</definedName>
    <definedName name="solver_rel2036" localSheetId="0" hidden="1">5</definedName>
    <definedName name="solver_rel2037" localSheetId="0" hidden="1">5</definedName>
    <definedName name="solver_rel2038" localSheetId="0" hidden="1">5</definedName>
    <definedName name="solver_rel2039" localSheetId="0" hidden="1">5</definedName>
    <definedName name="solver_rel204" localSheetId="0" hidden="1">5</definedName>
    <definedName name="solver_rel2040" localSheetId="0" hidden="1">5</definedName>
    <definedName name="solver_rel2041" localSheetId="0" hidden="1">5</definedName>
    <definedName name="solver_rel2042" localSheetId="0" hidden="1">5</definedName>
    <definedName name="solver_rel2043" localSheetId="0" hidden="1">5</definedName>
    <definedName name="solver_rel2044" localSheetId="0" hidden="1">5</definedName>
    <definedName name="solver_rel2045" localSheetId="0" hidden="1">5</definedName>
    <definedName name="solver_rel2046" localSheetId="0" hidden="1">5</definedName>
    <definedName name="solver_rel2047" localSheetId="0" hidden="1">5</definedName>
    <definedName name="solver_rel2048" localSheetId="0" hidden="1">5</definedName>
    <definedName name="solver_rel2049" localSheetId="0" hidden="1">5</definedName>
    <definedName name="solver_rel205" localSheetId="0" hidden="1">5</definedName>
    <definedName name="solver_rel2050" localSheetId="0" hidden="1">5</definedName>
    <definedName name="solver_rel2051" localSheetId="0" hidden="1">5</definedName>
    <definedName name="solver_rel2052" localSheetId="0" hidden="1">5</definedName>
    <definedName name="solver_rel2053" localSheetId="0" hidden="1">5</definedName>
    <definedName name="solver_rel2054" localSheetId="0" hidden="1">5</definedName>
    <definedName name="solver_rel2055" localSheetId="0" hidden="1">5</definedName>
    <definedName name="solver_rel2056" localSheetId="0" hidden="1">5</definedName>
    <definedName name="solver_rel2057" localSheetId="0" hidden="1">5</definedName>
    <definedName name="solver_rel2058" localSheetId="0" hidden="1">5</definedName>
    <definedName name="solver_rel2059" localSheetId="0" hidden="1">5</definedName>
    <definedName name="solver_rel206" localSheetId="0" hidden="1">5</definedName>
    <definedName name="solver_rel2060" localSheetId="0" hidden="1">5</definedName>
    <definedName name="solver_rel2061" localSheetId="0" hidden="1">5</definedName>
    <definedName name="solver_rel2062" localSheetId="0" hidden="1">5</definedName>
    <definedName name="solver_rel2063" localSheetId="0" hidden="1">5</definedName>
    <definedName name="solver_rel2064" localSheetId="0" hidden="1">5</definedName>
    <definedName name="solver_rel2065" localSheetId="0" hidden="1">5</definedName>
    <definedName name="solver_rel2066" localSheetId="0" hidden="1">5</definedName>
    <definedName name="solver_rel2067" localSheetId="0" hidden="1">5</definedName>
    <definedName name="solver_rel2068" localSheetId="0" hidden="1">5</definedName>
    <definedName name="solver_rel2069" localSheetId="0" hidden="1">5</definedName>
    <definedName name="solver_rel207" localSheetId="0" hidden="1">5</definedName>
    <definedName name="solver_rel2070" localSheetId="0" hidden="1">5</definedName>
    <definedName name="solver_rel2071" localSheetId="0" hidden="1">5</definedName>
    <definedName name="solver_rel2072" localSheetId="0" hidden="1">5</definedName>
    <definedName name="solver_rel2073" localSheetId="0" hidden="1">5</definedName>
    <definedName name="solver_rel2074" localSheetId="0" hidden="1">5</definedName>
    <definedName name="solver_rel2075" localSheetId="0" hidden="1">5</definedName>
    <definedName name="solver_rel2076" localSheetId="0" hidden="1">5</definedName>
    <definedName name="solver_rel2077" localSheetId="0" hidden="1">5</definedName>
    <definedName name="solver_rel2078" localSheetId="0" hidden="1">5</definedName>
    <definedName name="solver_rel2079" localSheetId="0" hidden="1">5</definedName>
    <definedName name="solver_rel208" localSheetId="0" hidden="1">5</definedName>
    <definedName name="solver_rel2080" localSheetId="0" hidden="1">5</definedName>
    <definedName name="solver_rel2081" localSheetId="0" hidden="1">5</definedName>
    <definedName name="solver_rel2082" localSheetId="0" hidden="1">5</definedName>
    <definedName name="solver_rel2083" localSheetId="0" hidden="1">5</definedName>
    <definedName name="solver_rel2084" localSheetId="0" hidden="1">5</definedName>
    <definedName name="solver_rel2085" localSheetId="0" hidden="1">5</definedName>
    <definedName name="solver_rel2086" localSheetId="0" hidden="1">5</definedName>
    <definedName name="solver_rel2087" localSheetId="0" hidden="1">5</definedName>
    <definedName name="solver_rel2088" localSheetId="0" hidden="1">5</definedName>
    <definedName name="solver_rel2089" localSheetId="0" hidden="1">5</definedName>
    <definedName name="solver_rel209" localSheetId="0" hidden="1">5</definedName>
    <definedName name="solver_rel2090" localSheetId="0" hidden="1">5</definedName>
    <definedName name="solver_rel2091" localSheetId="0" hidden="1">5</definedName>
    <definedName name="solver_rel2092" localSheetId="0" hidden="1">5</definedName>
    <definedName name="solver_rel2093" localSheetId="0" hidden="1">5</definedName>
    <definedName name="solver_rel2094" localSheetId="0" hidden="1">5</definedName>
    <definedName name="solver_rel2095" localSheetId="0" hidden="1">5</definedName>
    <definedName name="solver_rel2096" localSheetId="0" hidden="1">5</definedName>
    <definedName name="solver_rel2097" localSheetId="0" hidden="1">5</definedName>
    <definedName name="solver_rel2098" localSheetId="0" hidden="1">5</definedName>
    <definedName name="solver_rel2099" localSheetId="0" hidden="1">5</definedName>
    <definedName name="solver_rel21" localSheetId="0" hidden="1">5</definedName>
    <definedName name="solver_rel210" localSheetId="0" hidden="1">5</definedName>
    <definedName name="solver_rel2100" localSheetId="0" hidden="1">5</definedName>
    <definedName name="solver_rel2101" localSheetId="0" hidden="1">5</definedName>
    <definedName name="solver_rel2102" localSheetId="0" hidden="1">5</definedName>
    <definedName name="solver_rel2103" localSheetId="0" hidden="1">5</definedName>
    <definedName name="solver_rel2104" localSheetId="0" hidden="1">5</definedName>
    <definedName name="solver_rel2105" localSheetId="0" hidden="1">5</definedName>
    <definedName name="solver_rel2106" localSheetId="0" hidden="1">5</definedName>
    <definedName name="solver_rel2107" localSheetId="0" hidden="1">5</definedName>
    <definedName name="solver_rel2108" localSheetId="0" hidden="1">5</definedName>
    <definedName name="solver_rel2109" localSheetId="0" hidden="1">5</definedName>
    <definedName name="solver_rel211" localSheetId="0" hidden="1">5</definedName>
    <definedName name="solver_rel2110" localSheetId="0" hidden="1">5</definedName>
    <definedName name="solver_rel2111" localSheetId="0" hidden="1">5</definedName>
    <definedName name="solver_rel2112" localSheetId="0" hidden="1">5</definedName>
    <definedName name="solver_rel2113" localSheetId="0" hidden="1">5</definedName>
    <definedName name="solver_rel2114" localSheetId="0" hidden="1">5</definedName>
    <definedName name="solver_rel2115" localSheetId="0" hidden="1">5</definedName>
    <definedName name="solver_rel2116" localSheetId="0" hidden="1">5</definedName>
    <definedName name="solver_rel2117" localSheetId="0" hidden="1">5</definedName>
    <definedName name="solver_rel2118" localSheetId="0" hidden="1">5</definedName>
    <definedName name="solver_rel2119" localSheetId="0" hidden="1">5</definedName>
    <definedName name="solver_rel212" localSheetId="0" hidden="1">5</definedName>
    <definedName name="solver_rel2120" localSheetId="0" hidden="1">5</definedName>
    <definedName name="solver_rel2121" localSheetId="0" hidden="1">5</definedName>
    <definedName name="solver_rel2122" localSheetId="0" hidden="1">5</definedName>
    <definedName name="solver_rel2123" localSheetId="0" hidden="1">5</definedName>
    <definedName name="solver_rel2124" localSheetId="0" hidden="1">5</definedName>
    <definedName name="solver_rel2125" localSheetId="0" hidden="1">5</definedName>
    <definedName name="solver_rel2126" localSheetId="0" hidden="1">5</definedName>
    <definedName name="solver_rel2127" localSheetId="0" hidden="1">5</definedName>
    <definedName name="solver_rel2128" localSheetId="0" hidden="1">5</definedName>
    <definedName name="solver_rel2129" localSheetId="0" hidden="1">5</definedName>
    <definedName name="solver_rel213" localSheetId="0" hidden="1">5</definedName>
    <definedName name="solver_rel2130" localSheetId="0" hidden="1">5</definedName>
    <definedName name="solver_rel2131" localSheetId="0" hidden="1">5</definedName>
    <definedName name="solver_rel2132" localSheetId="0" hidden="1">5</definedName>
    <definedName name="solver_rel2133" localSheetId="0" hidden="1">5</definedName>
    <definedName name="solver_rel2134" localSheetId="0" hidden="1">5</definedName>
    <definedName name="solver_rel2135" localSheetId="0" hidden="1">5</definedName>
    <definedName name="solver_rel2136" localSheetId="0" hidden="1">5</definedName>
    <definedName name="solver_rel2137" localSheetId="0" hidden="1">5</definedName>
    <definedName name="solver_rel2138" localSheetId="0" hidden="1">5</definedName>
    <definedName name="solver_rel2139" localSheetId="0" hidden="1">5</definedName>
    <definedName name="solver_rel214" localSheetId="0" hidden="1">5</definedName>
    <definedName name="solver_rel2140" localSheetId="0" hidden="1">5</definedName>
    <definedName name="solver_rel2141" localSheetId="0" hidden="1">5</definedName>
    <definedName name="solver_rel2142" localSheetId="0" hidden="1">5</definedName>
    <definedName name="solver_rel2143" localSheetId="0" hidden="1">5</definedName>
    <definedName name="solver_rel2144" localSheetId="0" hidden="1">5</definedName>
    <definedName name="solver_rel2145" localSheetId="0" hidden="1">5</definedName>
    <definedName name="solver_rel2146" localSheetId="0" hidden="1">5</definedName>
    <definedName name="solver_rel2147" localSheetId="0" hidden="1">5</definedName>
    <definedName name="solver_rel2148" localSheetId="0" hidden="1">5</definedName>
    <definedName name="solver_rel2149" localSheetId="0" hidden="1">5</definedName>
    <definedName name="solver_rel215" localSheetId="0" hidden="1">5</definedName>
    <definedName name="solver_rel2150" localSheetId="0" hidden="1">5</definedName>
    <definedName name="solver_rel2151" localSheetId="0" hidden="1">5</definedName>
    <definedName name="solver_rel2152" localSheetId="0" hidden="1">5</definedName>
    <definedName name="solver_rel2153" localSheetId="0" hidden="1">5</definedName>
    <definedName name="solver_rel2154" localSheetId="0" hidden="1">5</definedName>
    <definedName name="solver_rel2155" localSheetId="0" hidden="1">5</definedName>
    <definedName name="solver_rel2156" localSheetId="0" hidden="1">5</definedName>
    <definedName name="solver_rel2157" localSheetId="0" hidden="1">5</definedName>
    <definedName name="solver_rel2158" localSheetId="0" hidden="1">5</definedName>
    <definedName name="solver_rel2159" localSheetId="0" hidden="1">5</definedName>
    <definedName name="solver_rel216" localSheetId="0" hidden="1">5</definedName>
    <definedName name="solver_rel2160" localSheetId="0" hidden="1">5</definedName>
    <definedName name="solver_rel2161" localSheetId="0" hidden="1">5</definedName>
    <definedName name="solver_rel2162" localSheetId="0" hidden="1">5</definedName>
    <definedName name="solver_rel2163" localSheetId="0" hidden="1">5</definedName>
    <definedName name="solver_rel2164" localSheetId="0" hidden="1">5</definedName>
    <definedName name="solver_rel2165" localSheetId="0" hidden="1">5</definedName>
    <definedName name="solver_rel2166" localSheetId="0" hidden="1">5</definedName>
    <definedName name="solver_rel2167" localSheetId="0" hidden="1">5</definedName>
    <definedName name="solver_rel2168" localSheetId="0" hidden="1">5</definedName>
    <definedName name="solver_rel2169" localSheetId="0" hidden="1">5</definedName>
    <definedName name="solver_rel217" localSheetId="0" hidden="1">5</definedName>
    <definedName name="solver_rel2170" localSheetId="0" hidden="1">5</definedName>
    <definedName name="solver_rel2171" localSheetId="0" hidden="1">5</definedName>
    <definedName name="solver_rel2172" localSheetId="0" hidden="1">5</definedName>
    <definedName name="solver_rel2173" localSheetId="0" hidden="1">5</definedName>
    <definedName name="solver_rel2174" localSheetId="0" hidden="1">5</definedName>
    <definedName name="solver_rel2175" localSheetId="0" hidden="1">5</definedName>
    <definedName name="solver_rel2176" localSheetId="0" hidden="1">5</definedName>
    <definedName name="solver_rel2177" localSheetId="0" hidden="1">5</definedName>
    <definedName name="solver_rel2178" localSheetId="0" hidden="1">5</definedName>
    <definedName name="solver_rel2179" localSheetId="0" hidden="1">5</definedName>
    <definedName name="solver_rel218" localSheetId="0" hidden="1">5</definedName>
    <definedName name="solver_rel2180" localSheetId="0" hidden="1">5</definedName>
    <definedName name="solver_rel2181" localSheetId="0" hidden="1">5</definedName>
    <definedName name="solver_rel2182" localSheetId="0" hidden="1">5</definedName>
    <definedName name="solver_rel2183" localSheetId="0" hidden="1">5</definedName>
    <definedName name="solver_rel2184" localSheetId="0" hidden="1">5</definedName>
    <definedName name="solver_rel2185" localSheetId="0" hidden="1">5</definedName>
    <definedName name="solver_rel2186" localSheetId="0" hidden="1">5</definedName>
    <definedName name="solver_rel2187" localSheetId="0" hidden="1">5</definedName>
    <definedName name="solver_rel2188" localSheetId="0" hidden="1">5</definedName>
    <definedName name="solver_rel2189" localSheetId="0" hidden="1">5</definedName>
    <definedName name="solver_rel219" localSheetId="0" hidden="1">5</definedName>
    <definedName name="solver_rel2190" localSheetId="0" hidden="1">5</definedName>
    <definedName name="solver_rel2191" localSheetId="0" hidden="1">5</definedName>
    <definedName name="solver_rel2192" localSheetId="0" hidden="1">5</definedName>
    <definedName name="solver_rel2193" localSheetId="0" hidden="1">5</definedName>
    <definedName name="solver_rel2194" localSheetId="0" hidden="1">5</definedName>
    <definedName name="solver_rel2195" localSheetId="0" hidden="1">5</definedName>
    <definedName name="solver_rel2196" localSheetId="0" hidden="1">5</definedName>
    <definedName name="solver_rel2197" localSheetId="0" hidden="1">5</definedName>
    <definedName name="solver_rel2198" localSheetId="0" hidden="1">5</definedName>
    <definedName name="solver_rel2199" localSheetId="0" hidden="1">5</definedName>
    <definedName name="solver_rel22" localSheetId="0" hidden="1">5</definedName>
    <definedName name="solver_rel220" localSheetId="0" hidden="1">5</definedName>
    <definedName name="solver_rel2200" localSheetId="0" hidden="1">5</definedName>
    <definedName name="solver_rel2201" localSheetId="0" hidden="1">5</definedName>
    <definedName name="solver_rel2202" localSheetId="0" hidden="1">5</definedName>
    <definedName name="solver_rel2203" localSheetId="0" hidden="1">5</definedName>
    <definedName name="solver_rel2204" localSheetId="0" hidden="1">5</definedName>
    <definedName name="solver_rel2205" localSheetId="0" hidden="1">5</definedName>
    <definedName name="solver_rel2206" localSheetId="0" hidden="1">5</definedName>
    <definedName name="solver_rel2207" localSheetId="0" hidden="1">5</definedName>
    <definedName name="solver_rel2208" localSheetId="0" hidden="1">5</definedName>
    <definedName name="solver_rel2209" localSheetId="0" hidden="1">5</definedName>
    <definedName name="solver_rel221" localSheetId="0" hidden="1">5</definedName>
    <definedName name="solver_rel2210" localSheetId="0" hidden="1">5</definedName>
    <definedName name="solver_rel2211" localSheetId="0" hidden="1">5</definedName>
    <definedName name="solver_rel2212" localSheetId="0" hidden="1">5</definedName>
    <definedName name="solver_rel2213" localSheetId="0" hidden="1">5</definedName>
    <definedName name="solver_rel2214" localSheetId="0" hidden="1">5</definedName>
    <definedName name="solver_rel2215" localSheetId="0" hidden="1">5</definedName>
    <definedName name="solver_rel2216" localSheetId="0" hidden="1">5</definedName>
    <definedName name="solver_rel2217" localSheetId="0" hidden="1">5</definedName>
    <definedName name="solver_rel2218" localSheetId="0" hidden="1">5</definedName>
    <definedName name="solver_rel2219" localSheetId="0" hidden="1">5</definedName>
    <definedName name="solver_rel222" localSheetId="0" hidden="1">5</definedName>
    <definedName name="solver_rel2220" localSheetId="0" hidden="1">5</definedName>
    <definedName name="solver_rel2221" localSheetId="0" hidden="1">5</definedName>
    <definedName name="solver_rel2222" localSheetId="0" hidden="1">5</definedName>
    <definedName name="solver_rel2223" localSheetId="0" hidden="1">5</definedName>
    <definedName name="solver_rel2224" localSheetId="0" hidden="1">5</definedName>
    <definedName name="solver_rel2225" localSheetId="0" hidden="1">5</definedName>
    <definedName name="solver_rel2226" localSheetId="0" hidden="1">5</definedName>
    <definedName name="solver_rel2227" localSheetId="0" hidden="1">5</definedName>
    <definedName name="solver_rel2228" localSheetId="0" hidden="1">5</definedName>
    <definedName name="solver_rel2229" localSheetId="0" hidden="1">5</definedName>
    <definedName name="solver_rel223" localSheetId="0" hidden="1">5</definedName>
    <definedName name="solver_rel2230" localSheetId="0" hidden="1">5</definedName>
    <definedName name="solver_rel2231" localSheetId="0" hidden="1">5</definedName>
    <definedName name="solver_rel2232" localSheetId="0" hidden="1">5</definedName>
    <definedName name="solver_rel2233" localSheetId="0" hidden="1">5</definedName>
    <definedName name="solver_rel2234" localSheetId="0" hidden="1">5</definedName>
    <definedName name="solver_rel2235" localSheetId="0" hidden="1">5</definedName>
    <definedName name="solver_rel2236" localSheetId="0" hidden="1">5</definedName>
    <definedName name="solver_rel2237" localSheetId="0" hidden="1">5</definedName>
    <definedName name="solver_rel2238" localSheetId="0" hidden="1">5</definedName>
    <definedName name="solver_rel2239" localSheetId="0" hidden="1">5</definedName>
    <definedName name="solver_rel224" localSheetId="0" hidden="1">5</definedName>
    <definedName name="solver_rel2240" localSheetId="0" hidden="1">5</definedName>
    <definedName name="solver_rel2241" localSheetId="0" hidden="1">5</definedName>
    <definedName name="solver_rel2242" localSheetId="0" hidden="1">5</definedName>
    <definedName name="solver_rel2243" localSheetId="0" hidden="1">5</definedName>
    <definedName name="solver_rel2244" localSheetId="0" hidden="1">5</definedName>
    <definedName name="solver_rel2245" localSheetId="0" hidden="1">5</definedName>
    <definedName name="solver_rel2246" localSheetId="0" hidden="1">5</definedName>
    <definedName name="solver_rel2247" localSheetId="0" hidden="1">5</definedName>
    <definedName name="solver_rel2248" localSheetId="0" hidden="1">5</definedName>
    <definedName name="solver_rel2249" localSheetId="0" hidden="1">5</definedName>
    <definedName name="solver_rel225" localSheetId="0" hidden="1">5</definedName>
    <definedName name="solver_rel2250" localSheetId="0" hidden="1">5</definedName>
    <definedName name="solver_rel2251" localSheetId="0" hidden="1">5</definedName>
    <definedName name="solver_rel2252" localSheetId="0" hidden="1">5</definedName>
    <definedName name="solver_rel2253" localSheetId="0" hidden="1">5</definedName>
    <definedName name="solver_rel2254" localSheetId="0" hidden="1">5</definedName>
    <definedName name="solver_rel2255" localSheetId="0" hidden="1">5</definedName>
    <definedName name="solver_rel2256" localSheetId="0" hidden="1">5</definedName>
    <definedName name="solver_rel2257" localSheetId="0" hidden="1">5</definedName>
    <definedName name="solver_rel2258" localSheetId="0" hidden="1">5</definedName>
    <definedName name="solver_rel2259" localSheetId="0" hidden="1">5</definedName>
    <definedName name="solver_rel226" localSheetId="0" hidden="1">5</definedName>
    <definedName name="solver_rel2260" localSheetId="0" hidden="1">5</definedName>
    <definedName name="solver_rel2261" localSheetId="0" hidden="1">5</definedName>
    <definedName name="solver_rel2262" localSheetId="0" hidden="1">5</definedName>
    <definedName name="solver_rel2263" localSheetId="0" hidden="1">5</definedName>
    <definedName name="solver_rel2264" localSheetId="0" hidden="1">5</definedName>
    <definedName name="solver_rel2265" localSheetId="0" hidden="1">5</definedName>
    <definedName name="solver_rel2266" localSheetId="0" hidden="1">5</definedName>
    <definedName name="solver_rel2267" localSheetId="0" hidden="1">5</definedName>
    <definedName name="solver_rel2268" localSheetId="0" hidden="1">5</definedName>
    <definedName name="solver_rel2269" localSheetId="0" hidden="1">5</definedName>
    <definedName name="solver_rel227" localSheetId="0" hidden="1">5</definedName>
    <definedName name="solver_rel2270" localSheetId="0" hidden="1">5</definedName>
    <definedName name="solver_rel2271" localSheetId="0" hidden="1">5</definedName>
    <definedName name="solver_rel2272" localSheetId="0" hidden="1">5</definedName>
    <definedName name="solver_rel2273" localSheetId="0" hidden="1">5</definedName>
    <definedName name="solver_rel2274" localSheetId="0" hidden="1">5</definedName>
    <definedName name="solver_rel2275" localSheetId="0" hidden="1">5</definedName>
    <definedName name="solver_rel2276" localSheetId="0" hidden="1">5</definedName>
    <definedName name="solver_rel2277" localSheetId="0" hidden="1">5</definedName>
    <definedName name="solver_rel2278" localSheetId="0" hidden="1">5</definedName>
    <definedName name="solver_rel2279" localSheetId="0" hidden="1">5</definedName>
    <definedName name="solver_rel228" localSheetId="0" hidden="1">5</definedName>
    <definedName name="solver_rel2280" localSheetId="0" hidden="1">5</definedName>
    <definedName name="solver_rel2281" localSheetId="0" hidden="1">5</definedName>
    <definedName name="solver_rel2282" localSheetId="0" hidden="1">5</definedName>
    <definedName name="solver_rel2283" localSheetId="0" hidden="1">5</definedName>
    <definedName name="solver_rel2284" localSheetId="0" hidden="1">5</definedName>
    <definedName name="solver_rel2285" localSheetId="0" hidden="1">5</definedName>
    <definedName name="solver_rel2286" localSheetId="0" hidden="1">5</definedName>
    <definedName name="solver_rel2287" localSheetId="0" hidden="1">5</definedName>
    <definedName name="solver_rel2288" localSheetId="0" hidden="1">5</definedName>
    <definedName name="solver_rel2289" localSheetId="0" hidden="1">5</definedName>
    <definedName name="solver_rel229" localSheetId="0" hidden="1">5</definedName>
    <definedName name="solver_rel2290" localSheetId="0" hidden="1">5</definedName>
    <definedName name="solver_rel2291" localSheetId="0" hidden="1">5</definedName>
    <definedName name="solver_rel2292" localSheetId="0" hidden="1">5</definedName>
    <definedName name="solver_rel2293" localSheetId="0" hidden="1">5</definedName>
    <definedName name="solver_rel2294" localSheetId="0" hidden="1">5</definedName>
    <definedName name="solver_rel2295" localSheetId="0" hidden="1">5</definedName>
    <definedName name="solver_rel2296" localSheetId="0" hidden="1">5</definedName>
    <definedName name="solver_rel2297" localSheetId="0" hidden="1">5</definedName>
    <definedName name="solver_rel2298" localSheetId="0" hidden="1">5</definedName>
    <definedName name="solver_rel2299" localSheetId="0" hidden="1">5</definedName>
    <definedName name="solver_rel23" localSheetId="0" hidden="1">5</definedName>
    <definedName name="solver_rel230" localSheetId="0" hidden="1">5</definedName>
    <definedName name="solver_rel2300" localSheetId="0" hidden="1">5</definedName>
    <definedName name="solver_rel2301" localSheetId="0" hidden="1">5</definedName>
    <definedName name="solver_rel2302" localSheetId="0" hidden="1">5</definedName>
    <definedName name="solver_rel2303" localSheetId="0" hidden="1">5</definedName>
    <definedName name="solver_rel2304" localSheetId="0" hidden="1">5</definedName>
    <definedName name="solver_rel2305" localSheetId="0" hidden="1">5</definedName>
    <definedName name="solver_rel2306" localSheetId="0" hidden="1">5</definedName>
    <definedName name="solver_rel2307" localSheetId="0" hidden="1">5</definedName>
    <definedName name="solver_rel2308" localSheetId="0" hidden="1">5</definedName>
    <definedName name="solver_rel2309" localSheetId="0" hidden="1">5</definedName>
    <definedName name="solver_rel231" localSheetId="0" hidden="1">5</definedName>
    <definedName name="solver_rel2310" localSheetId="0" hidden="1">5</definedName>
    <definedName name="solver_rel2311" localSheetId="0" hidden="1">5</definedName>
    <definedName name="solver_rel2312" localSheetId="0" hidden="1">5</definedName>
    <definedName name="solver_rel2313" localSheetId="0" hidden="1">5</definedName>
    <definedName name="solver_rel2314" localSheetId="0" hidden="1">5</definedName>
    <definedName name="solver_rel2315" localSheetId="0" hidden="1">5</definedName>
    <definedName name="solver_rel2316" localSheetId="0" hidden="1">5</definedName>
    <definedName name="solver_rel2317" localSheetId="0" hidden="1">5</definedName>
    <definedName name="solver_rel2318" localSheetId="0" hidden="1">5</definedName>
    <definedName name="solver_rel2319" localSheetId="0" hidden="1">5</definedName>
    <definedName name="solver_rel232" localSheetId="0" hidden="1">5</definedName>
    <definedName name="solver_rel2320" localSheetId="0" hidden="1">5</definedName>
    <definedName name="solver_rel2321" localSheetId="0" hidden="1">5</definedName>
    <definedName name="solver_rel2322" localSheetId="0" hidden="1">5</definedName>
    <definedName name="solver_rel2323" localSheetId="0" hidden="1">5</definedName>
    <definedName name="solver_rel2324" localSheetId="0" hidden="1">5</definedName>
    <definedName name="solver_rel2325" localSheetId="0" hidden="1">5</definedName>
    <definedName name="solver_rel2326" localSheetId="0" hidden="1">5</definedName>
    <definedName name="solver_rel2327" localSheetId="0" hidden="1">5</definedName>
    <definedName name="solver_rel2328" localSheetId="0" hidden="1">5</definedName>
    <definedName name="solver_rel2329" localSheetId="0" hidden="1">5</definedName>
    <definedName name="solver_rel233" localSheetId="0" hidden="1">5</definedName>
    <definedName name="solver_rel2330" localSheetId="0" hidden="1">5</definedName>
    <definedName name="solver_rel2331" localSheetId="0" hidden="1">5</definedName>
    <definedName name="solver_rel2332" localSheetId="0" hidden="1">5</definedName>
    <definedName name="solver_rel2333" localSheetId="0" hidden="1">5</definedName>
    <definedName name="solver_rel2334" localSheetId="0" hidden="1">5</definedName>
    <definedName name="solver_rel2335" localSheetId="0" hidden="1">5</definedName>
    <definedName name="solver_rel2336" localSheetId="0" hidden="1">5</definedName>
    <definedName name="solver_rel2337" localSheetId="0" hidden="1">5</definedName>
    <definedName name="solver_rel2338" localSheetId="0" hidden="1">5</definedName>
    <definedName name="solver_rel2339" localSheetId="0" hidden="1">5</definedName>
    <definedName name="solver_rel234" localSheetId="0" hidden="1">5</definedName>
    <definedName name="solver_rel2340" localSheetId="0" hidden="1">5</definedName>
    <definedName name="solver_rel2341" localSheetId="0" hidden="1">5</definedName>
    <definedName name="solver_rel2342" localSheetId="0" hidden="1">5</definedName>
    <definedName name="solver_rel2343" localSheetId="0" hidden="1">5</definedName>
    <definedName name="solver_rel2344" localSheetId="0" hidden="1">5</definedName>
    <definedName name="solver_rel2345" localSheetId="0" hidden="1">5</definedName>
    <definedName name="solver_rel2346" localSheetId="0" hidden="1">5</definedName>
    <definedName name="solver_rel2347" localSheetId="0" hidden="1">5</definedName>
    <definedName name="solver_rel2348" localSheetId="0" hidden="1">5</definedName>
    <definedName name="solver_rel2349" localSheetId="0" hidden="1">5</definedName>
    <definedName name="solver_rel235" localSheetId="0" hidden="1">5</definedName>
    <definedName name="solver_rel2350" localSheetId="0" hidden="1">5</definedName>
    <definedName name="solver_rel2351" localSheetId="0" hidden="1">5</definedName>
    <definedName name="solver_rel2352" localSheetId="0" hidden="1">5</definedName>
    <definedName name="solver_rel2353" localSheetId="0" hidden="1">5</definedName>
    <definedName name="solver_rel2354" localSheetId="0" hidden="1">5</definedName>
    <definedName name="solver_rel2355" localSheetId="0" hidden="1">5</definedName>
    <definedName name="solver_rel2356" localSheetId="0" hidden="1">5</definedName>
    <definedName name="solver_rel2357" localSheetId="0" hidden="1">5</definedName>
    <definedName name="solver_rel2358" localSheetId="0" hidden="1">5</definedName>
    <definedName name="solver_rel2359" localSheetId="0" hidden="1">5</definedName>
    <definedName name="solver_rel236" localSheetId="0" hidden="1">5</definedName>
    <definedName name="solver_rel2360" localSheetId="0" hidden="1">5</definedName>
    <definedName name="solver_rel2361" localSheetId="0" hidden="1">5</definedName>
    <definedName name="solver_rel2362" localSheetId="0" hidden="1">5</definedName>
    <definedName name="solver_rel2363" localSheetId="0" hidden="1">5</definedName>
    <definedName name="solver_rel2364" localSheetId="0" hidden="1">5</definedName>
    <definedName name="solver_rel2365" localSheetId="0" hidden="1">5</definedName>
    <definedName name="solver_rel2366" localSheetId="0" hidden="1">5</definedName>
    <definedName name="solver_rel2367" localSheetId="0" hidden="1">5</definedName>
    <definedName name="solver_rel2368" localSheetId="0" hidden="1">5</definedName>
    <definedName name="solver_rel2369" localSheetId="0" hidden="1">5</definedName>
    <definedName name="solver_rel237" localSheetId="0" hidden="1">5</definedName>
    <definedName name="solver_rel2370" localSheetId="0" hidden="1">5</definedName>
    <definedName name="solver_rel2371" localSheetId="0" hidden="1">5</definedName>
    <definedName name="solver_rel2372" localSheetId="0" hidden="1">5</definedName>
    <definedName name="solver_rel2373" localSheetId="0" hidden="1">5</definedName>
    <definedName name="solver_rel2374" localSheetId="0" hidden="1">5</definedName>
    <definedName name="solver_rel2375" localSheetId="0" hidden="1">5</definedName>
    <definedName name="solver_rel2376" localSheetId="0" hidden="1">5</definedName>
    <definedName name="solver_rel2377" localSheetId="0" hidden="1">5</definedName>
    <definedName name="solver_rel2378" localSheetId="0" hidden="1">5</definedName>
    <definedName name="solver_rel2379" localSheetId="0" hidden="1">5</definedName>
    <definedName name="solver_rel238" localSheetId="0" hidden="1">5</definedName>
    <definedName name="solver_rel2380" localSheetId="0" hidden="1">5</definedName>
    <definedName name="solver_rel2381" localSheetId="0" hidden="1">5</definedName>
    <definedName name="solver_rel2382" localSheetId="0" hidden="1">5</definedName>
    <definedName name="solver_rel2383" localSheetId="0" hidden="1">5</definedName>
    <definedName name="solver_rel2384" localSheetId="0" hidden="1">5</definedName>
    <definedName name="solver_rel2385" localSheetId="0" hidden="1">5</definedName>
    <definedName name="solver_rel2386" localSheetId="0" hidden="1">5</definedName>
    <definedName name="solver_rel2387" localSheetId="0" hidden="1">5</definedName>
    <definedName name="solver_rel2388" localSheetId="0" hidden="1">5</definedName>
    <definedName name="solver_rel2389" localSheetId="0" hidden="1">5</definedName>
    <definedName name="solver_rel239" localSheetId="0" hidden="1">5</definedName>
    <definedName name="solver_rel2390" localSheetId="0" hidden="1">5</definedName>
    <definedName name="solver_rel2391" localSheetId="0" hidden="1">5</definedName>
    <definedName name="solver_rel2392" localSheetId="0" hidden="1">5</definedName>
    <definedName name="solver_rel2393" localSheetId="0" hidden="1">5</definedName>
    <definedName name="solver_rel2394" localSheetId="0" hidden="1">5</definedName>
    <definedName name="solver_rel2395" localSheetId="0" hidden="1">5</definedName>
    <definedName name="solver_rel2396" localSheetId="0" hidden="1">5</definedName>
    <definedName name="solver_rel2397" localSheetId="0" hidden="1">5</definedName>
    <definedName name="solver_rel2398" localSheetId="0" hidden="1">5</definedName>
    <definedName name="solver_rel2399" localSheetId="0" hidden="1">5</definedName>
    <definedName name="solver_rel24" localSheetId="0" hidden="1">5</definedName>
    <definedName name="solver_rel240" localSheetId="0" hidden="1">5</definedName>
    <definedName name="solver_rel2400" localSheetId="0" hidden="1">5</definedName>
    <definedName name="solver_rel2401" localSheetId="0" hidden="1">5</definedName>
    <definedName name="solver_rel2402" localSheetId="0" hidden="1">5</definedName>
    <definedName name="solver_rel2403" localSheetId="0" hidden="1">5</definedName>
    <definedName name="solver_rel2404" localSheetId="0" hidden="1">5</definedName>
    <definedName name="solver_rel2405" localSheetId="0" hidden="1">5</definedName>
    <definedName name="solver_rel2406" localSheetId="0" hidden="1">5</definedName>
    <definedName name="solver_rel2407" localSheetId="0" hidden="1">5</definedName>
    <definedName name="solver_rel2408" localSheetId="0" hidden="1">5</definedName>
    <definedName name="solver_rel2409" localSheetId="0" hidden="1">5</definedName>
    <definedName name="solver_rel241" localSheetId="0" hidden="1">5</definedName>
    <definedName name="solver_rel2410" localSheetId="0" hidden="1">5</definedName>
    <definedName name="solver_rel2411" localSheetId="0" hidden="1">5</definedName>
    <definedName name="solver_rel2412" localSheetId="0" hidden="1">5</definedName>
    <definedName name="solver_rel2413" localSheetId="0" hidden="1">5</definedName>
    <definedName name="solver_rel2414" localSheetId="0" hidden="1">5</definedName>
    <definedName name="solver_rel2415" localSheetId="0" hidden="1">5</definedName>
    <definedName name="solver_rel2416" localSheetId="0" hidden="1">5</definedName>
    <definedName name="solver_rel2417" localSheetId="0" hidden="1">5</definedName>
    <definedName name="solver_rel2418" localSheetId="0" hidden="1">5</definedName>
    <definedName name="solver_rel2419" localSheetId="0" hidden="1">5</definedName>
    <definedName name="solver_rel242" localSheetId="0" hidden="1">5</definedName>
    <definedName name="solver_rel2420" localSheetId="0" hidden="1">5</definedName>
    <definedName name="solver_rel2421" localSheetId="0" hidden="1">5</definedName>
    <definedName name="solver_rel2422" localSheetId="0" hidden="1">5</definedName>
    <definedName name="solver_rel2423" localSheetId="0" hidden="1">5</definedName>
    <definedName name="solver_rel2424" localSheetId="0" hidden="1">5</definedName>
    <definedName name="solver_rel2425" localSheetId="0" hidden="1">5</definedName>
    <definedName name="solver_rel2426" localSheetId="0" hidden="1">5</definedName>
    <definedName name="solver_rel2427" localSheetId="0" hidden="1">5</definedName>
    <definedName name="solver_rel2428" localSheetId="0" hidden="1">5</definedName>
    <definedName name="solver_rel2429" localSheetId="0" hidden="1">5</definedName>
    <definedName name="solver_rel243" localSheetId="0" hidden="1">5</definedName>
    <definedName name="solver_rel2430" localSheetId="0" hidden="1">5</definedName>
    <definedName name="solver_rel2431" localSheetId="0" hidden="1">5</definedName>
    <definedName name="solver_rel2432" localSheetId="0" hidden="1">5</definedName>
    <definedName name="solver_rel2433" localSheetId="0" hidden="1">5</definedName>
    <definedName name="solver_rel2434" localSheetId="0" hidden="1">5</definedName>
    <definedName name="solver_rel2435" localSheetId="0" hidden="1">5</definedName>
    <definedName name="solver_rel2436" localSheetId="0" hidden="1">5</definedName>
    <definedName name="solver_rel2437" localSheetId="0" hidden="1">5</definedName>
    <definedName name="solver_rel2438" localSheetId="0" hidden="1">5</definedName>
    <definedName name="solver_rel2439" localSheetId="0" hidden="1">5</definedName>
    <definedName name="solver_rel244" localSheetId="0" hidden="1">5</definedName>
    <definedName name="solver_rel2440" localSheetId="0" hidden="1">5</definedName>
    <definedName name="solver_rel2441" localSheetId="0" hidden="1">5</definedName>
    <definedName name="solver_rel2442" localSheetId="0" hidden="1">5</definedName>
    <definedName name="solver_rel2443" localSheetId="0" hidden="1">5</definedName>
    <definedName name="solver_rel2444" localSheetId="0" hidden="1">5</definedName>
    <definedName name="solver_rel2445" localSheetId="0" hidden="1">5</definedName>
    <definedName name="solver_rel2446" localSheetId="0" hidden="1">5</definedName>
    <definedName name="solver_rel2447" localSheetId="0" hidden="1">5</definedName>
    <definedName name="solver_rel2448" localSheetId="0" hidden="1">5</definedName>
    <definedName name="solver_rel2449" localSheetId="0" hidden="1">5</definedName>
    <definedName name="solver_rel245" localSheetId="0" hidden="1">5</definedName>
    <definedName name="solver_rel2450" localSheetId="0" hidden="1">5</definedName>
    <definedName name="solver_rel2451" localSheetId="0" hidden="1">5</definedName>
    <definedName name="solver_rel2452" localSheetId="0" hidden="1">5</definedName>
    <definedName name="solver_rel2453" localSheetId="0" hidden="1">5</definedName>
    <definedName name="solver_rel2454" localSheetId="0" hidden="1">5</definedName>
    <definedName name="solver_rel2455" localSheetId="0" hidden="1">5</definedName>
    <definedName name="solver_rel2456" localSheetId="0" hidden="1">5</definedName>
    <definedName name="solver_rel2457" localSheetId="0" hidden="1">5</definedName>
    <definedName name="solver_rel2458" localSheetId="0" hidden="1">5</definedName>
    <definedName name="solver_rel2459" localSheetId="0" hidden="1">5</definedName>
    <definedName name="solver_rel246" localSheetId="0" hidden="1">5</definedName>
    <definedName name="solver_rel2460" localSheetId="0" hidden="1">5</definedName>
    <definedName name="solver_rel2461" localSheetId="0" hidden="1">5</definedName>
    <definedName name="solver_rel2462" localSheetId="0" hidden="1">5</definedName>
    <definedName name="solver_rel2463" localSheetId="0" hidden="1">5</definedName>
    <definedName name="solver_rel2464" localSheetId="0" hidden="1">5</definedName>
    <definedName name="solver_rel2465" localSheetId="0" hidden="1">5</definedName>
    <definedName name="solver_rel2466" localSheetId="0" hidden="1">5</definedName>
    <definedName name="solver_rel2467" localSheetId="0" hidden="1">5</definedName>
    <definedName name="solver_rel2468" localSheetId="0" hidden="1">5</definedName>
    <definedName name="solver_rel2469" localSheetId="0" hidden="1">5</definedName>
    <definedName name="solver_rel247" localSheetId="0" hidden="1">5</definedName>
    <definedName name="solver_rel2470" localSheetId="0" hidden="1">5</definedName>
    <definedName name="solver_rel2471" localSheetId="0" hidden="1">5</definedName>
    <definedName name="solver_rel2472" localSheetId="0" hidden="1">5</definedName>
    <definedName name="solver_rel2473" localSheetId="0" hidden="1">5</definedName>
    <definedName name="solver_rel2474" localSheetId="0" hidden="1">5</definedName>
    <definedName name="solver_rel2475" localSheetId="0" hidden="1">5</definedName>
    <definedName name="solver_rel2476" localSheetId="0" hidden="1">5</definedName>
    <definedName name="solver_rel2477" localSheetId="0" hidden="1">5</definedName>
    <definedName name="solver_rel2478" localSheetId="0" hidden="1">5</definedName>
    <definedName name="solver_rel2479" localSheetId="0" hidden="1">5</definedName>
    <definedName name="solver_rel248" localSheetId="0" hidden="1">5</definedName>
    <definedName name="solver_rel2480" localSheetId="0" hidden="1">5</definedName>
    <definedName name="solver_rel2481" localSheetId="0" hidden="1">5</definedName>
    <definedName name="solver_rel2482" localSheetId="0" hidden="1">5</definedName>
    <definedName name="solver_rel2483" localSheetId="0" hidden="1">5</definedName>
    <definedName name="solver_rel2484" localSheetId="0" hidden="1">5</definedName>
    <definedName name="solver_rel2485" localSheetId="0" hidden="1">5</definedName>
    <definedName name="solver_rel2486" localSheetId="0" hidden="1">5</definedName>
    <definedName name="solver_rel2487" localSheetId="0" hidden="1">5</definedName>
    <definedName name="solver_rel2488" localSheetId="0" hidden="1">5</definedName>
    <definedName name="solver_rel2489" localSheetId="0" hidden="1">5</definedName>
    <definedName name="solver_rel249" localSheetId="0" hidden="1">5</definedName>
    <definedName name="solver_rel2490" localSheetId="0" hidden="1">5</definedName>
    <definedName name="solver_rel2491" localSheetId="0" hidden="1">5</definedName>
    <definedName name="solver_rel2492" localSheetId="0" hidden="1">5</definedName>
    <definedName name="solver_rel2493" localSheetId="0" hidden="1">5</definedName>
    <definedName name="solver_rel2494" localSheetId="0" hidden="1">5</definedName>
    <definedName name="solver_rel2495" localSheetId="0" hidden="1">5</definedName>
    <definedName name="solver_rel2496" localSheetId="0" hidden="1">5</definedName>
    <definedName name="solver_rel2497" localSheetId="0" hidden="1">5</definedName>
    <definedName name="solver_rel2498" localSheetId="0" hidden="1">5</definedName>
    <definedName name="solver_rel2499" localSheetId="0" hidden="1">5</definedName>
    <definedName name="solver_rel25" localSheetId="0" hidden="1">5</definedName>
    <definedName name="solver_rel250" localSheetId="0" hidden="1">5</definedName>
    <definedName name="solver_rel2500" localSheetId="0" hidden="1">5</definedName>
    <definedName name="solver_rel2501" localSheetId="0" hidden="1">5</definedName>
    <definedName name="solver_rel2502" localSheetId="0" hidden="1">5</definedName>
    <definedName name="solver_rel2503" localSheetId="0" hidden="1">5</definedName>
    <definedName name="solver_rel2504" localSheetId="0" hidden="1">5</definedName>
    <definedName name="solver_rel2505" localSheetId="0" hidden="1">5</definedName>
    <definedName name="solver_rel2506" localSheetId="0" hidden="1">5</definedName>
    <definedName name="solver_rel2507" localSheetId="0" hidden="1">5</definedName>
    <definedName name="solver_rel2508" localSheetId="0" hidden="1">5</definedName>
    <definedName name="solver_rel2509" localSheetId="0" hidden="1">5</definedName>
    <definedName name="solver_rel251" localSheetId="0" hidden="1">5</definedName>
    <definedName name="solver_rel2510" localSheetId="0" hidden="1">5</definedName>
    <definedName name="solver_rel2511" localSheetId="0" hidden="1">5</definedName>
    <definedName name="solver_rel2512" localSheetId="0" hidden="1">5</definedName>
    <definedName name="solver_rel2513" localSheetId="0" hidden="1">5</definedName>
    <definedName name="solver_rel2514" localSheetId="0" hidden="1">5</definedName>
    <definedName name="solver_rel2515" localSheetId="0" hidden="1">5</definedName>
    <definedName name="solver_rel2516" localSheetId="0" hidden="1">5</definedName>
    <definedName name="solver_rel2517" localSheetId="0" hidden="1">5</definedName>
    <definedName name="solver_rel2518" localSheetId="0" hidden="1">5</definedName>
    <definedName name="solver_rel2519" localSheetId="0" hidden="1">5</definedName>
    <definedName name="solver_rel252" localSheetId="0" hidden="1">5</definedName>
    <definedName name="solver_rel2520" localSheetId="0" hidden="1">5</definedName>
    <definedName name="solver_rel2521" localSheetId="0" hidden="1">5</definedName>
    <definedName name="solver_rel2522" localSheetId="0" hidden="1">5</definedName>
    <definedName name="solver_rel2523" localSheetId="0" hidden="1">5</definedName>
    <definedName name="solver_rel2524" localSheetId="0" hidden="1">5</definedName>
    <definedName name="solver_rel2525" localSheetId="0" hidden="1">5</definedName>
    <definedName name="solver_rel2526" localSheetId="0" hidden="1">5</definedName>
    <definedName name="solver_rel2527" localSheetId="0" hidden="1">5</definedName>
    <definedName name="solver_rel2528" localSheetId="0" hidden="1">5</definedName>
    <definedName name="solver_rel2529" localSheetId="0" hidden="1">5</definedName>
    <definedName name="solver_rel253" localSheetId="0" hidden="1">5</definedName>
    <definedName name="solver_rel2530" localSheetId="0" hidden="1">5</definedName>
    <definedName name="solver_rel2531" localSheetId="0" hidden="1">5</definedName>
    <definedName name="solver_rel2532" localSheetId="0" hidden="1">5</definedName>
    <definedName name="solver_rel2533" localSheetId="0" hidden="1">5</definedName>
    <definedName name="solver_rel2534" localSheetId="0" hidden="1">5</definedName>
    <definedName name="solver_rel2535" localSheetId="0" hidden="1">5</definedName>
    <definedName name="solver_rel2536" localSheetId="0" hidden="1">5</definedName>
    <definedName name="solver_rel2537" localSheetId="0" hidden="1">5</definedName>
    <definedName name="solver_rel2538" localSheetId="0" hidden="1">5</definedName>
    <definedName name="solver_rel2539" localSheetId="0" hidden="1">5</definedName>
    <definedName name="solver_rel254" localSheetId="0" hidden="1">5</definedName>
    <definedName name="solver_rel2540" localSheetId="0" hidden="1">5</definedName>
    <definedName name="solver_rel2541" localSheetId="0" hidden="1">5</definedName>
    <definedName name="solver_rel2542" localSheetId="0" hidden="1">5</definedName>
    <definedName name="solver_rel2543" localSheetId="0" hidden="1">5</definedName>
    <definedName name="solver_rel2544" localSheetId="0" hidden="1">5</definedName>
    <definedName name="solver_rel2545" localSheetId="0" hidden="1">5</definedName>
    <definedName name="solver_rel2546" localSheetId="0" hidden="1">5</definedName>
    <definedName name="solver_rel2547" localSheetId="0" hidden="1">5</definedName>
    <definedName name="solver_rel2548" localSheetId="0" hidden="1">5</definedName>
    <definedName name="solver_rel2549" localSheetId="0" hidden="1">5</definedName>
    <definedName name="solver_rel255" localSheetId="0" hidden="1">5</definedName>
    <definedName name="solver_rel2550" localSheetId="0" hidden="1">5</definedName>
    <definedName name="solver_rel2551" localSheetId="0" hidden="1">5</definedName>
    <definedName name="solver_rel2552" localSheetId="0" hidden="1">5</definedName>
    <definedName name="solver_rel2553" localSheetId="0" hidden="1">5</definedName>
    <definedName name="solver_rel2554" localSheetId="0" hidden="1">5</definedName>
    <definedName name="solver_rel2555" localSheetId="0" hidden="1">5</definedName>
    <definedName name="solver_rel2556" localSheetId="0" hidden="1">5</definedName>
    <definedName name="solver_rel2557" localSheetId="0" hidden="1">5</definedName>
    <definedName name="solver_rel2558" localSheetId="0" hidden="1">5</definedName>
    <definedName name="solver_rel2559" localSheetId="0" hidden="1">5</definedName>
    <definedName name="solver_rel256" localSheetId="0" hidden="1">5</definedName>
    <definedName name="solver_rel2560" localSheetId="0" hidden="1">5</definedName>
    <definedName name="solver_rel2561" localSheetId="0" hidden="1">5</definedName>
    <definedName name="solver_rel2562" localSheetId="0" hidden="1">5</definedName>
    <definedName name="solver_rel2563" localSheetId="0" hidden="1">5</definedName>
    <definedName name="solver_rel2564" localSheetId="0" hidden="1">5</definedName>
    <definedName name="solver_rel2565" localSheetId="0" hidden="1">5</definedName>
    <definedName name="solver_rel2566" localSheetId="0" hidden="1">5</definedName>
    <definedName name="solver_rel2567" localSheetId="0" hidden="1">5</definedName>
    <definedName name="solver_rel2568" localSheetId="0" hidden="1">5</definedName>
    <definedName name="solver_rel2569" localSheetId="0" hidden="1">5</definedName>
    <definedName name="solver_rel257" localSheetId="0" hidden="1">5</definedName>
    <definedName name="solver_rel2570" localSheetId="0" hidden="1">5</definedName>
    <definedName name="solver_rel2571" localSheetId="0" hidden="1">5</definedName>
    <definedName name="solver_rel2572" localSheetId="0" hidden="1">5</definedName>
    <definedName name="solver_rel2573" localSheetId="0" hidden="1">5</definedName>
    <definedName name="solver_rel2574" localSheetId="0" hidden="1">5</definedName>
    <definedName name="solver_rel2575" localSheetId="0" hidden="1">5</definedName>
    <definedName name="solver_rel2576" localSheetId="0" hidden="1">5</definedName>
    <definedName name="solver_rel2577" localSheetId="0" hidden="1">5</definedName>
    <definedName name="solver_rel2578" localSheetId="0" hidden="1">5</definedName>
    <definedName name="solver_rel2579" localSheetId="0" hidden="1">5</definedName>
    <definedName name="solver_rel258" localSheetId="0" hidden="1">5</definedName>
    <definedName name="solver_rel2580" localSheetId="0" hidden="1">5</definedName>
    <definedName name="solver_rel2581" localSheetId="0" hidden="1">5</definedName>
    <definedName name="solver_rel2582" localSheetId="0" hidden="1">5</definedName>
    <definedName name="solver_rel2583" localSheetId="0" hidden="1">5</definedName>
    <definedName name="solver_rel2584" localSheetId="0" hidden="1">5</definedName>
    <definedName name="solver_rel2585" localSheetId="0" hidden="1">5</definedName>
    <definedName name="solver_rel2586" localSheetId="0" hidden="1">5</definedName>
    <definedName name="solver_rel2587" localSheetId="0" hidden="1">5</definedName>
    <definedName name="solver_rel2588" localSheetId="0" hidden="1">5</definedName>
    <definedName name="solver_rel2589" localSheetId="0" hidden="1">5</definedName>
    <definedName name="solver_rel259" localSheetId="0" hidden="1">5</definedName>
    <definedName name="solver_rel2590" localSheetId="0" hidden="1">5</definedName>
    <definedName name="solver_rel2591" localSheetId="0" hidden="1">5</definedName>
    <definedName name="solver_rel2592" localSheetId="0" hidden="1">5</definedName>
    <definedName name="solver_rel2593" localSheetId="0" hidden="1">5</definedName>
    <definedName name="solver_rel2594" localSheetId="0" hidden="1">5</definedName>
    <definedName name="solver_rel2595" localSheetId="0" hidden="1">5</definedName>
    <definedName name="solver_rel2596" localSheetId="0" hidden="1">5</definedName>
    <definedName name="solver_rel2597" localSheetId="0" hidden="1">5</definedName>
    <definedName name="solver_rel2598" localSheetId="0" hidden="1">5</definedName>
    <definedName name="solver_rel2599" localSheetId="0" hidden="1">5</definedName>
    <definedName name="solver_rel26" localSheetId="0" hidden="1">5</definedName>
    <definedName name="solver_rel260" localSheetId="0" hidden="1">5</definedName>
    <definedName name="solver_rel2600" localSheetId="0" hidden="1">5</definedName>
    <definedName name="solver_rel2601" localSheetId="0" hidden="1">5</definedName>
    <definedName name="solver_rel2602" localSheetId="0" hidden="1">5</definedName>
    <definedName name="solver_rel2603" localSheetId="0" hidden="1">5</definedName>
    <definedName name="solver_rel2604" localSheetId="0" hidden="1">5</definedName>
    <definedName name="solver_rel2605" localSheetId="0" hidden="1">5</definedName>
    <definedName name="solver_rel2606" localSheetId="0" hidden="1">5</definedName>
    <definedName name="solver_rel2607" localSheetId="0" hidden="1">5</definedName>
    <definedName name="solver_rel2608" localSheetId="0" hidden="1">5</definedName>
    <definedName name="solver_rel2609" localSheetId="0" hidden="1">5</definedName>
    <definedName name="solver_rel261" localSheetId="0" hidden="1">5</definedName>
    <definedName name="solver_rel2610" localSheetId="0" hidden="1">5</definedName>
    <definedName name="solver_rel2611" localSheetId="0" hidden="1">5</definedName>
    <definedName name="solver_rel2612" localSheetId="0" hidden="1">5</definedName>
    <definedName name="solver_rel2613" localSheetId="0" hidden="1">5</definedName>
    <definedName name="solver_rel2614" localSheetId="0" hidden="1">5</definedName>
    <definedName name="solver_rel2615" localSheetId="0" hidden="1">5</definedName>
    <definedName name="solver_rel2616" localSheetId="0" hidden="1">5</definedName>
    <definedName name="solver_rel2617" localSheetId="0" hidden="1">5</definedName>
    <definedName name="solver_rel2618" localSheetId="0" hidden="1">5</definedName>
    <definedName name="solver_rel2619" localSheetId="0" hidden="1">5</definedName>
    <definedName name="solver_rel262" localSheetId="0" hidden="1">5</definedName>
    <definedName name="solver_rel2620" localSheetId="0" hidden="1">5</definedName>
    <definedName name="solver_rel2621" localSheetId="0" hidden="1">5</definedName>
    <definedName name="solver_rel2622" localSheetId="0" hidden="1">5</definedName>
    <definedName name="solver_rel2623" localSheetId="0" hidden="1">5</definedName>
    <definedName name="solver_rel2624" localSheetId="0" hidden="1">5</definedName>
    <definedName name="solver_rel2625" localSheetId="0" hidden="1">5</definedName>
    <definedName name="solver_rel2626" localSheetId="0" hidden="1">5</definedName>
    <definedName name="solver_rel2627" localSheetId="0" hidden="1">5</definedName>
    <definedName name="solver_rel2628" localSheetId="0" hidden="1">5</definedName>
    <definedName name="solver_rel2629" localSheetId="0" hidden="1">5</definedName>
    <definedName name="solver_rel263" localSheetId="0" hidden="1">5</definedName>
    <definedName name="solver_rel2630" localSheetId="0" hidden="1">5</definedName>
    <definedName name="solver_rel2631" localSheetId="0" hidden="1">5</definedName>
    <definedName name="solver_rel2632" localSheetId="0" hidden="1">5</definedName>
    <definedName name="solver_rel2633" localSheetId="0" hidden="1">5</definedName>
    <definedName name="solver_rel2634" localSheetId="0" hidden="1">5</definedName>
    <definedName name="solver_rel2635" localSheetId="0" hidden="1">5</definedName>
    <definedName name="solver_rel2636" localSheetId="0" hidden="1">5</definedName>
    <definedName name="solver_rel2637" localSheetId="0" hidden="1">5</definedName>
    <definedName name="solver_rel2638" localSheetId="0" hidden="1">5</definedName>
    <definedName name="solver_rel2639" localSheetId="0" hidden="1">5</definedName>
    <definedName name="solver_rel264" localSheetId="0" hidden="1">5</definedName>
    <definedName name="solver_rel2640" localSheetId="0" hidden="1">5</definedName>
    <definedName name="solver_rel2641" localSheetId="0" hidden="1">5</definedName>
    <definedName name="solver_rel2642" localSheetId="0" hidden="1">5</definedName>
    <definedName name="solver_rel2643" localSheetId="0" hidden="1">5</definedName>
    <definedName name="solver_rel2644" localSheetId="0" hidden="1">5</definedName>
    <definedName name="solver_rel2645" localSheetId="0" hidden="1">5</definedName>
    <definedName name="solver_rel2646" localSheetId="0" hidden="1">5</definedName>
    <definedName name="solver_rel2647" localSheetId="0" hidden="1">5</definedName>
    <definedName name="solver_rel2648" localSheetId="0" hidden="1">5</definedName>
    <definedName name="solver_rel2649" localSheetId="0" hidden="1">5</definedName>
    <definedName name="solver_rel265" localSheetId="0" hidden="1">5</definedName>
    <definedName name="solver_rel2650" localSheetId="0" hidden="1">5</definedName>
    <definedName name="solver_rel2651" localSheetId="0" hidden="1">5</definedName>
    <definedName name="solver_rel2652" localSheetId="0" hidden="1">5</definedName>
    <definedName name="solver_rel2653" localSheetId="0" hidden="1">5</definedName>
    <definedName name="solver_rel2654" localSheetId="0" hidden="1">5</definedName>
    <definedName name="solver_rel2655" localSheetId="0" hidden="1">5</definedName>
    <definedName name="solver_rel2656" localSheetId="0" hidden="1">5</definedName>
    <definedName name="solver_rel2657" localSheetId="0" hidden="1">5</definedName>
    <definedName name="solver_rel2658" localSheetId="0" hidden="1">5</definedName>
    <definedName name="solver_rel2659" localSheetId="0" hidden="1">5</definedName>
    <definedName name="solver_rel266" localSheetId="0" hidden="1">5</definedName>
    <definedName name="solver_rel2660" localSheetId="0" hidden="1">5</definedName>
    <definedName name="solver_rel2661" localSheetId="0" hidden="1">5</definedName>
    <definedName name="solver_rel2662" localSheetId="0" hidden="1">5</definedName>
    <definedName name="solver_rel2663" localSheetId="0" hidden="1">5</definedName>
    <definedName name="solver_rel2664" localSheetId="0" hidden="1">5</definedName>
    <definedName name="solver_rel2665" localSheetId="0" hidden="1">5</definedName>
    <definedName name="solver_rel2666" localSheetId="0" hidden="1">5</definedName>
    <definedName name="solver_rel2667" localSheetId="0" hidden="1">5</definedName>
    <definedName name="solver_rel2668" localSheetId="0" hidden="1">5</definedName>
    <definedName name="solver_rel2669" localSheetId="0" hidden="1">5</definedName>
    <definedName name="solver_rel267" localSheetId="0" hidden="1">5</definedName>
    <definedName name="solver_rel2670" localSheetId="0" hidden="1">5</definedName>
    <definedName name="solver_rel2671" localSheetId="0" hidden="1">5</definedName>
    <definedName name="solver_rel2672" localSheetId="0" hidden="1">5</definedName>
    <definedName name="solver_rel2673" localSheetId="0" hidden="1">5</definedName>
    <definedName name="solver_rel2674" localSheetId="0" hidden="1">5</definedName>
    <definedName name="solver_rel2675" localSheetId="0" hidden="1">5</definedName>
    <definedName name="solver_rel2676" localSheetId="0" hidden="1">5</definedName>
    <definedName name="solver_rel2677" localSheetId="0" hidden="1">5</definedName>
    <definedName name="solver_rel2678" localSheetId="0" hidden="1">5</definedName>
    <definedName name="solver_rel2679" localSheetId="0" hidden="1">5</definedName>
    <definedName name="solver_rel268" localSheetId="0" hidden="1">5</definedName>
    <definedName name="solver_rel2680" localSheetId="0" hidden="1">5</definedName>
    <definedName name="solver_rel2681" localSheetId="0" hidden="1">5</definedName>
    <definedName name="solver_rel2682" localSheetId="0" hidden="1">5</definedName>
    <definedName name="solver_rel2683" localSheetId="0" hidden="1">5</definedName>
    <definedName name="solver_rel2684" localSheetId="0" hidden="1">5</definedName>
    <definedName name="solver_rel2685" localSheetId="0" hidden="1">5</definedName>
    <definedName name="solver_rel2686" localSheetId="0" hidden="1">5</definedName>
    <definedName name="solver_rel2687" localSheetId="0" hidden="1">5</definedName>
    <definedName name="solver_rel2688" localSheetId="0" hidden="1">5</definedName>
    <definedName name="solver_rel2689" localSheetId="0" hidden="1">5</definedName>
    <definedName name="solver_rel269" localSheetId="0" hidden="1">5</definedName>
    <definedName name="solver_rel2690" localSheetId="0" hidden="1">5</definedName>
    <definedName name="solver_rel2691" localSheetId="0" hidden="1">5</definedName>
    <definedName name="solver_rel2692" localSheetId="0" hidden="1">5</definedName>
    <definedName name="solver_rel2693" localSheetId="0" hidden="1">5</definedName>
    <definedName name="solver_rel2694" localSheetId="0" hidden="1">5</definedName>
    <definedName name="solver_rel2695" localSheetId="0" hidden="1">5</definedName>
    <definedName name="solver_rel2696" localSheetId="0" hidden="1">5</definedName>
    <definedName name="solver_rel2697" localSheetId="0" hidden="1">5</definedName>
    <definedName name="solver_rel2698" localSheetId="0" hidden="1">5</definedName>
    <definedName name="solver_rel2699" localSheetId="0" hidden="1">5</definedName>
    <definedName name="solver_rel27" localSheetId="0" hidden="1">5</definedName>
    <definedName name="solver_rel270" localSheetId="0" hidden="1">5</definedName>
    <definedName name="solver_rel2700" localSheetId="0" hidden="1">5</definedName>
    <definedName name="solver_rel2701" localSheetId="0" hidden="1">5</definedName>
    <definedName name="solver_rel2702" localSheetId="0" hidden="1">5</definedName>
    <definedName name="solver_rel2703" localSheetId="0" hidden="1">5</definedName>
    <definedName name="solver_rel2704" localSheetId="0" hidden="1">5</definedName>
    <definedName name="solver_rel2705" localSheetId="0" hidden="1">5</definedName>
    <definedName name="solver_rel2706" localSheetId="0" hidden="1">5</definedName>
    <definedName name="solver_rel2707" localSheetId="0" hidden="1">5</definedName>
    <definedName name="solver_rel2708" localSheetId="0" hidden="1">5</definedName>
    <definedName name="solver_rel2709" localSheetId="0" hidden="1">5</definedName>
    <definedName name="solver_rel271" localSheetId="0" hidden="1">5</definedName>
    <definedName name="solver_rel2710" localSheetId="0" hidden="1">5</definedName>
    <definedName name="solver_rel2711" localSheetId="0" hidden="1">5</definedName>
    <definedName name="solver_rel2712" localSheetId="0" hidden="1">5</definedName>
    <definedName name="solver_rel2713" localSheetId="0" hidden="1">5</definedName>
    <definedName name="solver_rel2714" localSheetId="0" hidden="1">5</definedName>
    <definedName name="solver_rel2715" localSheetId="0" hidden="1">5</definedName>
    <definedName name="solver_rel2716" localSheetId="0" hidden="1">5</definedName>
    <definedName name="solver_rel2717" localSheetId="0" hidden="1">5</definedName>
    <definedName name="solver_rel2718" localSheetId="0" hidden="1">5</definedName>
    <definedName name="solver_rel2719" localSheetId="0" hidden="1">5</definedName>
    <definedName name="solver_rel272" localSheetId="0" hidden="1">5</definedName>
    <definedName name="solver_rel2720" localSheetId="0" hidden="1">5</definedName>
    <definedName name="solver_rel2721" localSheetId="0" hidden="1">5</definedName>
    <definedName name="solver_rel2722" localSheetId="0" hidden="1">5</definedName>
    <definedName name="solver_rel2723" localSheetId="0" hidden="1">5</definedName>
    <definedName name="solver_rel2724" localSheetId="0" hidden="1">5</definedName>
    <definedName name="solver_rel2725" localSheetId="0" hidden="1">5</definedName>
    <definedName name="solver_rel2726" localSheetId="0" hidden="1">5</definedName>
    <definedName name="solver_rel2727" localSheetId="0" hidden="1">5</definedName>
    <definedName name="solver_rel2728" localSheetId="0" hidden="1">5</definedName>
    <definedName name="solver_rel2729" localSheetId="0" hidden="1">5</definedName>
    <definedName name="solver_rel273" localSheetId="0" hidden="1">5</definedName>
    <definedName name="solver_rel2730" localSheetId="0" hidden="1">5</definedName>
    <definedName name="solver_rel2731" localSheetId="0" hidden="1">5</definedName>
    <definedName name="solver_rel2732" localSheetId="0" hidden="1">5</definedName>
    <definedName name="solver_rel2733" localSheetId="0" hidden="1">5</definedName>
    <definedName name="solver_rel2734" localSheetId="0" hidden="1">5</definedName>
    <definedName name="solver_rel2735" localSheetId="0" hidden="1">5</definedName>
    <definedName name="solver_rel2736" localSheetId="0" hidden="1">5</definedName>
    <definedName name="solver_rel2737" localSheetId="0" hidden="1">5</definedName>
    <definedName name="solver_rel2738" localSheetId="0" hidden="1">5</definedName>
    <definedName name="solver_rel2739" localSheetId="0" hidden="1">5</definedName>
    <definedName name="solver_rel274" localSheetId="0" hidden="1">5</definedName>
    <definedName name="solver_rel2740" localSheetId="0" hidden="1">5</definedName>
    <definedName name="solver_rel2741" localSheetId="0" hidden="1">5</definedName>
    <definedName name="solver_rel2742" localSheetId="0" hidden="1">5</definedName>
    <definedName name="solver_rel2743" localSheetId="0" hidden="1">5</definedName>
    <definedName name="solver_rel2744" localSheetId="0" hidden="1">5</definedName>
    <definedName name="solver_rel2745" localSheetId="0" hidden="1">5</definedName>
    <definedName name="solver_rel2746" localSheetId="0" hidden="1">5</definedName>
    <definedName name="solver_rel2747" localSheetId="0" hidden="1">5</definedName>
    <definedName name="solver_rel2748" localSheetId="0" hidden="1">5</definedName>
    <definedName name="solver_rel2749" localSheetId="0" hidden="1">5</definedName>
    <definedName name="solver_rel275" localSheetId="0" hidden="1">5</definedName>
    <definedName name="solver_rel2750" localSheetId="0" hidden="1">5</definedName>
    <definedName name="solver_rel2751" localSheetId="0" hidden="1">5</definedName>
    <definedName name="solver_rel2752" localSheetId="0" hidden="1">5</definedName>
    <definedName name="solver_rel2753" localSheetId="0" hidden="1">5</definedName>
    <definedName name="solver_rel2754" localSheetId="0" hidden="1">5</definedName>
    <definedName name="solver_rel2755" localSheetId="0" hidden="1">5</definedName>
    <definedName name="solver_rel2756" localSheetId="0" hidden="1">5</definedName>
    <definedName name="solver_rel2757" localSheetId="0" hidden="1">5</definedName>
    <definedName name="solver_rel2758" localSheetId="0" hidden="1">5</definedName>
    <definedName name="solver_rel2759" localSheetId="0" hidden="1">5</definedName>
    <definedName name="solver_rel276" localSheetId="0" hidden="1">5</definedName>
    <definedName name="solver_rel2760" localSheetId="0" hidden="1">5</definedName>
    <definedName name="solver_rel2761" localSheetId="0" hidden="1">5</definedName>
    <definedName name="solver_rel2762" localSheetId="0" hidden="1">5</definedName>
    <definedName name="solver_rel2763" localSheetId="0" hidden="1">5</definedName>
    <definedName name="solver_rel2764" localSheetId="0" hidden="1">5</definedName>
    <definedName name="solver_rel2765" localSheetId="0" hidden="1">5</definedName>
    <definedName name="solver_rel2766" localSheetId="0" hidden="1">5</definedName>
    <definedName name="solver_rel2767" localSheetId="0" hidden="1">5</definedName>
    <definedName name="solver_rel2768" localSheetId="0" hidden="1">5</definedName>
    <definedName name="solver_rel2769" localSheetId="0" hidden="1">5</definedName>
    <definedName name="solver_rel277" localSheetId="0" hidden="1">5</definedName>
    <definedName name="solver_rel2770" localSheetId="0" hidden="1">5</definedName>
    <definedName name="solver_rel2771" localSheetId="0" hidden="1">5</definedName>
    <definedName name="solver_rel2772" localSheetId="0" hidden="1">5</definedName>
    <definedName name="solver_rel2773" localSheetId="0" hidden="1">5</definedName>
    <definedName name="solver_rel2774" localSheetId="0" hidden="1">5</definedName>
    <definedName name="solver_rel2775" localSheetId="0" hidden="1">5</definedName>
    <definedName name="solver_rel2776" localSheetId="0" hidden="1">5</definedName>
    <definedName name="solver_rel2777" localSheetId="0" hidden="1">5</definedName>
    <definedName name="solver_rel2778" localSheetId="0" hidden="1">5</definedName>
    <definedName name="solver_rel2779" localSheetId="0" hidden="1">5</definedName>
    <definedName name="solver_rel278" localSheetId="0" hidden="1">5</definedName>
    <definedName name="solver_rel2780" localSheetId="0" hidden="1">5</definedName>
    <definedName name="solver_rel2781" localSheetId="0" hidden="1">5</definedName>
    <definedName name="solver_rel2782" localSheetId="0" hidden="1">5</definedName>
    <definedName name="solver_rel2783" localSheetId="0" hidden="1">5</definedName>
    <definedName name="solver_rel2784" localSheetId="0" hidden="1">5</definedName>
    <definedName name="solver_rel2785" localSheetId="0" hidden="1">5</definedName>
    <definedName name="solver_rel2786" localSheetId="0" hidden="1">5</definedName>
    <definedName name="solver_rel2787" localSheetId="0" hidden="1">5</definedName>
    <definedName name="solver_rel2788" localSheetId="0" hidden="1">5</definedName>
    <definedName name="solver_rel2789" localSheetId="0" hidden="1">5</definedName>
    <definedName name="solver_rel279" localSheetId="0" hidden="1">5</definedName>
    <definedName name="solver_rel2790" localSheetId="0" hidden="1">5</definedName>
    <definedName name="solver_rel2791" localSheetId="0" hidden="1">5</definedName>
    <definedName name="solver_rel2792" localSheetId="0" hidden="1">5</definedName>
    <definedName name="solver_rel2793" localSheetId="0" hidden="1">5</definedName>
    <definedName name="solver_rel2794" localSheetId="0" hidden="1">5</definedName>
    <definedName name="solver_rel2795" localSheetId="0" hidden="1">5</definedName>
    <definedName name="solver_rel2796" localSheetId="0" hidden="1">5</definedName>
    <definedName name="solver_rel2797" localSheetId="0" hidden="1">5</definedName>
    <definedName name="solver_rel2798" localSheetId="0" hidden="1">5</definedName>
    <definedName name="solver_rel2799" localSheetId="0" hidden="1">5</definedName>
    <definedName name="solver_rel28" localSheetId="0" hidden="1">5</definedName>
    <definedName name="solver_rel280" localSheetId="0" hidden="1">5</definedName>
    <definedName name="solver_rel2800" localSheetId="0" hidden="1">5</definedName>
    <definedName name="solver_rel2801" localSheetId="0" hidden="1">5</definedName>
    <definedName name="solver_rel2802" localSheetId="0" hidden="1">5</definedName>
    <definedName name="solver_rel2803" localSheetId="0" hidden="1">5</definedName>
    <definedName name="solver_rel2804" localSheetId="0" hidden="1">5</definedName>
    <definedName name="solver_rel2805" localSheetId="0" hidden="1">5</definedName>
    <definedName name="solver_rel2806" localSheetId="0" hidden="1">5</definedName>
    <definedName name="solver_rel2807" localSheetId="0" hidden="1">5</definedName>
    <definedName name="solver_rel2808" localSheetId="0" hidden="1">5</definedName>
    <definedName name="solver_rel2809" localSheetId="0" hidden="1">5</definedName>
    <definedName name="solver_rel281" localSheetId="0" hidden="1">5</definedName>
    <definedName name="solver_rel2810" localSheetId="0" hidden="1">5</definedName>
    <definedName name="solver_rel2811" localSheetId="0" hidden="1">5</definedName>
    <definedName name="solver_rel2812" localSheetId="0" hidden="1">5</definedName>
    <definedName name="solver_rel2813" localSheetId="0" hidden="1">5</definedName>
    <definedName name="solver_rel2814" localSheetId="0" hidden="1">5</definedName>
    <definedName name="solver_rel2815" localSheetId="0" hidden="1">5</definedName>
    <definedName name="solver_rel2816" localSheetId="0" hidden="1">5</definedName>
    <definedName name="solver_rel2817" localSheetId="0" hidden="1">5</definedName>
    <definedName name="solver_rel2818" localSheetId="0" hidden="1">5</definedName>
    <definedName name="solver_rel2819" localSheetId="0" hidden="1">5</definedName>
    <definedName name="solver_rel282" localSheetId="0" hidden="1">5</definedName>
    <definedName name="solver_rel2820" localSheetId="0" hidden="1">5</definedName>
    <definedName name="solver_rel2821" localSheetId="0" hidden="1">5</definedName>
    <definedName name="solver_rel2822" localSheetId="0" hidden="1">5</definedName>
    <definedName name="solver_rel2823" localSheetId="0" hidden="1">5</definedName>
    <definedName name="solver_rel2824" localSheetId="0" hidden="1">5</definedName>
    <definedName name="solver_rel2825" localSheetId="0" hidden="1">5</definedName>
    <definedName name="solver_rel2826" localSheetId="0" hidden="1">5</definedName>
    <definedName name="solver_rel2827" localSheetId="0" hidden="1">5</definedName>
    <definedName name="solver_rel2828" localSheetId="0" hidden="1">5</definedName>
    <definedName name="solver_rel2829" localSheetId="0" hidden="1">5</definedName>
    <definedName name="solver_rel283" localSheetId="0" hidden="1">5</definedName>
    <definedName name="solver_rel2830" localSheetId="0" hidden="1">5</definedName>
    <definedName name="solver_rel2831" localSheetId="0" hidden="1">5</definedName>
    <definedName name="solver_rel2832" localSheetId="0" hidden="1">5</definedName>
    <definedName name="solver_rel2833" localSheetId="0" hidden="1">5</definedName>
    <definedName name="solver_rel2834" localSheetId="0" hidden="1">5</definedName>
    <definedName name="solver_rel2835" localSheetId="0" hidden="1">5</definedName>
    <definedName name="solver_rel2836" localSheetId="0" hidden="1">5</definedName>
    <definedName name="solver_rel2837" localSheetId="0" hidden="1">5</definedName>
    <definedName name="solver_rel2838" localSheetId="0" hidden="1">5</definedName>
    <definedName name="solver_rel2839" localSheetId="0" hidden="1">5</definedName>
    <definedName name="solver_rel284" localSheetId="0" hidden="1">5</definedName>
    <definedName name="solver_rel2840" localSheetId="0" hidden="1">5</definedName>
    <definedName name="solver_rel2841" localSheetId="0" hidden="1">5</definedName>
    <definedName name="solver_rel2842" localSheetId="0" hidden="1">5</definedName>
    <definedName name="solver_rel2843" localSheetId="0" hidden="1">5</definedName>
    <definedName name="solver_rel2844" localSheetId="0" hidden="1">5</definedName>
    <definedName name="solver_rel2845" localSheetId="0" hidden="1">5</definedName>
    <definedName name="solver_rel2846" localSheetId="0" hidden="1">5</definedName>
    <definedName name="solver_rel2847" localSheetId="0" hidden="1">5</definedName>
    <definedName name="solver_rel2848" localSheetId="0" hidden="1">5</definedName>
    <definedName name="solver_rel2849" localSheetId="0" hidden="1">5</definedName>
    <definedName name="solver_rel285" localSheetId="0" hidden="1">5</definedName>
    <definedName name="solver_rel2850" localSheetId="0" hidden="1">5</definedName>
    <definedName name="solver_rel2851" localSheetId="0" hidden="1">5</definedName>
    <definedName name="solver_rel2852" localSheetId="0" hidden="1">5</definedName>
    <definedName name="solver_rel2853" localSheetId="0" hidden="1">5</definedName>
    <definedName name="solver_rel2854" localSheetId="0" hidden="1">5</definedName>
    <definedName name="solver_rel2855" localSheetId="0" hidden="1">5</definedName>
    <definedName name="solver_rel2856" localSheetId="0" hidden="1">5</definedName>
    <definedName name="solver_rel2857" localSheetId="0" hidden="1">5</definedName>
    <definedName name="solver_rel2858" localSheetId="0" hidden="1">5</definedName>
    <definedName name="solver_rel2859" localSheetId="0" hidden="1">5</definedName>
    <definedName name="solver_rel286" localSheetId="0" hidden="1">5</definedName>
    <definedName name="solver_rel2860" localSheetId="0" hidden="1">5</definedName>
    <definedName name="solver_rel2861" localSheetId="0" hidden="1">5</definedName>
    <definedName name="solver_rel2862" localSheetId="0" hidden="1">5</definedName>
    <definedName name="solver_rel2863" localSheetId="0" hidden="1">5</definedName>
    <definedName name="solver_rel2864" localSheetId="0" hidden="1">5</definedName>
    <definedName name="solver_rel2865" localSheetId="0" hidden="1">5</definedName>
    <definedName name="solver_rel2866" localSheetId="0" hidden="1">5</definedName>
    <definedName name="solver_rel2867" localSheetId="0" hidden="1">5</definedName>
    <definedName name="solver_rel2868" localSheetId="0" hidden="1">5</definedName>
    <definedName name="solver_rel2869" localSheetId="0" hidden="1">5</definedName>
    <definedName name="solver_rel287" localSheetId="0" hidden="1">5</definedName>
    <definedName name="solver_rel2870" localSheetId="0" hidden="1">5</definedName>
    <definedName name="solver_rel2871" localSheetId="0" hidden="1">5</definedName>
    <definedName name="solver_rel2872" localSheetId="0" hidden="1">5</definedName>
    <definedName name="solver_rel2873" localSheetId="0" hidden="1">5</definedName>
    <definedName name="solver_rel2874" localSheetId="0" hidden="1">5</definedName>
    <definedName name="solver_rel2875" localSheetId="0" hidden="1">5</definedName>
    <definedName name="solver_rel2876" localSheetId="0" hidden="1">5</definedName>
    <definedName name="solver_rel2877" localSheetId="0" hidden="1">5</definedName>
    <definedName name="solver_rel2878" localSheetId="0" hidden="1">5</definedName>
    <definedName name="solver_rel2879" localSheetId="0" hidden="1">5</definedName>
    <definedName name="solver_rel288" localSheetId="0" hidden="1">5</definedName>
    <definedName name="solver_rel2880" localSheetId="0" hidden="1">5</definedName>
    <definedName name="solver_rel2881" localSheetId="0" hidden="1">5</definedName>
    <definedName name="solver_rel2882" localSheetId="0" hidden="1">5</definedName>
    <definedName name="solver_rel2883" localSheetId="0" hidden="1">5</definedName>
    <definedName name="solver_rel2884" localSheetId="0" hidden="1">5</definedName>
    <definedName name="solver_rel2885" localSheetId="0" hidden="1">5</definedName>
    <definedName name="solver_rel2886" localSheetId="0" hidden="1">5</definedName>
    <definedName name="solver_rel2887" localSheetId="0" hidden="1">5</definedName>
    <definedName name="solver_rel2888" localSheetId="0" hidden="1">5</definedName>
    <definedName name="solver_rel2889" localSheetId="0" hidden="1">5</definedName>
    <definedName name="solver_rel289" localSheetId="0" hidden="1">5</definedName>
    <definedName name="solver_rel2890" localSheetId="0" hidden="1">5</definedName>
    <definedName name="solver_rel2891" localSheetId="0" hidden="1">5</definedName>
    <definedName name="solver_rel2892" localSheetId="0" hidden="1">5</definedName>
    <definedName name="solver_rel2893" localSheetId="0" hidden="1">5</definedName>
    <definedName name="solver_rel2894" localSheetId="0" hidden="1">5</definedName>
    <definedName name="solver_rel2895" localSheetId="0" hidden="1">5</definedName>
    <definedName name="solver_rel2896" localSheetId="0" hidden="1">5</definedName>
    <definedName name="solver_rel2897" localSheetId="0" hidden="1">5</definedName>
    <definedName name="solver_rel2898" localSheetId="0" hidden="1">5</definedName>
    <definedName name="solver_rel2899" localSheetId="0" hidden="1">5</definedName>
    <definedName name="solver_rel29" localSheetId="0" hidden="1">5</definedName>
    <definedName name="solver_rel290" localSheetId="0" hidden="1">5</definedName>
    <definedName name="solver_rel2900" localSheetId="0" hidden="1">5</definedName>
    <definedName name="solver_rel2901" localSheetId="0" hidden="1">5</definedName>
    <definedName name="solver_rel2902" localSheetId="0" hidden="1">5</definedName>
    <definedName name="solver_rel2903" localSheetId="0" hidden="1">5</definedName>
    <definedName name="solver_rel2904" localSheetId="0" hidden="1">5</definedName>
    <definedName name="solver_rel2905" localSheetId="0" hidden="1">5</definedName>
    <definedName name="solver_rel2906" localSheetId="0" hidden="1">5</definedName>
    <definedName name="solver_rel2907" localSheetId="0" hidden="1">5</definedName>
    <definedName name="solver_rel2908" localSheetId="0" hidden="1">5</definedName>
    <definedName name="solver_rel2909" localSheetId="0" hidden="1">5</definedName>
    <definedName name="solver_rel291" localSheetId="0" hidden="1">5</definedName>
    <definedName name="solver_rel2910" localSheetId="0" hidden="1">5</definedName>
    <definedName name="solver_rel2911" localSheetId="0" hidden="1">5</definedName>
    <definedName name="solver_rel2912" localSheetId="0" hidden="1">5</definedName>
    <definedName name="solver_rel2913" localSheetId="0" hidden="1">5</definedName>
    <definedName name="solver_rel2914" localSheetId="0" hidden="1">5</definedName>
    <definedName name="solver_rel2915" localSheetId="0" hidden="1">5</definedName>
    <definedName name="solver_rel2916" localSheetId="0" hidden="1">5</definedName>
    <definedName name="solver_rel2917" localSheetId="0" hidden="1">5</definedName>
    <definedName name="solver_rel2918" localSheetId="0" hidden="1">5</definedName>
    <definedName name="solver_rel2919" localSheetId="0" hidden="1">5</definedName>
    <definedName name="solver_rel292" localSheetId="0" hidden="1">5</definedName>
    <definedName name="solver_rel2920" localSheetId="0" hidden="1">5</definedName>
    <definedName name="solver_rel2921" localSheetId="0" hidden="1">5</definedName>
    <definedName name="solver_rel2922" localSheetId="0" hidden="1">5</definedName>
    <definedName name="solver_rel2923" localSheetId="0" hidden="1">5</definedName>
    <definedName name="solver_rel2924" localSheetId="0" hidden="1">5</definedName>
    <definedName name="solver_rel2925" localSheetId="0" hidden="1">5</definedName>
    <definedName name="solver_rel2926" localSheetId="0" hidden="1">5</definedName>
    <definedName name="solver_rel2927" localSheetId="0" hidden="1">5</definedName>
    <definedName name="solver_rel2928" localSheetId="0" hidden="1">5</definedName>
    <definedName name="solver_rel2929" localSheetId="0" hidden="1">5</definedName>
    <definedName name="solver_rel293" localSheetId="0" hidden="1">5</definedName>
    <definedName name="solver_rel2930" localSheetId="0" hidden="1">5</definedName>
    <definedName name="solver_rel2931" localSheetId="0" hidden="1">5</definedName>
    <definedName name="solver_rel2932" localSheetId="0" hidden="1">5</definedName>
    <definedName name="solver_rel2933" localSheetId="0" hidden="1">5</definedName>
    <definedName name="solver_rel2934" localSheetId="0" hidden="1">5</definedName>
    <definedName name="solver_rel2935" localSheetId="0" hidden="1">5</definedName>
    <definedName name="solver_rel2936" localSheetId="0" hidden="1">5</definedName>
    <definedName name="solver_rel2937" localSheetId="0" hidden="1">5</definedName>
    <definedName name="solver_rel2938" localSheetId="0" hidden="1">5</definedName>
    <definedName name="solver_rel2939" localSheetId="0" hidden="1">5</definedName>
    <definedName name="solver_rel294" localSheetId="0" hidden="1">5</definedName>
    <definedName name="solver_rel2940" localSheetId="0" hidden="1">5</definedName>
    <definedName name="solver_rel2941" localSheetId="0" hidden="1">5</definedName>
    <definedName name="solver_rel2942" localSheetId="0" hidden="1">5</definedName>
    <definedName name="solver_rel2943" localSheetId="0" hidden="1">5</definedName>
    <definedName name="solver_rel2944" localSheetId="0" hidden="1">5</definedName>
    <definedName name="solver_rel2945" localSheetId="0" hidden="1">5</definedName>
    <definedName name="solver_rel2946" localSheetId="0" hidden="1">5</definedName>
    <definedName name="solver_rel2947" localSheetId="0" hidden="1">5</definedName>
    <definedName name="solver_rel2948" localSheetId="0" hidden="1">5</definedName>
    <definedName name="solver_rel2949" localSheetId="0" hidden="1">5</definedName>
    <definedName name="solver_rel295" localSheetId="0" hidden="1">5</definedName>
    <definedName name="solver_rel2950" localSheetId="0" hidden="1">5</definedName>
    <definedName name="solver_rel2951" localSheetId="0" hidden="1">5</definedName>
    <definedName name="solver_rel2952" localSheetId="0" hidden="1">5</definedName>
    <definedName name="solver_rel2953" localSheetId="0" hidden="1">5</definedName>
    <definedName name="solver_rel2954" localSheetId="0" hidden="1">5</definedName>
    <definedName name="solver_rel2955" localSheetId="0" hidden="1">5</definedName>
    <definedName name="solver_rel2956" localSheetId="0" hidden="1">5</definedName>
    <definedName name="solver_rel2957" localSheetId="0" hidden="1">5</definedName>
    <definedName name="solver_rel2958" localSheetId="0" hidden="1">5</definedName>
    <definedName name="solver_rel2959" localSheetId="0" hidden="1">5</definedName>
    <definedName name="solver_rel296" localSheetId="0" hidden="1">5</definedName>
    <definedName name="solver_rel2960" localSheetId="0" hidden="1">5</definedName>
    <definedName name="solver_rel2961" localSheetId="0" hidden="1">5</definedName>
    <definedName name="solver_rel2962" localSheetId="0" hidden="1">5</definedName>
    <definedName name="solver_rel2963" localSheetId="0" hidden="1">5</definedName>
    <definedName name="solver_rel2964" localSheetId="0" hidden="1">5</definedName>
    <definedName name="solver_rel2965" localSheetId="0" hidden="1">5</definedName>
    <definedName name="solver_rel2966" localSheetId="0" hidden="1">5</definedName>
    <definedName name="solver_rel2967" localSheetId="0" hidden="1">5</definedName>
    <definedName name="solver_rel2968" localSheetId="0" hidden="1">5</definedName>
    <definedName name="solver_rel2969" localSheetId="0" hidden="1">5</definedName>
    <definedName name="solver_rel297" localSheetId="0" hidden="1">5</definedName>
    <definedName name="solver_rel2970" localSheetId="0" hidden="1">5</definedName>
    <definedName name="solver_rel2971" localSheetId="0" hidden="1">5</definedName>
    <definedName name="solver_rel2972" localSheetId="0" hidden="1">5</definedName>
    <definedName name="solver_rel2973" localSheetId="0" hidden="1">5</definedName>
    <definedName name="solver_rel2974" localSheetId="0" hidden="1">5</definedName>
    <definedName name="solver_rel2975" localSheetId="0" hidden="1">5</definedName>
    <definedName name="solver_rel2976" localSheetId="0" hidden="1">5</definedName>
    <definedName name="solver_rel2977" localSheetId="0" hidden="1">5</definedName>
    <definedName name="solver_rel2978" localSheetId="0" hidden="1">5</definedName>
    <definedName name="solver_rel2979" localSheetId="0" hidden="1">5</definedName>
    <definedName name="solver_rel298" localSheetId="0" hidden="1">5</definedName>
    <definedName name="solver_rel2980" localSheetId="0" hidden="1">5</definedName>
    <definedName name="solver_rel2981" localSheetId="0" hidden="1">5</definedName>
    <definedName name="solver_rel2982" localSheetId="0" hidden="1">5</definedName>
    <definedName name="solver_rel2983" localSheetId="0" hidden="1">5</definedName>
    <definedName name="solver_rel2984" localSheetId="0" hidden="1">5</definedName>
    <definedName name="solver_rel2985" localSheetId="0" hidden="1">5</definedName>
    <definedName name="solver_rel2986" localSheetId="0" hidden="1">5</definedName>
    <definedName name="solver_rel2987" localSheetId="0" hidden="1">5</definedName>
    <definedName name="solver_rel2988" localSheetId="0" hidden="1">5</definedName>
    <definedName name="solver_rel2989" localSheetId="0" hidden="1">5</definedName>
    <definedName name="solver_rel299" localSheetId="0" hidden="1">5</definedName>
    <definedName name="solver_rel2990" localSheetId="0" hidden="1">5</definedName>
    <definedName name="solver_rel2991" localSheetId="0" hidden="1">5</definedName>
    <definedName name="solver_rel2992" localSheetId="0" hidden="1">5</definedName>
    <definedName name="solver_rel2993" localSheetId="0" hidden="1">5</definedName>
    <definedName name="solver_rel2994" localSheetId="0" hidden="1">5</definedName>
    <definedName name="solver_rel2995" localSheetId="0" hidden="1">5</definedName>
    <definedName name="solver_rel2996" localSheetId="0" hidden="1">5</definedName>
    <definedName name="solver_rel2997" localSheetId="0" hidden="1">5</definedName>
    <definedName name="solver_rel2998" localSheetId="0" hidden="1">5</definedName>
    <definedName name="solver_rel2999" localSheetId="0" hidden="1">5</definedName>
    <definedName name="solver_rel3" localSheetId="0" hidden="1">3</definedName>
    <definedName name="solver_rel30" localSheetId="0" hidden="1">5</definedName>
    <definedName name="solver_rel300" localSheetId="0" hidden="1">5</definedName>
    <definedName name="solver_rel3000" localSheetId="0" hidden="1">5</definedName>
    <definedName name="solver_rel3001" localSheetId="0" hidden="1">5</definedName>
    <definedName name="solver_rel3002" localSheetId="0" hidden="1">5</definedName>
    <definedName name="solver_rel3003" localSheetId="0" hidden="1">5</definedName>
    <definedName name="solver_rel3004" localSheetId="0" hidden="1">5</definedName>
    <definedName name="solver_rel3005" localSheetId="0" hidden="1">5</definedName>
    <definedName name="solver_rel3006" localSheetId="0" hidden="1">5</definedName>
    <definedName name="solver_rel3007" localSheetId="0" hidden="1">5</definedName>
    <definedName name="solver_rel3008" localSheetId="0" hidden="1">5</definedName>
    <definedName name="solver_rel3009" localSheetId="0" hidden="1">5</definedName>
    <definedName name="solver_rel301" localSheetId="0" hidden="1">5</definedName>
    <definedName name="solver_rel3010" localSheetId="0" hidden="1">5</definedName>
    <definedName name="solver_rel3011" localSheetId="0" hidden="1">5</definedName>
    <definedName name="solver_rel3012" localSheetId="0" hidden="1">5</definedName>
    <definedName name="solver_rel3013" localSheetId="0" hidden="1">5</definedName>
    <definedName name="solver_rel3014" localSheetId="0" hidden="1">5</definedName>
    <definedName name="solver_rel3015" localSheetId="0" hidden="1">5</definedName>
    <definedName name="solver_rel3016" localSheetId="0" hidden="1">5</definedName>
    <definedName name="solver_rel3017" localSheetId="0" hidden="1">5</definedName>
    <definedName name="solver_rel3018" localSheetId="0" hidden="1">5</definedName>
    <definedName name="solver_rel3019" localSheetId="0" hidden="1">5</definedName>
    <definedName name="solver_rel302" localSheetId="0" hidden="1">5</definedName>
    <definedName name="solver_rel3020" localSheetId="0" hidden="1">5</definedName>
    <definedName name="solver_rel3021" localSheetId="0" hidden="1">5</definedName>
    <definedName name="solver_rel3022" localSheetId="0" hidden="1">5</definedName>
    <definedName name="solver_rel3023" localSheetId="0" hidden="1">5</definedName>
    <definedName name="solver_rel3024" localSheetId="0" hidden="1">5</definedName>
    <definedName name="solver_rel3025" localSheetId="0" hidden="1">5</definedName>
    <definedName name="solver_rel3026" localSheetId="0" hidden="1">5</definedName>
    <definedName name="solver_rel3027" localSheetId="0" hidden="1">5</definedName>
    <definedName name="solver_rel3028" localSheetId="0" hidden="1">5</definedName>
    <definedName name="solver_rel3029" localSheetId="0" hidden="1">5</definedName>
    <definedName name="solver_rel303" localSheetId="0" hidden="1">5</definedName>
    <definedName name="solver_rel3030" localSheetId="0" hidden="1">5</definedName>
    <definedName name="solver_rel3031" localSheetId="0" hidden="1">5</definedName>
    <definedName name="solver_rel3032" localSheetId="0" hidden="1">5</definedName>
    <definedName name="solver_rel3033" localSheetId="0" hidden="1">5</definedName>
    <definedName name="solver_rel3034" localSheetId="0" hidden="1">5</definedName>
    <definedName name="solver_rel3035" localSheetId="0" hidden="1">5</definedName>
    <definedName name="solver_rel3036" localSheetId="0" hidden="1">5</definedName>
    <definedName name="solver_rel3037" localSheetId="0" hidden="1">5</definedName>
    <definedName name="solver_rel3038" localSheetId="0" hidden="1">5</definedName>
    <definedName name="solver_rel3039" localSheetId="0" hidden="1">5</definedName>
    <definedName name="solver_rel304" localSheetId="0" hidden="1">5</definedName>
    <definedName name="solver_rel3040" localSheetId="0" hidden="1">5</definedName>
    <definedName name="solver_rel3041" localSheetId="0" hidden="1">5</definedName>
    <definedName name="solver_rel3042" localSheetId="0" hidden="1">5</definedName>
    <definedName name="solver_rel3043" localSheetId="0" hidden="1">5</definedName>
    <definedName name="solver_rel3044" localSheetId="0" hidden="1">5</definedName>
    <definedName name="solver_rel3045" localSheetId="0" hidden="1">5</definedName>
    <definedName name="solver_rel3046" localSheetId="0" hidden="1">5</definedName>
    <definedName name="solver_rel3047" localSheetId="0" hidden="1">5</definedName>
    <definedName name="solver_rel3048" localSheetId="0" hidden="1">5</definedName>
    <definedName name="solver_rel3049" localSheetId="0" hidden="1">5</definedName>
    <definedName name="solver_rel305" localSheetId="0" hidden="1">5</definedName>
    <definedName name="solver_rel3050" localSheetId="0" hidden="1">5</definedName>
    <definedName name="solver_rel3051" localSheetId="0" hidden="1">5</definedName>
    <definedName name="solver_rel3052" localSheetId="0" hidden="1">5</definedName>
    <definedName name="solver_rel3053" localSheetId="0" hidden="1">5</definedName>
    <definedName name="solver_rel3054" localSheetId="0" hidden="1">5</definedName>
    <definedName name="solver_rel3055" localSheetId="0" hidden="1">5</definedName>
    <definedName name="solver_rel3056" localSheetId="0" hidden="1">5</definedName>
    <definedName name="solver_rel3057" localSheetId="0" hidden="1">5</definedName>
    <definedName name="solver_rel3058" localSheetId="0" hidden="1">5</definedName>
    <definedName name="solver_rel3059" localSheetId="0" hidden="1">5</definedName>
    <definedName name="solver_rel306" localSheetId="0" hidden="1">5</definedName>
    <definedName name="solver_rel3060" localSheetId="0" hidden="1">5</definedName>
    <definedName name="solver_rel3061" localSheetId="0" hidden="1">5</definedName>
    <definedName name="solver_rel3062" localSheetId="0" hidden="1">5</definedName>
    <definedName name="solver_rel3063" localSheetId="0" hidden="1">5</definedName>
    <definedName name="solver_rel3064" localSheetId="0" hidden="1">5</definedName>
    <definedName name="solver_rel3065" localSheetId="0" hidden="1">5</definedName>
    <definedName name="solver_rel3066" localSheetId="0" hidden="1">5</definedName>
    <definedName name="solver_rel3067" localSheetId="0" hidden="1">5</definedName>
    <definedName name="solver_rel3068" localSheetId="0" hidden="1">5</definedName>
    <definedName name="solver_rel3069" localSheetId="0" hidden="1">5</definedName>
    <definedName name="solver_rel307" localSheetId="0" hidden="1">5</definedName>
    <definedName name="solver_rel3070" localSheetId="0" hidden="1">5</definedName>
    <definedName name="solver_rel3071" localSheetId="0" hidden="1">5</definedName>
    <definedName name="solver_rel3072" localSheetId="0" hidden="1">5</definedName>
    <definedName name="solver_rel3073" localSheetId="0" hidden="1">5</definedName>
    <definedName name="solver_rel3074" localSheetId="0" hidden="1">5</definedName>
    <definedName name="solver_rel3075" localSheetId="0" hidden="1">5</definedName>
    <definedName name="solver_rel3076" localSheetId="0" hidden="1">5</definedName>
    <definedName name="solver_rel3077" localSheetId="0" hidden="1">5</definedName>
    <definedName name="solver_rel3078" localSheetId="0" hidden="1">5</definedName>
    <definedName name="solver_rel3079" localSheetId="0" hidden="1">5</definedName>
    <definedName name="solver_rel308" localSheetId="0" hidden="1">5</definedName>
    <definedName name="solver_rel3080" localSheetId="0" hidden="1">5</definedName>
    <definedName name="solver_rel3081" localSheetId="0" hidden="1">5</definedName>
    <definedName name="solver_rel3082" localSheetId="0" hidden="1">5</definedName>
    <definedName name="solver_rel3083" localSheetId="0" hidden="1">5</definedName>
    <definedName name="solver_rel3084" localSheetId="0" hidden="1">5</definedName>
    <definedName name="solver_rel3085" localSheetId="0" hidden="1">5</definedName>
    <definedName name="solver_rel3086" localSheetId="0" hidden="1">5</definedName>
    <definedName name="solver_rel3087" localSheetId="0" hidden="1">5</definedName>
    <definedName name="solver_rel3088" localSheetId="0" hidden="1">5</definedName>
    <definedName name="solver_rel3089" localSheetId="0" hidden="1">5</definedName>
    <definedName name="solver_rel309" localSheetId="0" hidden="1">5</definedName>
    <definedName name="solver_rel3090" localSheetId="0" hidden="1">5</definedName>
    <definedName name="solver_rel3091" localSheetId="0" hidden="1">5</definedName>
    <definedName name="solver_rel3092" localSheetId="0" hidden="1">5</definedName>
    <definedName name="solver_rel3093" localSheetId="0" hidden="1">5</definedName>
    <definedName name="solver_rel3094" localSheetId="0" hidden="1">5</definedName>
    <definedName name="solver_rel3095" localSheetId="0" hidden="1">5</definedName>
    <definedName name="solver_rel3096" localSheetId="0" hidden="1">5</definedName>
    <definedName name="solver_rel3097" localSheetId="0" hidden="1">5</definedName>
    <definedName name="solver_rel3098" localSheetId="0" hidden="1">5</definedName>
    <definedName name="solver_rel3099" localSheetId="0" hidden="1">5</definedName>
    <definedName name="solver_rel31" localSheetId="0" hidden="1">5</definedName>
    <definedName name="solver_rel310" localSheetId="0" hidden="1">5</definedName>
    <definedName name="solver_rel3100" localSheetId="0" hidden="1">5</definedName>
    <definedName name="solver_rel3101" localSheetId="0" hidden="1">5</definedName>
    <definedName name="solver_rel3102" localSheetId="0" hidden="1">5</definedName>
    <definedName name="solver_rel3103" localSheetId="0" hidden="1">5</definedName>
    <definedName name="solver_rel3104" localSheetId="0" hidden="1">5</definedName>
    <definedName name="solver_rel3105" localSheetId="0" hidden="1">5</definedName>
    <definedName name="solver_rel3106" localSheetId="0" hidden="1">5</definedName>
    <definedName name="solver_rel3107" localSheetId="0" hidden="1">5</definedName>
    <definedName name="solver_rel3108" localSheetId="0" hidden="1">5</definedName>
    <definedName name="solver_rel3109" localSheetId="0" hidden="1">5</definedName>
    <definedName name="solver_rel311" localSheetId="0" hidden="1">5</definedName>
    <definedName name="solver_rel3110" localSheetId="0" hidden="1">5</definedName>
    <definedName name="solver_rel3111" localSheetId="0" hidden="1">5</definedName>
    <definedName name="solver_rel3112" localSheetId="0" hidden="1">5</definedName>
    <definedName name="solver_rel3113" localSheetId="0" hidden="1">5</definedName>
    <definedName name="solver_rel3114" localSheetId="0" hidden="1">5</definedName>
    <definedName name="solver_rel3115" localSheetId="0" hidden="1">5</definedName>
    <definedName name="solver_rel3116" localSheetId="0" hidden="1">5</definedName>
    <definedName name="solver_rel3117" localSheetId="0" hidden="1">5</definedName>
    <definedName name="solver_rel3118" localSheetId="0" hidden="1">5</definedName>
    <definedName name="solver_rel3119" localSheetId="0" hidden="1">5</definedName>
    <definedName name="solver_rel312" localSheetId="0" hidden="1">5</definedName>
    <definedName name="solver_rel3120" localSheetId="0" hidden="1">5</definedName>
    <definedName name="solver_rel3121" localSheetId="0" hidden="1">5</definedName>
    <definedName name="solver_rel3122" localSheetId="0" hidden="1">5</definedName>
    <definedName name="solver_rel3123" localSheetId="0" hidden="1">5</definedName>
    <definedName name="solver_rel3124" localSheetId="0" hidden="1">5</definedName>
    <definedName name="solver_rel3125" localSheetId="0" hidden="1">5</definedName>
    <definedName name="solver_rel3126" localSheetId="0" hidden="1">5</definedName>
    <definedName name="solver_rel3127" localSheetId="0" hidden="1">5</definedName>
    <definedName name="solver_rel3128" localSheetId="0" hidden="1">5</definedName>
    <definedName name="solver_rel3129" localSheetId="0" hidden="1">5</definedName>
    <definedName name="solver_rel313" localSheetId="0" hidden="1">5</definedName>
    <definedName name="solver_rel3130" localSheetId="0" hidden="1">5</definedName>
    <definedName name="solver_rel3131" localSheetId="0" hidden="1">5</definedName>
    <definedName name="solver_rel3132" localSheetId="0" hidden="1">5</definedName>
    <definedName name="solver_rel3133" localSheetId="0" hidden="1">5</definedName>
    <definedName name="solver_rel3134" localSheetId="0" hidden="1">5</definedName>
    <definedName name="solver_rel3135" localSheetId="0" hidden="1">5</definedName>
    <definedName name="solver_rel3136" localSheetId="0" hidden="1">5</definedName>
    <definedName name="solver_rel3137" localSheetId="0" hidden="1">5</definedName>
    <definedName name="solver_rel3138" localSheetId="0" hidden="1">5</definedName>
    <definedName name="solver_rel3139" localSheetId="0" hidden="1">5</definedName>
    <definedName name="solver_rel314" localSheetId="0" hidden="1">5</definedName>
    <definedName name="solver_rel3140" localSheetId="0" hidden="1">5</definedName>
    <definedName name="solver_rel3141" localSheetId="0" hidden="1">5</definedName>
    <definedName name="solver_rel3142" localSheetId="0" hidden="1">5</definedName>
    <definedName name="solver_rel3143" localSheetId="0" hidden="1">5</definedName>
    <definedName name="solver_rel3144" localSheetId="0" hidden="1">5</definedName>
    <definedName name="solver_rel3145" localSheetId="0" hidden="1">5</definedName>
    <definedName name="solver_rel3146" localSheetId="0" hidden="1">5</definedName>
    <definedName name="solver_rel3147" localSheetId="0" hidden="1">5</definedName>
    <definedName name="solver_rel3148" localSheetId="0" hidden="1">5</definedName>
    <definedName name="solver_rel3149" localSheetId="0" hidden="1">5</definedName>
    <definedName name="solver_rel315" localSheetId="0" hidden="1">5</definedName>
    <definedName name="solver_rel3150" localSheetId="0" hidden="1">5</definedName>
    <definedName name="solver_rel3151" localSheetId="0" hidden="1">5</definedName>
    <definedName name="solver_rel3152" localSheetId="0" hidden="1">5</definedName>
    <definedName name="solver_rel3153" localSheetId="0" hidden="1">5</definedName>
    <definedName name="solver_rel3154" localSheetId="0" hidden="1">5</definedName>
    <definedName name="solver_rel3155" localSheetId="0" hidden="1">5</definedName>
    <definedName name="solver_rel3156" localSheetId="0" hidden="1">5</definedName>
    <definedName name="solver_rel3157" localSheetId="0" hidden="1">5</definedName>
    <definedName name="solver_rel3158" localSheetId="0" hidden="1">5</definedName>
    <definedName name="solver_rel3159" localSheetId="0" hidden="1">5</definedName>
    <definedName name="solver_rel316" localSheetId="0" hidden="1">5</definedName>
    <definedName name="solver_rel3160" localSheetId="0" hidden="1">5</definedName>
    <definedName name="solver_rel3161" localSheetId="0" hidden="1">5</definedName>
    <definedName name="solver_rel3162" localSheetId="0" hidden="1">5</definedName>
    <definedName name="solver_rel3163" localSheetId="0" hidden="1">5</definedName>
    <definedName name="solver_rel3164" localSheetId="0" hidden="1">5</definedName>
    <definedName name="solver_rel3165" localSheetId="0" hidden="1">5</definedName>
    <definedName name="solver_rel3166" localSheetId="0" hidden="1">5</definedName>
    <definedName name="solver_rel3167" localSheetId="0" hidden="1">5</definedName>
    <definedName name="solver_rel3168" localSheetId="0" hidden="1">5</definedName>
    <definedName name="solver_rel3169" localSheetId="0" hidden="1">5</definedName>
    <definedName name="solver_rel317" localSheetId="0" hidden="1">5</definedName>
    <definedName name="solver_rel3170" localSheetId="0" hidden="1">5</definedName>
    <definedName name="solver_rel3171" localSheetId="0" hidden="1">5</definedName>
    <definedName name="solver_rel3172" localSheetId="0" hidden="1">5</definedName>
    <definedName name="solver_rel3173" localSheetId="0" hidden="1">5</definedName>
    <definedName name="solver_rel3174" localSheetId="0" hidden="1">5</definedName>
    <definedName name="solver_rel3175" localSheetId="0" hidden="1">5</definedName>
    <definedName name="solver_rel3176" localSheetId="0" hidden="1">5</definedName>
    <definedName name="solver_rel3177" localSheetId="0" hidden="1">5</definedName>
    <definedName name="solver_rel3178" localSheetId="0" hidden="1">5</definedName>
    <definedName name="solver_rel3179" localSheetId="0" hidden="1">5</definedName>
    <definedName name="solver_rel318" localSheetId="0" hidden="1">5</definedName>
    <definedName name="solver_rel3180" localSheetId="0" hidden="1">5</definedName>
    <definedName name="solver_rel3181" localSheetId="0" hidden="1">5</definedName>
    <definedName name="solver_rel3182" localSheetId="0" hidden="1">5</definedName>
    <definedName name="solver_rel3183" localSheetId="0" hidden="1">5</definedName>
    <definedName name="solver_rel3184" localSheetId="0" hidden="1">5</definedName>
    <definedName name="solver_rel3185" localSheetId="0" hidden="1">5</definedName>
    <definedName name="solver_rel3186" localSheetId="0" hidden="1">5</definedName>
    <definedName name="solver_rel3187" localSheetId="0" hidden="1">5</definedName>
    <definedName name="solver_rel3188" localSheetId="0" hidden="1">5</definedName>
    <definedName name="solver_rel3189" localSheetId="0" hidden="1">5</definedName>
    <definedName name="solver_rel319" localSheetId="0" hidden="1">5</definedName>
    <definedName name="solver_rel3190" localSheetId="0" hidden="1">5</definedName>
    <definedName name="solver_rel3191" localSheetId="0" hidden="1">5</definedName>
    <definedName name="solver_rel3192" localSheetId="0" hidden="1">5</definedName>
    <definedName name="solver_rel3193" localSheetId="0" hidden="1">5</definedName>
    <definedName name="solver_rel3194" localSheetId="0" hidden="1">5</definedName>
    <definedName name="solver_rel3195" localSheetId="0" hidden="1">5</definedName>
    <definedName name="solver_rel3196" localSheetId="0" hidden="1">5</definedName>
    <definedName name="solver_rel3197" localSheetId="0" hidden="1">5</definedName>
    <definedName name="solver_rel3198" localSheetId="0" hidden="1">5</definedName>
    <definedName name="solver_rel3199" localSheetId="0" hidden="1">5</definedName>
    <definedName name="solver_rel32" localSheetId="0" hidden="1">5</definedName>
    <definedName name="solver_rel320" localSheetId="0" hidden="1">5</definedName>
    <definedName name="solver_rel3200" localSheetId="0" hidden="1">5</definedName>
    <definedName name="solver_rel3201" localSheetId="0" hidden="1">5</definedName>
    <definedName name="solver_rel3202" localSheetId="0" hidden="1">5</definedName>
    <definedName name="solver_rel3203" localSheetId="0" hidden="1">5</definedName>
    <definedName name="solver_rel3204" localSheetId="0" hidden="1">5</definedName>
    <definedName name="solver_rel3205" localSheetId="0" hidden="1">5</definedName>
    <definedName name="solver_rel3206" localSheetId="0" hidden="1">5</definedName>
    <definedName name="solver_rel3207" localSheetId="0" hidden="1">5</definedName>
    <definedName name="solver_rel3208" localSheetId="0" hidden="1">5</definedName>
    <definedName name="solver_rel3209" localSheetId="0" hidden="1">5</definedName>
    <definedName name="solver_rel321" localSheetId="0" hidden="1">5</definedName>
    <definedName name="solver_rel3210" localSheetId="0" hidden="1">5</definedName>
    <definedName name="solver_rel3211" localSheetId="0" hidden="1">5</definedName>
    <definedName name="solver_rel3212" localSheetId="0" hidden="1">5</definedName>
    <definedName name="solver_rel3213" localSheetId="0" hidden="1">5</definedName>
    <definedName name="solver_rel3214" localSheetId="0" hidden="1">5</definedName>
    <definedName name="solver_rel3215" localSheetId="0" hidden="1">5</definedName>
    <definedName name="solver_rel3216" localSheetId="0" hidden="1">5</definedName>
    <definedName name="solver_rel3217" localSheetId="0" hidden="1">5</definedName>
    <definedName name="solver_rel3218" localSheetId="0" hidden="1">5</definedName>
    <definedName name="solver_rel3219" localSheetId="0" hidden="1">5</definedName>
    <definedName name="solver_rel322" localSheetId="0" hidden="1">5</definedName>
    <definedName name="solver_rel3220" localSheetId="0" hidden="1">5</definedName>
    <definedName name="solver_rel3221" localSheetId="0" hidden="1">5</definedName>
    <definedName name="solver_rel3222" localSheetId="0" hidden="1">5</definedName>
    <definedName name="solver_rel3223" localSheetId="0" hidden="1">5</definedName>
    <definedName name="solver_rel3224" localSheetId="0" hidden="1">5</definedName>
    <definedName name="solver_rel3225" localSheetId="0" hidden="1">5</definedName>
    <definedName name="solver_rel3226" localSheetId="0" hidden="1">5</definedName>
    <definedName name="solver_rel3227" localSheetId="0" hidden="1">5</definedName>
    <definedName name="solver_rel3228" localSheetId="0" hidden="1">5</definedName>
    <definedName name="solver_rel3229" localSheetId="0" hidden="1">5</definedName>
    <definedName name="solver_rel323" localSheetId="0" hidden="1">5</definedName>
    <definedName name="solver_rel3230" localSheetId="0" hidden="1">5</definedName>
    <definedName name="solver_rel3231" localSheetId="0" hidden="1">5</definedName>
    <definedName name="solver_rel3232" localSheetId="0" hidden="1">5</definedName>
    <definedName name="solver_rel3233" localSheetId="0" hidden="1">5</definedName>
    <definedName name="solver_rel3234" localSheetId="0" hidden="1">5</definedName>
    <definedName name="solver_rel3235" localSheetId="0" hidden="1">5</definedName>
    <definedName name="solver_rel3236" localSheetId="0" hidden="1">5</definedName>
    <definedName name="solver_rel3237" localSheetId="0" hidden="1">5</definedName>
    <definedName name="solver_rel3238" localSheetId="0" hidden="1">5</definedName>
    <definedName name="solver_rel3239" localSheetId="0" hidden="1">5</definedName>
    <definedName name="solver_rel324" localSheetId="0" hidden="1">5</definedName>
    <definedName name="solver_rel3240" localSheetId="0" hidden="1">5</definedName>
    <definedName name="solver_rel3241" localSheetId="0" hidden="1">5</definedName>
    <definedName name="solver_rel3242" localSheetId="0" hidden="1">5</definedName>
    <definedName name="solver_rel3243" localSheetId="0" hidden="1">5</definedName>
    <definedName name="solver_rel3244" localSheetId="0" hidden="1">5</definedName>
    <definedName name="solver_rel3245" localSheetId="0" hidden="1">5</definedName>
    <definedName name="solver_rel3246" localSheetId="0" hidden="1">5</definedName>
    <definedName name="solver_rel3247" localSheetId="0" hidden="1">5</definedName>
    <definedName name="solver_rel3248" localSheetId="0" hidden="1">5</definedName>
    <definedName name="solver_rel3249" localSheetId="0" hidden="1">5</definedName>
    <definedName name="solver_rel325" localSheetId="0" hidden="1">5</definedName>
    <definedName name="solver_rel3250" localSheetId="0" hidden="1">5</definedName>
    <definedName name="solver_rel3251" localSheetId="0" hidden="1">5</definedName>
    <definedName name="solver_rel3252" localSheetId="0" hidden="1">5</definedName>
    <definedName name="solver_rel3253" localSheetId="0" hidden="1">5</definedName>
    <definedName name="solver_rel3254" localSheetId="0" hidden="1">5</definedName>
    <definedName name="solver_rel3255" localSheetId="0" hidden="1">5</definedName>
    <definedName name="solver_rel3256" localSheetId="0" hidden="1">5</definedName>
    <definedName name="solver_rel3257" localSheetId="0" hidden="1">5</definedName>
    <definedName name="solver_rel3258" localSheetId="0" hidden="1">5</definedName>
    <definedName name="solver_rel3259" localSheetId="0" hidden="1">5</definedName>
    <definedName name="solver_rel326" localSheetId="0" hidden="1">5</definedName>
    <definedName name="solver_rel3260" localSheetId="0" hidden="1">5</definedName>
    <definedName name="solver_rel3261" localSheetId="0" hidden="1">5</definedName>
    <definedName name="solver_rel3262" localSheetId="0" hidden="1">5</definedName>
    <definedName name="solver_rel3263" localSheetId="0" hidden="1">5</definedName>
    <definedName name="solver_rel3264" localSheetId="0" hidden="1">5</definedName>
    <definedName name="solver_rel3265" localSheetId="0" hidden="1">5</definedName>
    <definedName name="solver_rel3266" localSheetId="0" hidden="1">5</definedName>
    <definedName name="solver_rel3267" localSheetId="0" hidden="1">5</definedName>
    <definedName name="solver_rel3268" localSheetId="0" hidden="1">5</definedName>
    <definedName name="solver_rel3269" localSheetId="0" hidden="1">5</definedName>
    <definedName name="solver_rel327" localSheetId="0" hidden="1">5</definedName>
    <definedName name="solver_rel3270" localSheetId="0" hidden="1">5</definedName>
    <definedName name="solver_rel3271" localSheetId="0" hidden="1">5</definedName>
    <definedName name="solver_rel3272" localSheetId="0" hidden="1">5</definedName>
    <definedName name="solver_rel3273" localSheetId="0" hidden="1">5</definedName>
    <definedName name="solver_rel3274" localSheetId="0" hidden="1">5</definedName>
    <definedName name="solver_rel3275" localSheetId="0" hidden="1">5</definedName>
    <definedName name="solver_rel3276" localSheetId="0" hidden="1">5</definedName>
    <definedName name="solver_rel3277" localSheetId="0" hidden="1">5</definedName>
    <definedName name="solver_rel3278" localSheetId="0" hidden="1">5</definedName>
    <definedName name="solver_rel3279" localSheetId="0" hidden="1">5</definedName>
    <definedName name="solver_rel328" localSheetId="0" hidden="1">5</definedName>
    <definedName name="solver_rel3280" localSheetId="0" hidden="1">5</definedName>
    <definedName name="solver_rel3281" localSheetId="0" hidden="1">5</definedName>
    <definedName name="solver_rel3282" localSheetId="0" hidden="1">5</definedName>
    <definedName name="solver_rel3283" localSheetId="0" hidden="1">5</definedName>
    <definedName name="solver_rel3284" localSheetId="0" hidden="1">5</definedName>
    <definedName name="solver_rel3285" localSheetId="0" hidden="1">5</definedName>
    <definedName name="solver_rel3286" localSheetId="0" hidden="1">5</definedName>
    <definedName name="solver_rel3287" localSheetId="0" hidden="1">5</definedName>
    <definedName name="solver_rel3288" localSheetId="0" hidden="1">5</definedName>
    <definedName name="solver_rel3289" localSheetId="0" hidden="1">5</definedName>
    <definedName name="solver_rel329" localSheetId="0" hidden="1">5</definedName>
    <definedName name="solver_rel3290" localSheetId="0" hidden="1">5</definedName>
    <definedName name="solver_rel3291" localSheetId="0" hidden="1">5</definedName>
    <definedName name="solver_rel3292" localSheetId="0" hidden="1">5</definedName>
    <definedName name="solver_rel3293" localSheetId="0" hidden="1">5</definedName>
    <definedName name="solver_rel3294" localSheetId="0" hidden="1">5</definedName>
    <definedName name="solver_rel3295" localSheetId="0" hidden="1">5</definedName>
    <definedName name="solver_rel3296" localSheetId="0" hidden="1">5</definedName>
    <definedName name="solver_rel3297" localSheetId="0" hidden="1">5</definedName>
    <definedName name="solver_rel3298" localSheetId="0" hidden="1">5</definedName>
    <definedName name="solver_rel3299" localSheetId="0" hidden="1">5</definedName>
    <definedName name="solver_rel33" localSheetId="0" hidden="1">5</definedName>
    <definedName name="solver_rel330" localSheetId="0" hidden="1">5</definedName>
    <definedName name="solver_rel3300" localSheetId="0" hidden="1">5</definedName>
    <definedName name="solver_rel3301" localSheetId="0" hidden="1">5</definedName>
    <definedName name="solver_rel3302" localSheetId="0" hidden="1">5</definedName>
    <definedName name="solver_rel3303" localSheetId="0" hidden="1">5</definedName>
    <definedName name="solver_rel3304" localSheetId="0" hidden="1">5</definedName>
    <definedName name="solver_rel3305" localSheetId="0" hidden="1">5</definedName>
    <definedName name="solver_rel3306" localSheetId="0" hidden="1">5</definedName>
    <definedName name="solver_rel3307" localSheetId="0" hidden="1">5</definedName>
    <definedName name="solver_rel3308" localSheetId="0" hidden="1">5</definedName>
    <definedName name="solver_rel3309" localSheetId="0" hidden="1">5</definedName>
    <definedName name="solver_rel331" localSheetId="0" hidden="1">5</definedName>
    <definedName name="solver_rel3310" localSheetId="0" hidden="1">5</definedName>
    <definedName name="solver_rel3311" localSheetId="0" hidden="1">5</definedName>
    <definedName name="solver_rel3312" localSheetId="0" hidden="1">5</definedName>
    <definedName name="solver_rel3313" localSheetId="0" hidden="1">5</definedName>
    <definedName name="solver_rel3314" localSheetId="0" hidden="1">5</definedName>
    <definedName name="solver_rel3315" localSheetId="0" hidden="1">5</definedName>
    <definedName name="solver_rel3316" localSheetId="0" hidden="1">5</definedName>
    <definedName name="solver_rel3317" localSheetId="0" hidden="1">5</definedName>
    <definedName name="solver_rel3318" localSheetId="0" hidden="1">5</definedName>
    <definedName name="solver_rel3319" localSheetId="0" hidden="1">5</definedName>
    <definedName name="solver_rel332" localSheetId="0" hidden="1">5</definedName>
    <definedName name="solver_rel3320" localSheetId="0" hidden="1">5</definedName>
    <definedName name="solver_rel3321" localSheetId="0" hidden="1">5</definedName>
    <definedName name="solver_rel3322" localSheetId="0" hidden="1">5</definedName>
    <definedName name="solver_rel3323" localSheetId="0" hidden="1">5</definedName>
    <definedName name="solver_rel3324" localSheetId="0" hidden="1">5</definedName>
    <definedName name="solver_rel3325" localSheetId="0" hidden="1">5</definedName>
    <definedName name="solver_rel3326" localSheetId="0" hidden="1">5</definedName>
    <definedName name="solver_rel3327" localSheetId="0" hidden="1">5</definedName>
    <definedName name="solver_rel3328" localSheetId="0" hidden="1">5</definedName>
    <definedName name="solver_rel3329" localSheetId="0" hidden="1">5</definedName>
    <definedName name="solver_rel333" localSheetId="0" hidden="1">5</definedName>
    <definedName name="solver_rel3330" localSheetId="0" hidden="1">5</definedName>
    <definedName name="solver_rel3331" localSheetId="0" hidden="1">5</definedName>
    <definedName name="solver_rel3332" localSheetId="0" hidden="1">5</definedName>
    <definedName name="solver_rel3333" localSheetId="0" hidden="1">5</definedName>
    <definedName name="solver_rel3334" localSheetId="0" hidden="1">5</definedName>
    <definedName name="solver_rel3335" localSheetId="0" hidden="1">5</definedName>
    <definedName name="solver_rel3336" localSheetId="0" hidden="1">5</definedName>
    <definedName name="solver_rel3337" localSheetId="0" hidden="1">5</definedName>
    <definedName name="solver_rel3338" localSheetId="0" hidden="1">5</definedName>
    <definedName name="solver_rel3339" localSheetId="0" hidden="1">5</definedName>
    <definedName name="solver_rel334" localSheetId="0" hidden="1">5</definedName>
    <definedName name="solver_rel3340" localSheetId="0" hidden="1">5</definedName>
    <definedName name="solver_rel3341" localSheetId="0" hidden="1">5</definedName>
    <definedName name="solver_rel3342" localSheetId="0" hidden="1">5</definedName>
    <definedName name="solver_rel3343" localSheetId="0" hidden="1">5</definedName>
    <definedName name="solver_rel3344" localSheetId="0" hidden="1">5</definedName>
    <definedName name="solver_rel3345" localSheetId="0" hidden="1">5</definedName>
    <definedName name="solver_rel3346" localSheetId="0" hidden="1">5</definedName>
    <definedName name="solver_rel3347" localSheetId="0" hidden="1">5</definedName>
    <definedName name="solver_rel3348" localSheetId="0" hidden="1">5</definedName>
    <definedName name="solver_rel3349" localSheetId="0" hidden="1">5</definedName>
    <definedName name="solver_rel335" localSheetId="0" hidden="1">5</definedName>
    <definedName name="solver_rel3350" localSheetId="0" hidden="1">5</definedName>
    <definedName name="solver_rel3351" localSheetId="0" hidden="1">5</definedName>
    <definedName name="solver_rel3352" localSheetId="0" hidden="1">5</definedName>
    <definedName name="solver_rel3353" localSheetId="0" hidden="1">5</definedName>
    <definedName name="solver_rel3354" localSheetId="0" hidden="1">5</definedName>
    <definedName name="solver_rel3355" localSheetId="0" hidden="1">5</definedName>
    <definedName name="solver_rel3356" localSheetId="0" hidden="1">5</definedName>
    <definedName name="solver_rel3357" localSheetId="0" hidden="1">5</definedName>
    <definedName name="solver_rel3358" localSheetId="0" hidden="1">5</definedName>
    <definedName name="solver_rel3359" localSheetId="0" hidden="1">5</definedName>
    <definedName name="solver_rel336" localSheetId="0" hidden="1">5</definedName>
    <definedName name="solver_rel3360" localSheetId="0" hidden="1">5</definedName>
    <definedName name="solver_rel3361" localSheetId="0" hidden="1">5</definedName>
    <definedName name="solver_rel3362" localSheetId="0" hidden="1">5</definedName>
    <definedName name="solver_rel3363" localSheetId="0" hidden="1">5</definedName>
    <definedName name="solver_rel3364" localSheetId="0" hidden="1">5</definedName>
    <definedName name="solver_rel3365" localSheetId="0" hidden="1">5</definedName>
    <definedName name="solver_rel3366" localSheetId="0" hidden="1">5</definedName>
    <definedName name="solver_rel3367" localSheetId="0" hidden="1">5</definedName>
    <definedName name="solver_rel3368" localSheetId="0" hidden="1">5</definedName>
    <definedName name="solver_rel3369" localSheetId="0" hidden="1">5</definedName>
    <definedName name="solver_rel337" localSheetId="0" hidden="1">5</definedName>
    <definedName name="solver_rel3370" localSheetId="0" hidden="1">5</definedName>
    <definedName name="solver_rel3371" localSheetId="0" hidden="1">5</definedName>
    <definedName name="solver_rel3372" localSheetId="0" hidden="1">5</definedName>
    <definedName name="solver_rel3373" localSheetId="0" hidden="1">5</definedName>
    <definedName name="solver_rel3374" localSheetId="0" hidden="1">5</definedName>
    <definedName name="solver_rel3375" localSheetId="0" hidden="1">5</definedName>
    <definedName name="solver_rel3376" localSheetId="0" hidden="1">5</definedName>
    <definedName name="solver_rel3377" localSheetId="0" hidden="1">5</definedName>
    <definedName name="solver_rel3378" localSheetId="0" hidden="1">5</definedName>
    <definedName name="solver_rel3379" localSheetId="0" hidden="1">5</definedName>
    <definedName name="solver_rel338" localSheetId="0" hidden="1">5</definedName>
    <definedName name="solver_rel3380" localSheetId="0" hidden="1">5</definedName>
    <definedName name="solver_rel3381" localSheetId="0" hidden="1">5</definedName>
    <definedName name="solver_rel3382" localSheetId="0" hidden="1">5</definedName>
    <definedName name="solver_rel3383" localSheetId="0" hidden="1">5</definedName>
    <definedName name="solver_rel3384" localSheetId="0" hidden="1">5</definedName>
    <definedName name="solver_rel3385" localSheetId="0" hidden="1">5</definedName>
    <definedName name="solver_rel3386" localSheetId="0" hidden="1">5</definedName>
    <definedName name="solver_rel3387" localSheetId="0" hidden="1">5</definedName>
    <definedName name="solver_rel3388" localSheetId="0" hidden="1">5</definedName>
    <definedName name="solver_rel3389" localSheetId="0" hidden="1">5</definedName>
    <definedName name="solver_rel339" localSheetId="0" hidden="1">5</definedName>
    <definedName name="solver_rel3390" localSheetId="0" hidden="1">5</definedName>
    <definedName name="solver_rel3391" localSheetId="0" hidden="1">5</definedName>
    <definedName name="solver_rel3392" localSheetId="0" hidden="1">5</definedName>
    <definedName name="solver_rel3393" localSheetId="0" hidden="1">5</definedName>
    <definedName name="solver_rel3394" localSheetId="0" hidden="1">5</definedName>
    <definedName name="solver_rel3395" localSheetId="0" hidden="1">5</definedName>
    <definedName name="solver_rel3396" localSheetId="0" hidden="1">5</definedName>
    <definedName name="solver_rel3397" localSheetId="0" hidden="1">5</definedName>
    <definedName name="solver_rel3398" localSheetId="0" hidden="1">5</definedName>
    <definedName name="solver_rel3399" localSheetId="0" hidden="1">5</definedName>
    <definedName name="solver_rel34" localSheetId="0" hidden="1">5</definedName>
    <definedName name="solver_rel340" localSheetId="0" hidden="1">5</definedName>
    <definedName name="solver_rel3400" localSheetId="0" hidden="1">5</definedName>
    <definedName name="solver_rel3401" localSheetId="0" hidden="1">5</definedName>
    <definedName name="solver_rel3402" localSheetId="0" hidden="1">5</definedName>
    <definedName name="solver_rel3403" localSheetId="0" hidden="1">5</definedName>
    <definedName name="solver_rel3404" localSheetId="0" hidden="1">5</definedName>
    <definedName name="solver_rel3405" localSheetId="0" hidden="1">5</definedName>
    <definedName name="solver_rel3406" localSheetId="0" hidden="1">5</definedName>
    <definedName name="solver_rel3407" localSheetId="0" hidden="1">5</definedName>
    <definedName name="solver_rel3408" localSheetId="0" hidden="1">5</definedName>
    <definedName name="solver_rel3409" localSheetId="0" hidden="1">5</definedName>
    <definedName name="solver_rel341" localSheetId="0" hidden="1">5</definedName>
    <definedName name="solver_rel3410" localSheetId="0" hidden="1">5</definedName>
    <definedName name="solver_rel3411" localSheetId="0" hidden="1">5</definedName>
    <definedName name="solver_rel3412" localSheetId="0" hidden="1">5</definedName>
    <definedName name="solver_rel3413" localSheetId="0" hidden="1">5</definedName>
    <definedName name="solver_rel3414" localSheetId="0" hidden="1">5</definedName>
    <definedName name="solver_rel3415" localSheetId="0" hidden="1">5</definedName>
    <definedName name="solver_rel3416" localSheetId="0" hidden="1">5</definedName>
    <definedName name="solver_rel3417" localSheetId="0" hidden="1">5</definedName>
    <definedName name="solver_rel3418" localSheetId="0" hidden="1">5</definedName>
    <definedName name="solver_rel3419" localSheetId="0" hidden="1">5</definedName>
    <definedName name="solver_rel342" localSheetId="0" hidden="1">5</definedName>
    <definedName name="solver_rel3420" localSheetId="0" hidden="1">5</definedName>
    <definedName name="solver_rel3421" localSheetId="0" hidden="1">5</definedName>
    <definedName name="solver_rel3422" localSheetId="0" hidden="1">5</definedName>
    <definedName name="solver_rel3423" localSheetId="0" hidden="1">5</definedName>
    <definedName name="solver_rel3424" localSheetId="0" hidden="1">5</definedName>
    <definedName name="solver_rel3425" localSheetId="0" hidden="1">5</definedName>
    <definedName name="solver_rel3426" localSheetId="0" hidden="1">5</definedName>
    <definedName name="solver_rel3427" localSheetId="0" hidden="1">5</definedName>
    <definedName name="solver_rel3428" localSheetId="0" hidden="1">5</definedName>
    <definedName name="solver_rel3429" localSheetId="0" hidden="1">5</definedName>
    <definedName name="solver_rel343" localSheetId="0" hidden="1">5</definedName>
    <definedName name="solver_rel3430" localSheetId="0" hidden="1">5</definedName>
    <definedName name="solver_rel3431" localSheetId="0" hidden="1">5</definedName>
    <definedName name="solver_rel3432" localSheetId="0" hidden="1">5</definedName>
    <definedName name="solver_rel3433" localSheetId="0" hidden="1">5</definedName>
    <definedName name="solver_rel3434" localSheetId="0" hidden="1">5</definedName>
    <definedName name="solver_rel3435" localSheetId="0" hidden="1">5</definedName>
    <definedName name="solver_rel3436" localSheetId="0" hidden="1">5</definedName>
    <definedName name="solver_rel3437" localSheetId="0" hidden="1">5</definedName>
    <definedName name="solver_rel3438" localSheetId="0" hidden="1">5</definedName>
    <definedName name="solver_rel3439" localSheetId="0" hidden="1">5</definedName>
    <definedName name="solver_rel344" localSheetId="0" hidden="1">5</definedName>
    <definedName name="solver_rel3440" localSheetId="0" hidden="1">5</definedName>
    <definedName name="solver_rel3441" localSheetId="0" hidden="1">5</definedName>
    <definedName name="solver_rel3442" localSheetId="0" hidden="1">5</definedName>
    <definedName name="solver_rel3443" localSheetId="0" hidden="1">5</definedName>
    <definedName name="solver_rel3444" localSheetId="0" hidden="1">5</definedName>
    <definedName name="solver_rel3445" localSheetId="0" hidden="1">5</definedName>
    <definedName name="solver_rel3446" localSheetId="0" hidden="1">5</definedName>
    <definedName name="solver_rel3447" localSheetId="0" hidden="1">5</definedName>
    <definedName name="solver_rel3448" localSheetId="0" hidden="1">5</definedName>
    <definedName name="solver_rel3449" localSheetId="0" hidden="1">5</definedName>
    <definedName name="solver_rel345" localSheetId="0" hidden="1">5</definedName>
    <definedName name="solver_rel3450" localSheetId="0" hidden="1">5</definedName>
    <definedName name="solver_rel3451" localSheetId="0" hidden="1">5</definedName>
    <definedName name="solver_rel3452" localSheetId="0" hidden="1">5</definedName>
    <definedName name="solver_rel3453" localSheetId="0" hidden="1">5</definedName>
    <definedName name="solver_rel3454" localSheetId="0" hidden="1">5</definedName>
    <definedName name="solver_rel3455" localSheetId="0" hidden="1">5</definedName>
    <definedName name="solver_rel3456" localSheetId="0" hidden="1">5</definedName>
    <definedName name="solver_rel3457" localSheetId="0" hidden="1">5</definedName>
    <definedName name="solver_rel3458" localSheetId="0" hidden="1">5</definedName>
    <definedName name="solver_rel3459" localSheetId="0" hidden="1">5</definedName>
    <definedName name="solver_rel346" localSheetId="0" hidden="1">5</definedName>
    <definedName name="solver_rel3460" localSheetId="0" hidden="1">5</definedName>
    <definedName name="solver_rel3461" localSheetId="0" hidden="1">5</definedName>
    <definedName name="solver_rel3462" localSheetId="0" hidden="1">5</definedName>
    <definedName name="solver_rel3463" localSheetId="0" hidden="1">5</definedName>
    <definedName name="solver_rel3464" localSheetId="0" hidden="1">5</definedName>
    <definedName name="solver_rel3465" localSheetId="0" hidden="1">5</definedName>
    <definedName name="solver_rel3466" localSheetId="0" hidden="1">5</definedName>
    <definedName name="solver_rel3467" localSheetId="0" hidden="1">5</definedName>
    <definedName name="solver_rel3468" localSheetId="0" hidden="1">5</definedName>
    <definedName name="solver_rel3469" localSheetId="0" hidden="1">5</definedName>
    <definedName name="solver_rel347" localSheetId="0" hidden="1">5</definedName>
    <definedName name="solver_rel3470" localSheetId="0" hidden="1">5</definedName>
    <definedName name="solver_rel3471" localSheetId="0" hidden="1">5</definedName>
    <definedName name="solver_rel3472" localSheetId="0" hidden="1">5</definedName>
    <definedName name="solver_rel3473" localSheetId="0" hidden="1">5</definedName>
    <definedName name="solver_rel3474" localSheetId="0" hidden="1">5</definedName>
    <definedName name="solver_rel3475" localSheetId="0" hidden="1">5</definedName>
    <definedName name="solver_rel3476" localSheetId="0" hidden="1">5</definedName>
    <definedName name="solver_rel3477" localSheetId="0" hidden="1">5</definedName>
    <definedName name="solver_rel3478" localSheetId="0" hidden="1">5</definedName>
    <definedName name="solver_rel3479" localSheetId="0" hidden="1">5</definedName>
    <definedName name="solver_rel348" localSheetId="0" hidden="1">5</definedName>
    <definedName name="solver_rel3480" localSheetId="0" hidden="1">5</definedName>
    <definedName name="solver_rel3481" localSheetId="0" hidden="1">5</definedName>
    <definedName name="solver_rel3482" localSheetId="0" hidden="1">5</definedName>
    <definedName name="solver_rel3483" localSheetId="0" hidden="1">5</definedName>
    <definedName name="solver_rel3484" localSheetId="0" hidden="1">5</definedName>
    <definedName name="solver_rel3485" localSheetId="0" hidden="1">5</definedName>
    <definedName name="solver_rel3486" localSheetId="0" hidden="1">5</definedName>
    <definedName name="solver_rel3487" localSheetId="0" hidden="1">5</definedName>
    <definedName name="solver_rel3488" localSheetId="0" hidden="1">5</definedName>
    <definedName name="solver_rel3489" localSheetId="0" hidden="1">5</definedName>
    <definedName name="solver_rel349" localSheetId="0" hidden="1">5</definedName>
    <definedName name="solver_rel3490" localSheetId="0" hidden="1">5</definedName>
    <definedName name="solver_rel3491" localSheetId="0" hidden="1">5</definedName>
    <definedName name="solver_rel35" localSheetId="0" hidden="1">5</definedName>
    <definedName name="solver_rel350" localSheetId="0" hidden="1">5</definedName>
    <definedName name="solver_rel351" localSheetId="0" hidden="1">5</definedName>
    <definedName name="solver_rel352" localSheetId="0" hidden="1">5</definedName>
    <definedName name="solver_rel353" localSheetId="0" hidden="1">5</definedName>
    <definedName name="solver_rel354" localSheetId="0" hidden="1">5</definedName>
    <definedName name="solver_rel355" localSheetId="0" hidden="1">5</definedName>
    <definedName name="solver_rel356" localSheetId="0" hidden="1">5</definedName>
    <definedName name="solver_rel357" localSheetId="0" hidden="1">5</definedName>
    <definedName name="solver_rel358" localSheetId="0" hidden="1">5</definedName>
    <definedName name="solver_rel359" localSheetId="0" hidden="1">5</definedName>
    <definedName name="solver_rel36" localSheetId="0" hidden="1">5</definedName>
    <definedName name="solver_rel360" localSheetId="0" hidden="1">5</definedName>
    <definedName name="solver_rel361" localSheetId="0" hidden="1">5</definedName>
    <definedName name="solver_rel362" localSheetId="0" hidden="1">5</definedName>
    <definedName name="solver_rel363" localSheetId="0" hidden="1">5</definedName>
    <definedName name="solver_rel364" localSheetId="0" hidden="1">5</definedName>
    <definedName name="solver_rel365" localSheetId="0" hidden="1">5</definedName>
    <definedName name="solver_rel366" localSheetId="0" hidden="1">5</definedName>
    <definedName name="solver_rel367" localSheetId="0" hidden="1">5</definedName>
    <definedName name="solver_rel368" localSheetId="0" hidden="1">5</definedName>
    <definedName name="solver_rel369" localSheetId="0" hidden="1">5</definedName>
    <definedName name="solver_rel37" localSheetId="0" hidden="1">5</definedName>
    <definedName name="solver_rel370" localSheetId="0" hidden="1">5</definedName>
    <definedName name="solver_rel371" localSheetId="0" hidden="1">5</definedName>
    <definedName name="solver_rel372" localSheetId="0" hidden="1">5</definedName>
    <definedName name="solver_rel373" localSheetId="0" hidden="1">5</definedName>
    <definedName name="solver_rel374" localSheetId="0" hidden="1">5</definedName>
    <definedName name="solver_rel375" localSheetId="0" hidden="1">5</definedName>
    <definedName name="solver_rel376" localSheetId="0" hidden="1">5</definedName>
    <definedName name="solver_rel377" localSheetId="0" hidden="1">5</definedName>
    <definedName name="solver_rel378" localSheetId="0" hidden="1">5</definedName>
    <definedName name="solver_rel379" localSheetId="0" hidden="1">5</definedName>
    <definedName name="solver_rel38" localSheetId="0" hidden="1">5</definedName>
    <definedName name="solver_rel380" localSheetId="0" hidden="1">5</definedName>
    <definedName name="solver_rel381" localSheetId="0" hidden="1">5</definedName>
    <definedName name="solver_rel382" localSheetId="0" hidden="1">5</definedName>
    <definedName name="solver_rel383" localSheetId="0" hidden="1">5</definedName>
    <definedName name="solver_rel384" localSheetId="0" hidden="1">5</definedName>
    <definedName name="solver_rel385" localSheetId="0" hidden="1">5</definedName>
    <definedName name="solver_rel386" localSheetId="0" hidden="1">5</definedName>
    <definedName name="solver_rel387" localSheetId="0" hidden="1">5</definedName>
    <definedName name="solver_rel388" localSheetId="0" hidden="1">5</definedName>
    <definedName name="solver_rel389" localSheetId="0" hidden="1">5</definedName>
    <definedName name="solver_rel39" localSheetId="0" hidden="1">5</definedName>
    <definedName name="solver_rel390" localSheetId="0" hidden="1">5</definedName>
    <definedName name="solver_rel391" localSheetId="0" hidden="1">5</definedName>
    <definedName name="solver_rel392" localSheetId="0" hidden="1">5</definedName>
    <definedName name="solver_rel393" localSheetId="0" hidden="1">5</definedName>
    <definedName name="solver_rel394" localSheetId="0" hidden="1">5</definedName>
    <definedName name="solver_rel395" localSheetId="0" hidden="1">5</definedName>
    <definedName name="solver_rel396" localSheetId="0" hidden="1">5</definedName>
    <definedName name="solver_rel397" localSheetId="0" hidden="1">5</definedName>
    <definedName name="solver_rel398" localSheetId="0" hidden="1">5</definedName>
    <definedName name="solver_rel399" localSheetId="0" hidden="1">5</definedName>
    <definedName name="solver_rel4" localSheetId="0" hidden="1">1</definedName>
    <definedName name="solver_rel40" localSheetId="0" hidden="1">5</definedName>
    <definedName name="solver_rel400" localSheetId="0" hidden="1">5</definedName>
    <definedName name="solver_rel401" localSheetId="0" hidden="1">5</definedName>
    <definedName name="solver_rel402" localSheetId="0" hidden="1">5</definedName>
    <definedName name="solver_rel403" localSheetId="0" hidden="1">5</definedName>
    <definedName name="solver_rel404" localSheetId="0" hidden="1">5</definedName>
    <definedName name="solver_rel405" localSheetId="0" hidden="1">5</definedName>
    <definedName name="solver_rel406" localSheetId="0" hidden="1">5</definedName>
    <definedName name="solver_rel407" localSheetId="0" hidden="1">5</definedName>
    <definedName name="solver_rel408" localSheetId="0" hidden="1">5</definedName>
    <definedName name="solver_rel409" localSheetId="0" hidden="1">5</definedName>
    <definedName name="solver_rel41" localSheetId="0" hidden="1">5</definedName>
    <definedName name="solver_rel410" localSheetId="0" hidden="1">5</definedName>
    <definedName name="solver_rel411" localSheetId="0" hidden="1">5</definedName>
    <definedName name="solver_rel412" localSheetId="0" hidden="1">5</definedName>
    <definedName name="solver_rel413" localSheetId="0" hidden="1">5</definedName>
    <definedName name="solver_rel414" localSheetId="0" hidden="1">5</definedName>
    <definedName name="solver_rel415" localSheetId="0" hidden="1">5</definedName>
    <definedName name="solver_rel416" localSheetId="0" hidden="1">5</definedName>
    <definedName name="solver_rel417" localSheetId="0" hidden="1">5</definedName>
    <definedName name="solver_rel418" localSheetId="0" hidden="1">5</definedName>
    <definedName name="solver_rel419" localSheetId="0" hidden="1">5</definedName>
    <definedName name="solver_rel42" localSheetId="0" hidden="1">5</definedName>
    <definedName name="solver_rel420" localSheetId="0" hidden="1">5</definedName>
    <definedName name="solver_rel421" localSheetId="0" hidden="1">5</definedName>
    <definedName name="solver_rel422" localSheetId="0" hidden="1">5</definedName>
    <definedName name="solver_rel423" localSheetId="0" hidden="1">5</definedName>
    <definedName name="solver_rel424" localSheetId="0" hidden="1">5</definedName>
    <definedName name="solver_rel425" localSheetId="0" hidden="1">5</definedName>
    <definedName name="solver_rel426" localSheetId="0" hidden="1">5</definedName>
    <definedName name="solver_rel427" localSheetId="0" hidden="1">5</definedName>
    <definedName name="solver_rel428" localSheetId="0" hidden="1">5</definedName>
    <definedName name="solver_rel429" localSheetId="0" hidden="1">5</definedName>
    <definedName name="solver_rel43" localSheetId="0" hidden="1">5</definedName>
    <definedName name="solver_rel430" localSheetId="0" hidden="1">5</definedName>
    <definedName name="solver_rel431" localSheetId="0" hidden="1">5</definedName>
    <definedName name="solver_rel432" localSheetId="0" hidden="1">5</definedName>
    <definedName name="solver_rel433" localSheetId="0" hidden="1">5</definedName>
    <definedName name="solver_rel434" localSheetId="0" hidden="1">5</definedName>
    <definedName name="solver_rel435" localSheetId="0" hidden="1">5</definedName>
    <definedName name="solver_rel436" localSheetId="0" hidden="1">5</definedName>
    <definedName name="solver_rel437" localSheetId="0" hidden="1">5</definedName>
    <definedName name="solver_rel438" localSheetId="0" hidden="1">5</definedName>
    <definedName name="solver_rel439" localSheetId="0" hidden="1">5</definedName>
    <definedName name="solver_rel44" localSheetId="0" hidden="1">5</definedName>
    <definedName name="solver_rel440" localSheetId="0" hidden="1">5</definedName>
    <definedName name="solver_rel441" localSheetId="0" hidden="1">5</definedName>
    <definedName name="solver_rel442" localSheetId="0" hidden="1">5</definedName>
    <definedName name="solver_rel443" localSheetId="0" hidden="1">5</definedName>
    <definedName name="solver_rel444" localSheetId="0" hidden="1">5</definedName>
    <definedName name="solver_rel445" localSheetId="0" hidden="1">5</definedName>
    <definedName name="solver_rel446" localSheetId="0" hidden="1">5</definedName>
    <definedName name="solver_rel447" localSheetId="0" hidden="1">5</definedName>
    <definedName name="solver_rel448" localSheetId="0" hidden="1">5</definedName>
    <definedName name="solver_rel449" localSheetId="0" hidden="1">5</definedName>
    <definedName name="solver_rel45" localSheetId="0" hidden="1">5</definedName>
    <definedName name="solver_rel450" localSheetId="0" hidden="1">5</definedName>
    <definedName name="solver_rel451" localSheetId="0" hidden="1">5</definedName>
    <definedName name="solver_rel452" localSheetId="0" hidden="1">5</definedName>
    <definedName name="solver_rel453" localSheetId="0" hidden="1">5</definedName>
    <definedName name="solver_rel454" localSheetId="0" hidden="1">5</definedName>
    <definedName name="solver_rel455" localSheetId="0" hidden="1">5</definedName>
    <definedName name="solver_rel456" localSheetId="0" hidden="1">5</definedName>
    <definedName name="solver_rel457" localSheetId="0" hidden="1">5</definedName>
    <definedName name="solver_rel458" localSheetId="0" hidden="1">5</definedName>
    <definedName name="solver_rel459" localSheetId="0" hidden="1">5</definedName>
    <definedName name="solver_rel46" localSheetId="0" hidden="1">5</definedName>
    <definedName name="solver_rel460" localSheetId="0" hidden="1">5</definedName>
    <definedName name="solver_rel461" localSheetId="0" hidden="1">5</definedName>
    <definedName name="solver_rel462" localSheetId="0" hidden="1">5</definedName>
    <definedName name="solver_rel463" localSheetId="0" hidden="1">5</definedName>
    <definedName name="solver_rel464" localSheetId="0" hidden="1">5</definedName>
    <definedName name="solver_rel465" localSheetId="0" hidden="1">5</definedName>
    <definedName name="solver_rel466" localSheetId="0" hidden="1">5</definedName>
    <definedName name="solver_rel467" localSheetId="0" hidden="1">5</definedName>
    <definedName name="solver_rel468" localSheetId="0" hidden="1">5</definedName>
    <definedName name="solver_rel469" localSheetId="0" hidden="1">5</definedName>
    <definedName name="solver_rel47" localSheetId="0" hidden="1">5</definedName>
    <definedName name="solver_rel470" localSheetId="0" hidden="1">5</definedName>
    <definedName name="solver_rel471" localSheetId="0" hidden="1">5</definedName>
    <definedName name="solver_rel472" localSheetId="0" hidden="1">5</definedName>
    <definedName name="solver_rel473" localSheetId="0" hidden="1">5</definedName>
    <definedName name="solver_rel474" localSheetId="0" hidden="1">5</definedName>
    <definedName name="solver_rel475" localSheetId="0" hidden="1">5</definedName>
    <definedName name="solver_rel476" localSheetId="0" hidden="1">5</definedName>
    <definedName name="solver_rel477" localSheetId="0" hidden="1">5</definedName>
    <definedName name="solver_rel478" localSheetId="0" hidden="1">5</definedName>
    <definedName name="solver_rel479" localSheetId="0" hidden="1">5</definedName>
    <definedName name="solver_rel48" localSheetId="0" hidden="1">5</definedName>
    <definedName name="solver_rel480" localSheetId="0" hidden="1">5</definedName>
    <definedName name="solver_rel481" localSheetId="0" hidden="1">5</definedName>
    <definedName name="solver_rel482" localSheetId="0" hidden="1">5</definedName>
    <definedName name="solver_rel483" localSheetId="0" hidden="1">5</definedName>
    <definedName name="solver_rel484" localSheetId="0" hidden="1">5</definedName>
    <definedName name="solver_rel485" localSheetId="0" hidden="1">5</definedName>
    <definedName name="solver_rel486" localSheetId="0" hidden="1">5</definedName>
    <definedName name="solver_rel487" localSheetId="0" hidden="1">5</definedName>
    <definedName name="solver_rel488" localSheetId="0" hidden="1">5</definedName>
    <definedName name="solver_rel489" localSheetId="0" hidden="1">5</definedName>
    <definedName name="solver_rel49" localSheetId="0" hidden="1">5</definedName>
    <definedName name="solver_rel490" localSheetId="0" hidden="1">5</definedName>
    <definedName name="solver_rel491" localSheetId="0" hidden="1">5</definedName>
    <definedName name="solver_rel492" localSheetId="0" hidden="1">5</definedName>
    <definedName name="solver_rel493" localSheetId="0" hidden="1">5</definedName>
    <definedName name="solver_rel494" localSheetId="0" hidden="1">5</definedName>
    <definedName name="solver_rel495" localSheetId="0" hidden="1">5</definedName>
    <definedName name="solver_rel496" localSheetId="0" hidden="1">5</definedName>
    <definedName name="solver_rel497" localSheetId="0" hidden="1">5</definedName>
    <definedName name="solver_rel498" localSheetId="0" hidden="1">5</definedName>
    <definedName name="solver_rel499" localSheetId="0" hidden="1">5</definedName>
    <definedName name="solver_rel5" localSheetId="0" hidden="1">5</definedName>
    <definedName name="solver_rel50" localSheetId="0" hidden="1">5</definedName>
    <definedName name="solver_rel500" localSheetId="0" hidden="1">5</definedName>
    <definedName name="solver_rel501" localSheetId="0" hidden="1">5</definedName>
    <definedName name="solver_rel502" localSheetId="0" hidden="1">5</definedName>
    <definedName name="solver_rel503" localSheetId="0" hidden="1">5</definedName>
    <definedName name="solver_rel504" localSheetId="0" hidden="1">5</definedName>
    <definedName name="solver_rel505" localSheetId="0" hidden="1">5</definedName>
    <definedName name="solver_rel506" localSheetId="0" hidden="1">5</definedName>
    <definedName name="solver_rel507" localSheetId="0" hidden="1">5</definedName>
    <definedName name="solver_rel508" localSheetId="0" hidden="1">5</definedName>
    <definedName name="solver_rel509" localSheetId="0" hidden="1">5</definedName>
    <definedName name="solver_rel51" localSheetId="0" hidden="1">5</definedName>
    <definedName name="solver_rel510" localSheetId="0" hidden="1">5</definedName>
    <definedName name="solver_rel511" localSheetId="0" hidden="1">5</definedName>
    <definedName name="solver_rel512" localSheetId="0" hidden="1">5</definedName>
    <definedName name="solver_rel513" localSheetId="0" hidden="1">5</definedName>
    <definedName name="solver_rel514" localSheetId="0" hidden="1">5</definedName>
    <definedName name="solver_rel515" localSheetId="0" hidden="1">5</definedName>
    <definedName name="solver_rel516" localSheetId="0" hidden="1">5</definedName>
    <definedName name="solver_rel517" localSheetId="0" hidden="1">5</definedName>
    <definedName name="solver_rel518" localSheetId="0" hidden="1">5</definedName>
    <definedName name="solver_rel519" localSheetId="0" hidden="1">5</definedName>
    <definedName name="solver_rel52" localSheetId="0" hidden="1">5</definedName>
    <definedName name="solver_rel520" localSheetId="0" hidden="1">5</definedName>
    <definedName name="solver_rel521" localSheetId="0" hidden="1">5</definedName>
    <definedName name="solver_rel522" localSheetId="0" hidden="1">5</definedName>
    <definedName name="solver_rel523" localSheetId="0" hidden="1">5</definedName>
    <definedName name="solver_rel524" localSheetId="0" hidden="1">5</definedName>
    <definedName name="solver_rel525" localSheetId="0" hidden="1">5</definedName>
    <definedName name="solver_rel526" localSheetId="0" hidden="1">5</definedName>
    <definedName name="solver_rel527" localSheetId="0" hidden="1">5</definedName>
    <definedName name="solver_rel528" localSheetId="0" hidden="1">5</definedName>
    <definedName name="solver_rel529" localSheetId="0" hidden="1">5</definedName>
    <definedName name="solver_rel53" localSheetId="0" hidden="1">5</definedName>
    <definedName name="solver_rel530" localSheetId="0" hidden="1">5</definedName>
    <definedName name="solver_rel531" localSheetId="0" hidden="1">5</definedName>
    <definedName name="solver_rel532" localSheetId="0" hidden="1">5</definedName>
    <definedName name="solver_rel533" localSheetId="0" hidden="1">5</definedName>
    <definedName name="solver_rel534" localSheetId="0" hidden="1">5</definedName>
    <definedName name="solver_rel535" localSheetId="0" hidden="1">5</definedName>
    <definedName name="solver_rel536" localSheetId="0" hidden="1">5</definedName>
    <definedName name="solver_rel537" localSheetId="0" hidden="1">5</definedName>
    <definedName name="solver_rel538" localSheetId="0" hidden="1">5</definedName>
    <definedName name="solver_rel539" localSheetId="0" hidden="1">5</definedName>
    <definedName name="solver_rel54" localSheetId="0" hidden="1">5</definedName>
    <definedName name="solver_rel540" localSheetId="0" hidden="1">5</definedName>
    <definedName name="solver_rel541" localSheetId="0" hidden="1">5</definedName>
    <definedName name="solver_rel542" localSheetId="0" hidden="1">5</definedName>
    <definedName name="solver_rel543" localSheetId="0" hidden="1">5</definedName>
    <definedName name="solver_rel544" localSheetId="0" hidden="1">5</definedName>
    <definedName name="solver_rel545" localSheetId="0" hidden="1">5</definedName>
    <definedName name="solver_rel546" localSheetId="0" hidden="1">5</definedName>
    <definedName name="solver_rel547" localSheetId="0" hidden="1">5</definedName>
    <definedName name="solver_rel548" localSheetId="0" hidden="1">5</definedName>
    <definedName name="solver_rel549" localSheetId="0" hidden="1">5</definedName>
    <definedName name="solver_rel55" localSheetId="0" hidden="1">5</definedName>
    <definedName name="solver_rel550" localSheetId="0" hidden="1">5</definedName>
    <definedName name="solver_rel551" localSheetId="0" hidden="1">5</definedName>
    <definedName name="solver_rel552" localSheetId="0" hidden="1">5</definedName>
    <definedName name="solver_rel553" localSheetId="0" hidden="1">5</definedName>
    <definedName name="solver_rel554" localSheetId="0" hidden="1">5</definedName>
    <definedName name="solver_rel555" localSheetId="0" hidden="1">5</definedName>
    <definedName name="solver_rel556" localSheetId="0" hidden="1">5</definedName>
    <definedName name="solver_rel557" localSheetId="0" hidden="1">5</definedName>
    <definedName name="solver_rel558" localSheetId="0" hidden="1">5</definedName>
    <definedName name="solver_rel559" localSheetId="0" hidden="1">5</definedName>
    <definedName name="solver_rel56" localSheetId="0" hidden="1">5</definedName>
    <definedName name="solver_rel560" localSheetId="0" hidden="1">5</definedName>
    <definedName name="solver_rel561" localSheetId="0" hidden="1">5</definedName>
    <definedName name="solver_rel562" localSheetId="0" hidden="1">5</definedName>
    <definedName name="solver_rel563" localSheetId="0" hidden="1">5</definedName>
    <definedName name="solver_rel564" localSheetId="0" hidden="1">5</definedName>
    <definedName name="solver_rel565" localSheetId="0" hidden="1">5</definedName>
    <definedName name="solver_rel566" localSheetId="0" hidden="1">5</definedName>
    <definedName name="solver_rel567" localSheetId="0" hidden="1">5</definedName>
    <definedName name="solver_rel568" localSheetId="0" hidden="1">5</definedName>
    <definedName name="solver_rel569" localSheetId="0" hidden="1">5</definedName>
    <definedName name="solver_rel57" localSheetId="0" hidden="1">5</definedName>
    <definedName name="solver_rel570" localSheetId="0" hidden="1">5</definedName>
    <definedName name="solver_rel571" localSheetId="0" hidden="1">5</definedName>
    <definedName name="solver_rel572" localSheetId="0" hidden="1">5</definedName>
    <definedName name="solver_rel573" localSheetId="0" hidden="1">5</definedName>
    <definedName name="solver_rel574" localSheetId="0" hidden="1">5</definedName>
    <definedName name="solver_rel575" localSheetId="0" hidden="1">5</definedName>
    <definedName name="solver_rel576" localSheetId="0" hidden="1">5</definedName>
    <definedName name="solver_rel577" localSheetId="0" hidden="1">5</definedName>
    <definedName name="solver_rel578" localSheetId="0" hidden="1">5</definedName>
    <definedName name="solver_rel579" localSheetId="0" hidden="1">5</definedName>
    <definedName name="solver_rel58" localSheetId="0" hidden="1">5</definedName>
    <definedName name="solver_rel580" localSheetId="0" hidden="1">5</definedName>
    <definedName name="solver_rel581" localSheetId="0" hidden="1">5</definedName>
    <definedName name="solver_rel582" localSheetId="0" hidden="1">5</definedName>
    <definedName name="solver_rel583" localSheetId="0" hidden="1">5</definedName>
    <definedName name="solver_rel584" localSheetId="0" hidden="1">5</definedName>
    <definedName name="solver_rel585" localSheetId="0" hidden="1">5</definedName>
    <definedName name="solver_rel586" localSheetId="0" hidden="1">5</definedName>
    <definedName name="solver_rel587" localSheetId="0" hidden="1">5</definedName>
    <definedName name="solver_rel588" localSheetId="0" hidden="1">5</definedName>
    <definedName name="solver_rel589" localSheetId="0" hidden="1">5</definedName>
    <definedName name="solver_rel59" localSheetId="0" hidden="1">5</definedName>
    <definedName name="solver_rel590" localSheetId="0" hidden="1">5</definedName>
    <definedName name="solver_rel591" localSheetId="0" hidden="1">5</definedName>
    <definedName name="solver_rel592" localSheetId="0" hidden="1">5</definedName>
    <definedName name="solver_rel593" localSheetId="0" hidden="1">5</definedName>
    <definedName name="solver_rel594" localSheetId="0" hidden="1">5</definedName>
    <definedName name="solver_rel595" localSheetId="0" hidden="1">5</definedName>
    <definedName name="solver_rel596" localSheetId="0" hidden="1">5</definedName>
    <definedName name="solver_rel597" localSheetId="0" hidden="1">5</definedName>
    <definedName name="solver_rel598" localSheetId="0" hidden="1">5</definedName>
    <definedName name="solver_rel599" localSheetId="0" hidden="1">5</definedName>
    <definedName name="solver_rel6" localSheetId="0" hidden="1">5</definedName>
    <definedName name="solver_rel60" localSheetId="0" hidden="1">5</definedName>
    <definedName name="solver_rel600" localSheetId="0" hidden="1">5</definedName>
    <definedName name="solver_rel601" localSheetId="0" hidden="1">5</definedName>
    <definedName name="solver_rel602" localSheetId="0" hidden="1">5</definedName>
    <definedName name="solver_rel603" localSheetId="0" hidden="1">5</definedName>
    <definedName name="solver_rel604" localSheetId="0" hidden="1">5</definedName>
    <definedName name="solver_rel605" localSheetId="0" hidden="1">5</definedName>
    <definedName name="solver_rel606" localSheetId="0" hidden="1">5</definedName>
    <definedName name="solver_rel607" localSheetId="0" hidden="1">5</definedName>
    <definedName name="solver_rel608" localSheetId="0" hidden="1">5</definedName>
    <definedName name="solver_rel609" localSheetId="0" hidden="1">5</definedName>
    <definedName name="solver_rel61" localSheetId="0" hidden="1">5</definedName>
    <definedName name="solver_rel610" localSheetId="0" hidden="1">5</definedName>
    <definedName name="solver_rel611" localSheetId="0" hidden="1">5</definedName>
    <definedName name="solver_rel612" localSheetId="0" hidden="1">5</definedName>
    <definedName name="solver_rel613" localSheetId="0" hidden="1">5</definedName>
    <definedName name="solver_rel614" localSheetId="0" hidden="1">5</definedName>
    <definedName name="solver_rel615" localSheetId="0" hidden="1">5</definedName>
    <definedName name="solver_rel616" localSheetId="0" hidden="1">5</definedName>
    <definedName name="solver_rel617" localSheetId="0" hidden="1">5</definedName>
    <definedName name="solver_rel618" localSheetId="0" hidden="1">5</definedName>
    <definedName name="solver_rel619" localSheetId="0" hidden="1">5</definedName>
    <definedName name="solver_rel62" localSheetId="0" hidden="1">5</definedName>
    <definedName name="solver_rel620" localSheetId="0" hidden="1">5</definedName>
    <definedName name="solver_rel621" localSheetId="0" hidden="1">5</definedName>
    <definedName name="solver_rel622" localSheetId="0" hidden="1">5</definedName>
    <definedName name="solver_rel623" localSheetId="0" hidden="1">5</definedName>
    <definedName name="solver_rel624" localSheetId="0" hidden="1">5</definedName>
    <definedName name="solver_rel625" localSheetId="0" hidden="1">5</definedName>
    <definedName name="solver_rel626" localSheetId="0" hidden="1">5</definedName>
    <definedName name="solver_rel627" localSheetId="0" hidden="1">5</definedName>
    <definedName name="solver_rel628" localSheetId="0" hidden="1">5</definedName>
    <definedName name="solver_rel629" localSheetId="0" hidden="1">5</definedName>
    <definedName name="solver_rel63" localSheetId="0" hidden="1">5</definedName>
    <definedName name="solver_rel630" localSheetId="0" hidden="1">5</definedName>
    <definedName name="solver_rel631" localSheetId="0" hidden="1">5</definedName>
    <definedName name="solver_rel632" localSheetId="0" hidden="1">5</definedName>
    <definedName name="solver_rel633" localSheetId="0" hidden="1">5</definedName>
    <definedName name="solver_rel634" localSheetId="0" hidden="1">5</definedName>
    <definedName name="solver_rel635" localSheetId="0" hidden="1">5</definedName>
    <definedName name="solver_rel636" localSheetId="0" hidden="1">5</definedName>
    <definedName name="solver_rel637" localSheetId="0" hidden="1">5</definedName>
    <definedName name="solver_rel638" localSheetId="0" hidden="1">5</definedName>
    <definedName name="solver_rel639" localSheetId="0" hidden="1">5</definedName>
    <definedName name="solver_rel64" localSheetId="0" hidden="1">5</definedName>
    <definedName name="solver_rel640" localSheetId="0" hidden="1">5</definedName>
    <definedName name="solver_rel641" localSheetId="0" hidden="1">5</definedName>
    <definedName name="solver_rel642" localSheetId="0" hidden="1">5</definedName>
    <definedName name="solver_rel643" localSheetId="0" hidden="1">5</definedName>
    <definedName name="solver_rel644" localSheetId="0" hidden="1">5</definedName>
    <definedName name="solver_rel645" localSheetId="0" hidden="1">5</definedName>
    <definedName name="solver_rel646" localSheetId="0" hidden="1">5</definedName>
    <definedName name="solver_rel647" localSheetId="0" hidden="1">5</definedName>
    <definedName name="solver_rel648" localSheetId="0" hidden="1">5</definedName>
    <definedName name="solver_rel649" localSheetId="0" hidden="1">5</definedName>
    <definedName name="solver_rel65" localSheetId="0" hidden="1">5</definedName>
    <definedName name="solver_rel650" localSheetId="0" hidden="1">5</definedName>
    <definedName name="solver_rel651" localSheetId="0" hidden="1">5</definedName>
    <definedName name="solver_rel652" localSheetId="0" hidden="1">5</definedName>
    <definedName name="solver_rel653" localSheetId="0" hidden="1">5</definedName>
    <definedName name="solver_rel654" localSheetId="0" hidden="1">5</definedName>
    <definedName name="solver_rel655" localSheetId="0" hidden="1">5</definedName>
    <definedName name="solver_rel656" localSheetId="0" hidden="1">5</definedName>
    <definedName name="solver_rel657" localSheetId="0" hidden="1">5</definedName>
    <definedName name="solver_rel658" localSheetId="0" hidden="1">5</definedName>
    <definedName name="solver_rel659" localSheetId="0" hidden="1">5</definedName>
    <definedName name="solver_rel66" localSheetId="0" hidden="1">5</definedName>
    <definedName name="solver_rel660" localSheetId="0" hidden="1">5</definedName>
    <definedName name="solver_rel661" localSheetId="0" hidden="1">5</definedName>
    <definedName name="solver_rel662" localSheetId="0" hidden="1">5</definedName>
    <definedName name="solver_rel663" localSheetId="0" hidden="1">5</definedName>
    <definedName name="solver_rel664" localSheetId="0" hidden="1">5</definedName>
    <definedName name="solver_rel665" localSheetId="0" hidden="1">5</definedName>
    <definedName name="solver_rel666" localSheetId="0" hidden="1">5</definedName>
    <definedName name="solver_rel667" localSheetId="0" hidden="1">5</definedName>
    <definedName name="solver_rel668" localSheetId="0" hidden="1">5</definedName>
    <definedName name="solver_rel669" localSheetId="0" hidden="1">5</definedName>
    <definedName name="solver_rel67" localSheetId="0" hidden="1">5</definedName>
    <definedName name="solver_rel670" localSheetId="0" hidden="1">5</definedName>
    <definedName name="solver_rel671" localSheetId="0" hidden="1">5</definedName>
    <definedName name="solver_rel672" localSheetId="0" hidden="1">5</definedName>
    <definedName name="solver_rel673" localSheetId="0" hidden="1">5</definedName>
    <definedName name="solver_rel674" localSheetId="0" hidden="1">5</definedName>
    <definedName name="solver_rel675" localSheetId="0" hidden="1">5</definedName>
    <definedName name="solver_rel676" localSheetId="0" hidden="1">5</definedName>
    <definedName name="solver_rel677" localSheetId="0" hidden="1">5</definedName>
    <definedName name="solver_rel678" localSheetId="0" hidden="1">5</definedName>
    <definedName name="solver_rel679" localSheetId="0" hidden="1">5</definedName>
    <definedName name="solver_rel68" localSheetId="0" hidden="1">5</definedName>
    <definedName name="solver_rel680" localSheetId="0" hidden="1">5</definedName>
    <definedName name="solver_rel681" localSheetId="0" hidden="1">5</definedName>
    <definedName name="solver_rel682" localSheetId="0" hidden="1">5</definedName>
    <definedName name="solver_rel683" localSheetId="0" hidden="1">5</definedName>
    <definedName name="solver_rel684" localSheetId="0" hidden="1">5</definedName>
    <definedName name="solver_rel685" localSheetId="0" hidden="1">5</definedName>
    <definedName name="solver_rel686" localSheetId="0" hidden="1">5</definedName>
    <definedName name="solver_rel687" localSheetId="0" hidden="1">5</definedName>
    <definedName name="solver_rel688" localSheetId="0" hidden="1">5</definedName>
    <definedName name="solver_rel689" localSheetId="0" hidden="1">5</definedName>
    <definedName name="solver_rel69" localSheetId="0" hidden="1">5</definedName>
    <definedName name="solver_rel690" localSheetId="0" hidden="1">5</definedName>
    <definedName name="solver_rel691" localSheetId="0" hidden="1">5</definedName>
    <definedName name="solver_rel692" localSheetId="0" hidden="1">5</definedName>
    <definedName name="solver_rel693" localSheetId="0" hidden="1">5</definedName>
    <definedName name="solver_rel694" localSheetId="0" hidden="1">5</definedName>
    <definedName name="solver_rel695" localSheetId="0" hidden="1">5</definedName>
    <definedName name="solver_rel696" localSheetId="0" hidden="1">5</definedName>
    <definedName name="solver_rel697" localSheetId="0" hidden="1">5</definedName>
    <definedName name="solver_rel698" localSheetId="0" hidden="1">5</definedName>
    <definedName name="solver_rel699" localSheetId="0" hidden="1">5</definedName>
    <definedName name="solver_rel7" localSheetId="0" hidden="1">5</definedName>
    <definedName name="solver_rel70" localSheetId="0" hidden="1">5</definedName>
    <definedName name="solver_rel700" localSheetId="0" hidden="1">5</definedName>
    <definedName name="solver_rel701" localSheetId="0" hidden="1">5</definedName>
    <definedName name="solver_rel702" localSheetId="0" hidden="1">5</definedName>
    <definedName name="solver_rel703" localSheetId="0" hidden="1">5</definedName>
    <definedName name="solver_rel704" localSheetId="0" hidden="1">5</definedName>
    <definedName name="solver_rel705" localSheetId="0" hidden="1">5</definedName>
    <definedName name="solver_rel706" localSheetId="0" hidden="1">5</definedName>
    <definedName name="solver_rel707" localSheetId="0" hidden="1">5</definedName>
    <definedName name="solver_rel708" localSheetId="0" hidden="1">5</definedName>
    <definedName name="solver_rel709" localSheetId="0" hidden="1">5</definedName>
    <definedName name="solver_rel71" localSheetId="0" hidden="1">5</definedName>
    <definedName name="solver_rel710" localSheetId="0" hidden="1">5</definedName>
    <definedName name="solver_rel711" localSheetId="0" hidden="1">5</definedName>
    <definedName name="solver_rel712" localSheetId="0" hidden="1">5</definedName>
    <definedName name="solver_rel713" localSheetId="0" hidden="1">5</definedName>
    <definedName name="solver_rel714" localSheetId="0" hidden="1">5</definedName>
    <definedName name="solver_rel715" localSheetId="0" hidden="1">5</definedName>
    <definedName name="solver_rel716" localSheetId="0" hidden="1">5</definedName>
    <definedName name="solver_rel717" localSheetId="0" hidden="1">5</definedName>
    <definedName name="solver_rel718" localSheetId="0" hidden="1">5</definedName>
    <definedName name="solver_rel719" localSheetId="0" hidden="1">5</definedName>
    <definedName name="solver_rel72" localSheetId="0" hidden="1">5</definedName>
    <definedName name="solver_rel720" localSheetId="0" hidden="1">5</definedName>
    <definedName name="solver_rel721" localSheetId="0" hidden="1">5</definedName>
    <definedName name="solver_rel722" localSheetId="0" hidden="1">5</definedName>
    <definedName name="solver_rel723" localSheetId="0" hidden="1">5</definedName>
    <definedName name="solver_rel724" localSheetId="0" hidden="1">5</definedName>
    <definedName name="solver_rel725" localSheetId="0" hidden="1">5</definedName>
    <definedName name="solver_rel726" localSheetId="0" hidden="1">5</definedName>
    <definedName name="solver_rel727" localSheetId="0" hidden="1">5</definedName>
    <definedName name="solver_rel728" localSheetId="0" hidden="1">5</definedName>
    <definedName name="solver_rel729" localSheetId="0" hidden="1">5</definedName>
    <definedName name="solver_rel73" localSheetId="0" hidden="1">5</definedName>
    <definedName name="solver_rel730" localSheetId="0" hidden="1">5</definedName>
    <definedName name="solver_rel731" localSheetId="0" hidden="1">5</definedName>
    <definedName name="solver_rel732" localSheetId="0" hidden="1">5</definedName>
    <definedName name="solver_rel733" localSheetId="0" hidden="1">5</definedName>
    <definedName name="solver_rel734" localSheetId="0" hidden="1">5</definedName>
    <definedName name="solver_rel735" localSheetId="0" hidden="1">5</definedName>
    <definedName name="solver_rel736" localSheetId="0" hidden="1">5</definedName>
    <definedName name="solver_rel737" localSheetId="0" hidden="1">5</definedName>
    <definedName name="solver_rel738" localSheetId="0" hidden="1">5</definedName>
    <definedName name="solver_rel739" localSheetId="0" hidden="1">5</definedName>
    <definedName name="solver_rel74" localSheetId="0" hidden="1">5</definedName>
    <definedName name="solver_rel740" localSheetId="0" hidden="1">5</definedName>
    <definedName name="solver_rel741" localSheetId="0" hidden="1">5</definedName>
    <definedName name="solver_rel742" localSheetId="0" hidden="1">5</definedName>
    <definedName name="solver_rel743" localSheetId="0" hidden="1">5</definedName>
    <definedName name="solver_rel744" localSheetId="0" hidden="1">5</definedName>
    <definedName name="solver_rel745" localSheetId="0" hidden="1">5</definedName>
    <definedName name="solver_rel746" localSheetId="0" hidden="1">5</definedName>
    <definedName name="solver_rel747" localSheetId="0" hidden="1">5</definedName>
    <definedName name="solver_rel748" localSheetId="0" hidden="1">5</definedName>
    <definedName name="solver_rel749" localSheetId="0" hidden="1">5</definedName>
    <definedName name="solver_rel75" localSheetId="0" hidden="1">5</definedName>
    <definedName name="solver_rel750" localSheetId="0" hidden="1">5</definedName>
    <definedName name="solver_rel751" localSheetId="0" hidden="1">5</definedName>
    <definedName name="solver_rel752" localSheetId="0" hidden="1">5</definedName>
    <definedName name="solver_rel753" localSheetId="0" hidden="1">5</definedName>
    <definedName name="solver_rel754" localSheetId="0" hidden="1">5</definedName>
    <definedName name="solver_rel755" localSheetId="0" hidden="1">5</definedName>
    <definedName name="solver_rel756" localSheetId="0" hidden="1">5</definedName>
    <definedName name="solver_rel757" localSheetId="0" hidden="1">5</definedName>
    <definedName name="solver_rel758" localSheetId="0" hidden="1">5</definedName>
    <definedName name="solver_rel759" localSheetId="0" hidden="1">5</definedName>
    <definedName name="solver_rel76" localSheetId="0" hidden="1">5</definedName>
    <definedName name="solver_rel760" localSheetId="0" hidden="1">5</definedName>
    <definedName name="solver_rel761" localSheetId="0" hidden="1">5</definedName>
    <definedName name="solver_rel762" localSheetId="0" hidden="1">5</definedName>
    <definedName name="solver_rel763" localSheetId="0" hidden="1">5</definedName>
    <definedName name="solver_rel764" localSheetId="0" hidden="1">5</definedName>
    <definedName name="solver_rel765" localSheetId="0" hidden="1">5</definedName>
    <definedName name="solver_rel766" localSheetId="0" hidden="1">5</definedName>
    <definedName name="solver_rel767" localSheetId="0" hidden="1">5</definedName>
    <definedName name="solver_rel768" localSheetId="0" hidden="1">5</definedName>
    <definedName name="solver_rel769" localSheetId="0" hidden="1">5</definedName>
    <definedName name="solver_rel77" localSheetId="0" hidden="1">5</definedName>
    <definedName name="solver_rel770" localSheetId="0" hidden="1">5</definedName>
    <definedName name="solver_rel771" localSheetId="0" hidden="1">5</definedName>
    <definedName name="solver_rel772" localSheetId="0" hidden="1">5</definedName>
    <definedName name="solver_rel773" localSheetId="0" hidden="1">5</definedName>
    <definedName name="solver_rel774" localSheetId="0" hidden="1">5</definedName>
    <definedName name="solver_rel775" localSheetId="0" hidden="1">5</definedName>
    <definedName name="solver_rel776" localSheetId="0" hidden="1">5</definedName>
    <definedName name="solver_rel777" localSheetId="0" hidden="1">5</definedName>
    <definedName name="solver_rel778" localSheetId="0" hidden="1">5</definedName>
    <definedName name="solver_rel779" localSheetId="0" hidden="1">5</definedName>
    <definedName name="solver_rel78" localSheetId="0" hidden="1">5</definedName>
    <definedName name="solver_rel780" localSheetId="0" hidden="1">5</definedName>
    <definedName name="solver_rel781" localSheetId="0" hidden="1">5</definedName>
    <definedName name="solver_rel782" localSheetId="0" hidden="1">5</definedName>
    <definedName name="solver_rel783" localSheetId="0" hidden="1">5</definedName>
    <definedName name="solver_rel784" localSheetId="0" hidden="1">5</definedName>
    <definedName name="solver_rel785" localSheetId="0" hidden="1">5</definedName>
    <definedName name="solver_rel786" localSheetId="0" hidden="1">5</definedName>
    <definedName name="solver_rel787" localSheetId="0" hidden="1">5</definedName>
    <definedName name="solver_rel788" localSheetId="0" hidden="1">5</definedName>
    <definedName name="solver_rel789" localSheetId="0" hidden="1">5</definedName>
    <definedName name="solver_rel79" localSheetId="0" hidden="1">5</definedName>
    <definedName name="solver_rel790" localSheetId="0" hidden="1">5</definedName>
    <definedName name="solver_rel791" localSheetId="0" hidden="1">5</definedName>
    <definedName name="solver_rel792" localSheetId="0" hidden="1">5</definedName>
    <definedName name="solver_rel793" localSheetId="0" hidden="1">5</definedName>
    <definedName name="solver_rel794" localSheetId="0" hidden="1">5</definedName>
    <definedName name="solver_rel795" localSheetId="0" hidden="1">5</definedName>
    <definedName name="solver_rel796" localSheetId="0" hidden="1">5</definedName>
    <definedName name="solver_rel797" localSheetId="0" hidden="1">5</definedName>
    <definedName name="solver_rel798" localSheetId="0" hidden="1">5</definedName>
    <definedName name="solver_rel799" localSheetId="0" hidden="1">5</definedName>
    <definedName name="solver_rel8" localSheetId="0" hidden="1">5</definedName>
    <definedName name="solver_rel80" localSheetId="0" hidden="1">5</definedName>
    <definedName name="solver_rel800" localSheetId="0" hidden="1">5</definedName>
    <definedName name="solver_rel801" localSheetId="0" hidden="1">5</definedName>
    <definedName name="solver_rel802" localSheetId="0" hidden="1">5</definedName>
    <definedName name="solver_rel803" localSheetId="0" hidden="1">5</definedName>
    <definedName name="solver_rel804" localSheetId="0" hidden="1">5</definedName>
    <definedName name="solver_rel805" localSheetId="0" hidden="1">5</definedName>
    <definedName name="solver_rel806" localSheetId="0" hidden="1">5</definedName>
    <definedName name="solver_rel807" localSheetId="0" hidden="1">5</definedName>
    <definedName name="solver_rel808" localSheetId="0" hidden="1">5</definedName>
    <definedName name="solver_rel809" localSheetId="0" hidden="1">5</definedName>
    <definedName name="solver_rel81" localSheetId="0" hidden="1">5</definedName>
    <definedName name="solver_rel810" localSheetId="0" hidden="1">5</definedName>
    <definedName name="solver_rel811" localSheetId="0" hidden="1">5</definedName>
    <definedName name="solver_rel812" localSheetId="0" hidden="1">5</definedName>
    <definedName name="solver_rel813" localSheetId="0" hidden="1">5</definedName>
    <definedName name="solver_rel814" localSheetId="0" hidden="1">5</definedName>
    <definedName name="solver_rel815" localSheetId="0" hidden="1">5</definedName>
    <definedName name="solver_rel816" localSheetId="0" hidden="1">5</definedName>
    <definedName name="solver_rel817" localSheetId="0" hidden="1">5</definedName>
    <definedName name="solver_rel818" localSheetId="0" hidden="1">5</definedName>
    <definedName name="solver_rel819" localSheetId="0" hidden="1">5</definedName>
    <definedName name="solver_rel82" localSheetId="0" hidden="1">5</definedName>
    <definedName name="solver_rel820" localSheetId="0" hidden="1">5</definedName>
    <definedName name="solver_rel821" localSheetId="0" hidden="1">5</definedName>
    <definedName name="solver_rel822" localSheetId="0" hidden="1">5</definedName>
    <definedName name="solver_rel823" localSheetId="0" hidden="1">5</definedName>
    <definedName name="solver_rel824" localSheetId="0" hidden="1">5</definedName>
    <definedName name="solver_rel825" localSheetId="0" hidden="1">5</definedName>
    <definedName name="solver_rel826" localSheetId="0" hidden="1">5</definedName>
    <definedName name="solver_rel827" localSheetId="0" hidden="1">5</definedName>
    <definedName name="solver_rel828" localSheetId="0" hidden="1">5</definedName>
    <definedName name="solver_rel829" localSheetId="0" hidden="1">5</definedName>
    <definedName name="solver_rel83" localSheetId="0" hidden="1">5</definedName>
    <definedName name="solver_rel830" localSheetId="0" hidden="1">5</definedName>
    <definedName name="solver_rel831" localSheetId="0" hidden="1">5</definedName>
    <definedName name="solver_rel832" localSheetId="0" hidden="1">5</definedName>
    <definedName name="solver_rel833" localSheetId="0" hidden="1">5</definedName>
    <definedName name="solver_rel834" localSheetId="0" hidden="1">5</definedName>
    <definedName name="solver_rel835" localSheetId="0" hidden="1">5</definedName>
    <definedName name="solver_rel836" localSheetId="0" hidden="1">5</definedName>
    <definedName name="solver_rel837" localSheetId="0" hidden="1">5</definedName>
    <definedName name="solver_rel838" localSheetId="0" hidden="1">5</definedName>
    <definedName name="solver_rel839" localSheetId="0" hidden="1">5</definedName>
    <definedName name="solver_rel84" localSheetId="0" hidden="1">5</definedName>
    <definedName name="solver_rel840" localSheetId="0" hidden="1">5</definedName>
    <definedName name="solver_rel841" localSheetId="0" hidden="1">5</definedName>
    <definedName name="solver_rel842" localSheetId="0" hidden="1">5</definedName>
    <definedName name="solver_rel843" localSheetId="0" hidden="1">5</definedName>
    <definedName name="solver_rel844" localSheetId="0" hidden="1">5</definedName>
    <definedName name="solver_rel845" localSheetId="0" hidden="1">5</definedName>
    <definedName name="solver_rel846" localSheetId="0" hidden="1">5</definedName>
    <definedName name="solver_rel847" localSheetId="0" hidden="1">5</definedName>
    <definedName name="solver_rel848" localSheetId="0" hidden="1">5</definedName>
    <definedName name="solver_rel849" localSheetId="0" hidden="1">5</definedName>
    <definedName name="solver_rel85" localSheetId="0" hidden="1">5</definedName>
    <definedName name="solver_rel850" localSheetId="0" hidden="1">5</definedName>
    <definedName name="solver_rel851" localSheetId="0" hidden="1">5</definedName>
    <definedName name="solver_rel852" localSheetId="0" hidden="1">5</definedName>
    <definedName name="solver_rel853" localSheetId="0" hidden="1">5</definedName>
    <definedName name="solver_rel854" localSheetId="0" hidden="1">5</definedName>
    <definedName name="solver_rel855" localSheetId="0" hidden="1">5</definedName>
    <definedName name="solver_rel856" localSheetId="0" hidden="1">5</definedName>
    <definedName name="solver_rel857" localSheetId="0" hidden="1">5</definedName>
    <definedName name="solver_rel858" localSheetId="0" hidden="1">5</definedName>
    <definedName name="solver_rel859" localSheetId="0" hidden="1">5</definedName>
    <definedName name="solver_rel86" localSheetId="0" hidden="1">5</definedName>
    <definedName name="solver_rel860" localSheetId="0" hidden="1">5</definedName>
    <definedName name="solver_rel861" localSheetId="0" hidden="1">5</definedName>
    <definedName name="solver_rel862" localSheetId="0" hidden="1">5</definedName>
    <definedName name="solver_rel863" localSheetId="0" hidden="1">5</definedName>
    <definedName name="solver_rel864" localSheetId="0" hidden="1">5</definedName>
    <definedName name="solver_rel865" localSheetId="0" hidden="1">5</definedName>
    <definedName name="solver_rel866" localSheetId="0" hidden="1">5</definedName>
    <definedName name="solver_rel867" localSheetId="0" hidden="1">5</definedName>
    <definedName name="solver_rel868" localSheetId="0" hidden="1">5</definedName>
    <definedName name="solver_rel869" localSheetId="0" hidden="1">5</definedName>
    <definedName name="solver_rel87" localSheetId="0" hidden="1">5</definedName>
    <definedName name="solver_rel870" localSheetId="0" hidden="1">5</definedName>
    <definedName name="solver_rel871" localSheetId="0" hidden="1">5</definedName>
    <definedName name="solver_rel872" localSheetId="0" hidden="1">5</definedName>
    <definedName name="solver_rel873" localSheetId="0" hidden="1">5</definedName>
    <definedName name="solver_rel874" localSheetId="0" hidden="1">5</definedName>
    <definedName name="solver_rel875" localSheetId="0" hidden="1">5</definedName>
    <definedName name="solver_rel876" localSheetId="0" hidden="1">5</definedName>
    <definedName name="solver_rel877" localSheetId="0" hidden="1">5</definedName>
    <definedName name="solver_rel878" localSheetId="0" hidden="1">5</definedName>
    <definedName name="solver_rel879" localSheetId="0" hidden="1">5</definedName>
    <definedName name="solver_rel88" localSheetId="0" hidden="1">5</definedName>
    <definedName name="solver_rel880" localSheetId="0" hidden="1">5</definedName>
    <definedName name="solver_rel881" localSheetId="0" hidden="1">5</definedName>
    <definedName name="solver_rel882" localSheetId="0" hidden="1">5</definedName>
    <definedName name="solver_rel883" localSheetId="0" hidden="1">5</definedName>
    <definedName name="solver_rel884" localSheetId="0" hidden="1">5</definedName>
    <definedName name="solver_rel885" localSheetId="0" hidden="1">5</definedName>
    <definedName name="solver_rel886" localSheetId="0" hidden="1">5</definedName>
    <definedName name="solver_rel887" localSheetId="0" hidden="1">5</definedName>
    <definedName name="solver_rel888" localSheetId="0" hidden="1">5</definedName>
    <definedName name="solver_rel889" localSheetId="0" hidden="1">5</definedName>
    <definedName name="solver_rel89" localSheetId="0" hidden="1">5</definedName>
    <definedName name="solver_rel890" localSheetId="0" hidden="1">5</definedName>
    <definedName name="solver_rel891" localSheetId="0" hidden="1">5</definedName>
    <definedName name="solver_rel892" localSheetId="0" hidden="1">5</definedName>
    <definedName name="solver_rel893" localSheetId="0" hidden="1">5</definedName>
    <definedName name="solver_rel894" localSheetId="0" hidden="1">5</definedName>
    <definedName name="solver_rel895" localSheetId="0" hidden="1">5</definedName>
    <definedName name="solver_rel896" localSheetId="0" hidden="1">5</definedName>
    <definedName name="solver_rel897" localSheetId="0" hidden="1">5</definedName>
    <definedName name="solver_rel898" localSheetId="0" hidden="1">5</definedName>
    <definedName name="solver_rel899" localSheetId="0" hidden="1">5</definedName>
    <definedName name="solver_rel9" localSheetId="0" hidden="1">5</definedName>
    <definedName name="solver_rel90" localSheetId="0" hidden="1">5</definedName>
    <definedName name="solver_rel900" localSheetId="0" hidden="1">5</definedName>
    <definedName name="solver_rel901" localSheetId="0" hidden="1">5</definedName>
    <definedName name="solver_rel902" localSheetId="0" hidden="1">5</definedName>
    <definedName name="solver_rel903" localSheetId="0" hidden="1">5</definedName>
    <definedName name="solver_rel904" localSheetId="0" hidden="1">5</definedName>
    <definedName name="solver_rel905" localSheetId="0" hidden="1">5</definedName>
    <definedName name="solver_rel906" localSheetId="0" hidden="1">5</definedName>
    <definedName name="solver_rel907" localSheetId="0" hidden="1">5</definedName>
    <definedName name="solver_rel908" localSheetId="0" hidden="1">5</definedName>
    <definedName name="solver_rel909" localSheetId="0" hidden="1">5</definedName>
    <definedName name="solver_rel91" localSheetId="0" hidden="1">5</definedName>
    <definedName name="solver_rel910" localSheetId="0" hidden="1">5</definedName>
    <definedName name="solver_rel911" localSheetId="0" hidden="1">5</definedName>
    <definedName name="solver_rel912" localSheetId="0" hidden="1">5</definedName>
    <definedName name="solver_rel913" localSheetId="0" hidden="1">5</definedName>
    <definedName name="solver_rel914" localSheetId="0" hidden="1">5</definedName>
    <definedName name="solver_rel915" localSheetId="0" hidden="1">5</definedName>
    <definedName name="solver_rel916" localSheetId="0" hidden="1">5</definedName>
    <definedName name="solver_rel917" localSheetId="0" hidden="1">5</definedName>
    <definedName name="solver_rel918" localSheetId="0" hidden="1">5</definedName>
    <definedName name="solver_rel919" localSheetId="0" hidden="1">5</definedName>
    <definedName name="solver_rel92" localSheetId="0" hidden="1">5</definedName>
    <definedName name="solver_rel920" localSheetId="0" hidden="1">5</definedName>
    <definedName name="solver_rel921" localSheetId="0" hidden="1">5</definedName>
    <definedName name="solver_rel922" localSheetId="0" hidden="1">5</definedName>
    <definedName name="solver_rel923" localSheetId="0" hidden="1">5</definedName>
    <definedName name="solver_rel924" localSheetId="0" hidden="1">5</definedName>
    <definedName name="solver_rel925" localSheetId="0" hidden="1">5</definedName>
    <definedName name="solver_rel926" localSheetId="0" hidden="1">5</definedName>
    <definedName name="solver_rel927" localSheetId="0" hidden="1">5</definedName>
    <definedName name="solver_rel928" localSheetId="0" hidden="1">5</definedName>
    <definedName name="solver_rel929" localSheetId="0" hidden="1">5</definedName>
    <definedName name="solver_rel93" localSheetId="0" hidden="1">5</definedName>
    <definedName name="solver_rel930" localSheetId="0" hidden="1">5</definedName>
    <definedName name="solver_rel931" localSheetId="0" hidden="1">5</definedName>
    <definedName name="solver_rel932" localSheetId="0" hidden="1">5</definedName>
    <definedName name="solver_rel933" localSheetId="0" hidden="1">5</definedName>
    <definedName name="solver_rel934" localSheetId="0" hidden="1">5</definedName>
    <definedName name="solver_rel935" localSheetId="0" hidden="1">5</definedName>
    <definedName name="solver_rel936" localSheetId="0" hidden="1">5</definedName>
    <definedName name="solver_rel937" localSheetId="0" hidden="1">5</definedName>
    <definedName name="solver_rel938" localSheetId="0" hidden="1">5</definedName>
    <definedName name="solver_rel939" localSheetId="0" hidden="1">5</definedName>
    <definedName name="solver_rel94" localSheetId="0" hidden="1">5</definedName>
    <definedName name="solver_rel940" localSheetId="0" hidden="1">5</definedName>
    <definedName name="solver_rel941" localSheetId="0" hidden="1">5</definedName>
    <definedName name="solver_rel942" localSheetId="0" hidden="1">5</definedName>
    <definedName name="solver_rel943" localSheetId="0" hidden="1">5</definedName>
    <definedName name="solver_rel944" localSheetId="0" hidden="1">5</definedName>
    <definedName name="solver_rel945" localSheetId="0" hidden="1">5</definedName>
    <definedName name="solver_rel946" localSheetId="0" hidden="1">5</definedName>
    <definedName name="solver_rel947" localSheetId="0" hidden="1">5</definedName>
    <definedName name="solver_rel948" localSheetId="0" hidden="1">5</definedName>
    <definedName name="solver_rel949" localSheetId="0" hidden="1">5</definedName>
    <definedName name="solver_rel95" localSheetId="0" hidden="1">5</definedName>
    <definedName name="solver_rel950" localSheetId="0" hidden="1">5</definedName>
    <definedName name="solver_rel951" localSheetId="0" hidden="1">5</definedName>
    <definedName name="solver_rel952" localSheetId="0" hidden="1">5</definedName>
    <definedName name="solver_rel953" localSheetId="0" hidden="1">5</definedName>
    <definedName name="solver_rel954" localSheetId="0" hidden="1">5</definedName>
    <definedName name="solver_rel955" localSheetId="0" hidden="1">5</definedName>
    <definedName name="solver_rel956" localSheetId="0" hidden="1">5</definedName>
    <definedName name="solver_rel957" localSheetId="0" hidden="1">5</definedName>
    <definedName name="solver_rel958" localSheetId="0" hidden="1">5</definedName>
    <definedName name="solver_rel959" localSheetId="0" hidden="1">5</definedName>
    <definedName name="solver_rel96" localSheetId="0" hidden="1">5</definedName>
    <definedName name="solver_rel960" localSheetId="0" hidden="1">5</definedName>
    <definedName name="solver_rel961" localSheetId="0" hidden="1">5</definedName>
    <definedName name="solver_rel962" localSheetId="0" hidden="1">5</definedName>
    <definedName name="solver_rel963" localSheetId="0" hidden="1">5</definedName>
    <definedName name="solver_rel964" localSheetId="0" hidden="1">5</definedName>
    <definedName name="solver_rel965" localSheetId="0" hidden="1">5</definedName>
    <definedName name="solver_rel966" localSheetId="0" hidden="1">5</definedName>
    <definedName name="solver_rel967" localSheetId="0" hidden="1">5</definedName>
    <definedName name="solver_rel968" localSheetId="0" hidden="1">5</definedName>
    <definedName name="solver_rel969" localSheetId="0" hidden="1">5</definedName>
    <definedName name="solver_rel97" localSheetId="0" hidden="1">5</definedName>
    <definedName name="solver_rel970" localSheetId="0" hidden="1">5</definedName>
    <definedName name="solver_rel971" localSheetId="0" hidden="1">5</definedName>
    <definedName name="solver_rel972" localSheetId="0" hidden="1">5</definedName>
    <definedName name="solver_rel973" localSheetId="0" hidden="1">5</definedName>
    <definedName name="solver_rel974" localSheetId="0" hidden="1">5</definedName>
    <definedName name="solver_rel975" localSheetId="0" hidden="1">5</definedName>
    <definedName name="solver_rel976" localSheetId="0" hidden="1">5</definedName>
    <definedName name="solver_rel977" localSheetId="0" hidden="1">5</definedName>
    <definedName name="solver_rel978" localSheetId="0" hidden="1">5</definedName>
    <definedName name="solver_rel979" localSheetId="0" hidden="1">5</definedName>
    <definedName name="solver_rel98" localSheetId="0" hidden="1">5</definedName>
    <definedName name="solver_rel980" localSheetId="0" hidden="1">5</definedName>
    <definedName name="solver_rel981" localSheetId="0" hidden="1">5</definedName>
    <definedName name="solver_rel982" localSheetId="0" hidden="1">5</definedName>
    <definedName name="solver_rel983" localSheetId="0" hidden="1">5</definedName>
    <definedName name="solver_rel984" localSheetId="0" hidden="1">5</definedName>
    <definedName name="solver_rel985" localSheetId="0" hidden="1">5</definedName>
    <definedName name="solver_rel986" localSheetId="0" hidden="1">5</definedName>
    <definedName name="solver_rel987" localSheetId="0" hidden="1">5</definedName>
    <definedName name="solver_rel988" localSheetId="0" hidden="1">5</definedName>
    <definedName name="solver_rel989" localSheetId="0" hidden="1">5</definedName>
    <definedName name="solver_rel99" localSheetId="0" hidden="1">5</definedName>
    <definedName name="solver_rel990" localSheetId="0" hidden="1">5</definedName>
    <definedName name="solver_rel991" localSheetId="0" hidden="1">5</definedName>
    <definedName name="solver_rel992" localSheetId="0" hidden="1">5</definedName>
    <definedName name="solver_rel993" localSheetId="0" hidden="1">5</definedName>
    <definedName name="solver_rel994" localSheetId="0" hidden="1">5</definedName>
    <definedName name="solver_rel995" localSheetId="0" hidden="1">5</definedName>
    <definedName name="solver_rel996" localSheetId="0" hidden="1">5</definedName>
    <definedName name="solver_rel997" localSheetId="0" hidden="1">5</definedName>
    <definedName name="solver_rel998" localSheetId="0" hidden="1">5</definedName>
    <definedName name="solver_rel999" localSheetId="0" hidden="1">5</definedName>
    <definedName name="solver_rhs1" localSheetId="0" hidden="1">monday_model.lp!$EDI$6:$EDI$60</definedName>
    <definedName name="solver_rhs10" localSheetId="0" hidden="1">binary</definedName>
    <definedName name="solver_rhs100" localSheetId="0" hidden="1">binary</definedName>
    <definedName name="solver_rhs1000" localSheetId="0" hidden="1">binary</definedName>
    <definedName name="solver_rhs1001" localSheetId="0" hidden="1">binary</definedName>
    <definedName name="solver_rhs1002" localSheetId="0" hidden="1">binary</definedName>
    <definedName name="solver_rhs1003" localSheetId="0" hidden="1">binary</definedName>
    <definedName name="solver_rhs1004" localSheetId="0" hidden="1">binary</definedName>
    <definedName name="solver_rhs1005" localSheetId="0" hidden="1">binary</definedName>
    <definedName name="solver_rhs1006" localSheetId="0" hidden="1">binary</definedName>
    <definedName name="solver_rhs1007" localSheetId="0" hidden="1">binary</definedName>
    <definedName name="solver_rhs1008" localSheetId="0" hidden="1">binary</definedName>
    <definedName name="solver_rhs1009" localSheetId="0" hidden="1">binary</definedName>
    <definedName name="solver_rhs101" localSheetId="0" hidden="1">binary</definedName>
    <definedName name="solver_rhs1010" localSheetId="0" hidden="1">binary</definedName>
    <definedName name="solver_rhs1011" localSheetId="0" hidden="1">binary</definedName>
    <definedName name="solver_rhs1012" localSheetId="0" hidden="1">binary</definedName>
    <definedName name="solver_rhs1013" localSheetId="0" hidden="1">binary</definedName>
    <definedName name="solver_rhs1014" localSheetId="0" hidden="1">binary</definedName>
    <definedName name="solver_rhs1015" localSheetId="0" hidden="1">binary</definedName>
    <definedName name="solver_rhs1016" localSheetId="0" hidden="1">binary</definedName>
    <definedName name="solver_rhs1017" localSheetId="0" hidden="1">binary</definedName>
    <definedName name="solver_rhs1018" localSheetId="0" hidden="1">binary</definedName>
    <definedName name="solver_rhs1019" localSheetId="0" hidden="1">binary</definedName>
    <definedName name="solver_rhs102" localSheetId="0" hidden="1">binary</definedName>
    <definedName name="solver_rhs1020" localSheetId="0" hidden="1">binary</definedName>
    <definedName name="solver_rhs1021" localSheetId="0" hidden="1">binary</definedName>
    <definedName name="solver_rhs1022" localSheetId="0" hidden="1">binary</definedName>
    <definedName name="solver_rhs1023" localSheetId="0" hidden="1">binary</definedName>
    <definedName name="solver_rhs1024" localSheetId="0" hidden="1">binary</definedName>
    <definedName name="solver_rhs1025" localSheetId="0" hidden="1">binary</definedName>
    <definedName name="solver_rhs1026" localSheetId="0" hidden="1">binary</definedName>
    <definedName name="solver_rhs1027" localSheetId="0" hidden="1">binary</definedName>
    <definedName name="solver_rhs1028" localSheetId="0" hidden="1">binary</definedName>
    <definedName name="solver_rhs1029" localSheetId="0" hidden="1">binary</definedName>
    <definedName name="solver_rhs103" localSheetId="0" hidden="1">binary</definedName>
    <definedName name="solver_rhs1030" localSheetId="0" hidden="1">binary</definedName>
    <definedName name="solver_rhs1031" localSheetId="0" hidden="1">binary</definedName>
    <definedName name="solver_rhs1032" localSheetId="0" hidden="1">binary</definedName>
    <definedName name="solver_rhs1033" localSheetId="0" hidden="1">binary</definedName>
    <definedName name="solver_rhs1034" localSheetId="0" hidden="1">binary</definedName>
    <definedName name="solver_rhs1035" localSheetId="0" hidden="1">binary</definedName>
    <definedName name="solver_rhs1036" localSheetId="0" hidden="1">binary</definedName>
    <definedName name="solver_rhs1037" localSheetId="0" hidden="1">binary</definedName>
    <definedName name="solver_rhs1038" localSheetId="0" hidden="1">binary</definedName>
    <definedName name="solver_rhs1039" localSheetId="0" hidden="1">binary</definedName>
    <definedName name="solver_rhs104" localSheetId="0" hidden="1">binary</definedName>
    <definedName name="solver_rhs1040" localSheetId="0" hidden="1">binary</definedName>
    <definedName name="solver_rhs1041" localSheetId="0" hidden="1">binary</definedName>
    <definedName name="solver_rhs1042" localSheetId="0" hidden="1">binary</definedName>
    <definedName name="solver_rhs1043" localSheetId="0" hidden="1">binary</definedName>
    <definedName name="solver_rhs1044" localSheetId="0" hidden="1">binary</definedName>
    <definedName name="solver_rhs1045" localSheetId="0" hidden="1">binary</definedName>
    <definedName name="solver_rhs1046" localSheetId="0" hidden="1">binary</definedName>
    <definedName name="solver_rhs1047" localSheetId="0" hidden="1">binary</definedName>
    <definedName name="solver_rhs1048" localSheetId="0" hidden="1">binary</definedName>
    <definedName name="solver_rhs1049" localSheetId="0" hidden="1">binary</definedName>
    <definedName name="solver_rhs105" localSheetId="0" hidden="1">binary</definedName>
    <definedName name="solver_rhs1050" localSheetId="0" hidden="1">binary</definedName>
    <definedName name="solver_rhs1051" localSheetId="0" hidden="1">binary</definedName>
    <definedName name="solver_rhs1052" localSheetId="0" hidden="1">binary</definedName>
    <definedName name="solver_rhs1053" localSheetId="0" hidden="1">binary</definedName>
    <definedName name="solver_rhs1054" localSheetId="0" hidden="1">binary</definedName>
    <definedName name="solver_rhs1055" localSheetId="0" hidden="1">binary</definedName>
    <definedName name="solver_rhs1056" localSheetId="0" hidden="1">binary</definedName>
    <definedName name="solver_rhs1057" localSheetId="0" hidden="1">binary</definedName>
    <definedName name="solver_rhs1058" localSheetId="0" hidden="1">binary</definedName>
    <definedName name="solver_rhs1059" localSheetId="0" hidden="1">binary</definedName>
    <definedName name="solver_rhs106" localSheetId="0" hidden="1">binary</definedName>
    <definedName name="solver_rhs1060" localSheetId="0" hidden="1">binary</definedName>
    <definedName name="solver_rhs1061" localSheetId="0" hidden="1">binary</definedName>
    <definedName name="solver_rhs1062" localSheetId="0" hidden="1">binary</definedName>
    <definedName name="solver_rhs1063" localSheetId="0" hidden="1">binary</definedName>
    <definedName name="solver_rhs1064" localSheetId="0" hidden="1">binary</definedName>
    <definedName name="solver_rhs1065" localSheetId="0" hidden="1">binary</definedName>
    <definedName name="solver_rhs1066" localSheetId="0" hidden="1">binary</definedName>
    <definedName name="solver_rhs1067" localSheetId="0" hidden="1">binary</definedName>
    <definedName name="solver_rhs1068" localSheetId="0" hidden="1">binary</definedName>
    <definedName name="solver_rhs1069" localSheetId="0" hidden="1">binary</definedName>
    <definedName name="solver_rhs107" localSheetId="0" hidden="1">binary</definedName>
    <definedName name="solver_rhs1070" localSheetId="0" hidden="1">binary</definedName>
    <definedName name="solver_rhs1071" localSheetId="0" hidden="1">binary</definedName>
    <definedName name="solver_rhs1072" localSheetId="0" hidden="1">binary</definedName>
    <definedName name="solver_rhs1073" localSheetId="0" hidden="1">binary</definedName>
    <definedName name="solver_rhs1074" localSheetId="0" hidden="1">binary</definedName>
    <definedName name="solver_rhs1075" localSheetId="0" hidden="1">binary</definedName>
    <definedName name="solver_rhs1076" localSheetId="0" hidden="1">binary</definedName>
    <definedName name="solver_rhs1077" localSheetId="0" hidden="1">binary</definedName>
    <definedName name="solver_rhs1078" localSheetId="0" hidden="1">binary</definedName>
    <definedName name="solver_rhs1079" localSheetId="0" hidden="1">binary</definedName>
    <definedName name="solver_rhs108" localSheetId="0" hidden="1">binary</definedName>
    <definedName name="solver_rhs1080" localSheetId="0" hidden="1">binary</definedName>
    <definedName name="solver_rhs1081" localSheetId="0" hidden="1">binary</definedName>
    <definedName name="solver_rhs1082" localSheetId="0" hidden="1">binary</definedName>
    <definedName name="solver_rhs1083" localSheetId="0" hidden="1">binary</definedName>
    <definedName name="solver_rhs1084" localSheetId="0" hidden="1">binary</definedName>
    <definedName name="solver_rhs1085" localSheetId="0" hidden="1">binary</definedName>
    <definedName name="solver_rhs1086" localSheetId="0" hidden="1">binary</definedName>
    <definedName name="solver_rhs1087" localSheetId="0" hidden="1">binary</definedName>
    <definedName name="solver_rhs1088" localSheetId="0" hidden="1">binary</definedName>
    <definedName name="solver_rhs1089" localSheetId="0" hidden="1">binary</definedName>
    <definedName name="solver_rhs109" localSheetId="0" hidden="1">binary</definedName>
    <definedName name="solver_rhs1090" localSheetId="0" hidden="1">binary</definedName>
    <definedName name="solver_rhs1091" localSheetId="0" hidden="1">binary</definedName>
    <definedName name="solver_rhs1092" localSheetId="0" hidden="1">binary</definedName>
    <definedName name="solver_rhs1093" localSheetId="0" hidden="1">binary</definedName>
    <definedName name="solver_rhs1094" localSheetId="0" hidden="1">binary</definedName>
    <definedName name="solver_rhs1095" localSheetId="0" hidden="1">binary</definedName>
    <definedName name="solver_rhs1096" localSheetId="0" hidden="1">binary</definedName>
    <definedName name="solver_rhs1097" localSheetId="0" hidden="1">binary</definedName>
    <definedName name="solver_rhs1098" localSheetId="0" hidden="1">binary</definedName>
    <definedName name="solver_rhs1099" localSheetId="0" hidden="1">binary</definedName>
    <definedName name="solver_rhs11" localSheetId="0" hidden="1">binary</definedName>
    <definedName name="solver_rhs110" localSheetId="0" hidden="1">binary</definedName>
    <definedName name="solver_rhs1100" localSheetId="0" hidden="1">binary</definedName>
    <definedName name="solver_rhs1101" localSheetId="0" hidden="1">binary</definedName>
    <definedName name="solver_rhs1102" localSheetId="0" hidden="1">binary</definedName>
    <definedName name="solver_rhs1103" localSheetId="0" hidden="1">binary</definedName>
    <definedName name="solver_rhs1104" localSheetId="0" hidden="1">binary</definedName>
    <definedName name="solver_rhs1105" localSheetId="0" hidden="1">binary</definedName>
    <definedName name="solver_rhs1106" localSheetId="0" hidden="1">binary</definedName>
    <definedName name="solver_rhs1107" localSheetId="0" hidden="1">binary</definedName>
    <definedName name="solver_rhs1108" localSheetId="0" hidden="1">binary</definedName>
    <definedName name="solver_rhs1109" localSheetId="0" hidden="1">binary</definedName>
    <definedName name="solver_rhs111" localSheetId="0" hidden="1">binary</definedName>
    <definedName name="solver_rhs1110" localSheetId="0" hidden="1">binary</definedName>
    <definedName name="solver_rhs1111" localSheetId="0" hidden="1">binary</definedName>
    <definedName name="solver_rhs1112" localSheetId="0" hidden="1">binary</definedName>
    <definedName name="solver_rhs1113" localSheetId="0" hidden="1">binary</definedName>
    <definedName name="solver_rhs1114" localSheetId="0" hidden="1">binary</definedName>
    <definedName name="solver_rhs1115" localSheetId="0" hidden="1">binary</definedName>
    <definedName name="solver_rhs1116" localSheetId="0" hidden="1">binary</definedName>
    <definedName name="solver_rhs1117" localSheetId="0" hidden="1">binary</definedName>
    <definedName name="solver_rhs1118" localSheetId="0" hidden="1">binary</definedName>
    <definedName name="solver_rhs1119" localSheetId="0" hidden="1">binary</definedName>
    <definedName name="solver_rhs112" localSheetId="0" hidden="1">binary</definedName>
    <definedName name="solver_rhs1120" localSheetId="0" hidden="1">binary</definedName>
    <definedName name="solver_rhs1121" localSheetId="0" hidden="1">binary</definedName>
    <definedName name="solver_rhs1122" localSheetId="0" hidden="1">binary</definedName>
    <definedName name="solver_rhs1123" localSheetId="0" hidden="1">binary</definedName>
    <definedName name="solver_rhs1124" localSheetId="0" hidden="1">binary</definedName>
    <definedName name="solver_rhs1125" localSheetId="0" hidden="1">binary</definedName>
    <definedName name="solver_rhs1126" localSheetId="0" hidden="1">binary</definedName>
    <definedName name="solver_rhs1127" localSheetId="0" hidden="1">binary</definedName>
    <definedName name="solver_rhs1128" localSheetId="0" hidden="1">binary</definedName>
    <definedName name="solver_rhs1129" localSheetId="0" hidden="1">binary</definedName>
    <definedName name="solver_rhs113" localSheetId="0" hidden="1">binary</definedName>
    <definedName name="solver_rhs1130" localSheetId="0" hidden="1">binary</definedName>
    <definedName name="solver_rhs1131" localSheetId="0" hidden="1">binary</definedName>
    <definedName name="solver_rhs1132" localSheetId="0" hidden="1">binary</definedName>
    <definedName name="solver_rhs1133" localSheetId="0" hidden="1">binary</definedName>
    <definedName name="solver_rhs1134" localSheetId="0" hidden="1">binary</definedName>
    <definedName name="solver_rhs1135" localSheetId="0" hidden="1">binary</definedName>
    <definedName name="solver_rhs1136" localSheetId="0" hidden="1">binary</definedName>
    <definedName name="solver_rhs1137" localSheetId="0" hidden="1">binary</definedName>
    <definedName name="solver_rhs1138" localSheetId="0" hidden="1">binary</definedName>
    <definedName name="solver_rhs1139" localSheetId="0" hidden="1">binary</definedName>
    <definedName name="solver_rhs114" localSheetId="0" hidden="1">binary</definedName>
    <definedName name="solver_rhs1140" localSheetId="0" hidden="1">binary</definedName>
    <definedName name="solver_rhs1141" localSheetId="0" hidden="1">binary</definedName>
    <definedName name="solver_rhs1142" localSheetId="0" hidden="1">binary</definedName>
    <definedName name="solver_rhs1143" localSheetId="0" hidden="1">binary</definedName>
    <definedName name="solver_rhs1144" localSheetId="0" hidden="1">binary</definedName>
    <definedName name="solver_rhs1145" localSheetId="0" hidden="1">binary</definedName>
    <definedName name="solver_rhs1146" localSheetId="0" hidden="1">binary</definedName>
    <definedName name="solver_rhs1147" localSheetId="0" hidden="1">binary</definedName>
    <definedName name="solver_rhs1148" localSheetId="0" hidden="1">binary</definedName>
    <definedName name="solver_rhs1149" localSheetId="0" hidden="1">binary</definedName>
    <definedName name="solver_rhs115" localSheetId="0" hidden="1">binary</definedName>
    <definedName name="solver_rhs1150" localSheetId="0" hidden="1">binary</definedName>
    <definedName name="solver_rhs1151" localSheetId="0" hidden="1">binary</definedName>
    <definedName name="solver_rhs1152" localSheetId="0" hidden="1">binary</definedName>
    <definedName name="solver_rhs1153" localSheetId="0" hidden="1">binary</definedName>
    <definedName name="solver_rhs1154" localSheetId="0" hidden="1">binary</definedName>
    <definedName name="solver_rhs1155" localSheetId="0" hidden="1">binary</definedName>
    <definedName name="solver_rhs1156" localSheetId="0" hidden="1">binary</definedName>
    <definedName name="solver_rhs1157" localSheetId="0" hidden="1">binary</definedName>
    <definedName name="solver_rhs1158" localSheetId="0" hidden="1">binary</definedName>
    <definedName name="solver_rhs1159" localSheetId="0" hidden="1">binary</definedName>
    <definedName name="solver_rhs116" localSheetId="0" hidden="1">binary</definedName>
    <definedName name="solver_rhs1160" localSheetId="0" hidden="1">binary</definedName>
    <definedName name="solver_rhs1161" localSheetId="0" hidden="1">binary</definedName>
    <definedName name="solver_rhs1162" localSheetId="0" hidden="1">binary</definedName>
    <definedName name="solver_rhs1163" localSheetId="0" hidden="1">binary</definedName>
    <definedName name="solver_rhs1164" localSheetId="0" hidden="1">binary</definedName>
    <definedName name="solver_rhs1165" localSheetId="0" hidden="1">binary</definedName>
    <definedName name="solver_rhs1166" localSheetId="0" hidden="1">binary</definedName>
    <definedName name="solver_rhs1167" localSheetId="0" hidden="1">binary</definedName>
    <definedName name="solver_rhs1168" localSheetId="0" hidden="1">binary</definedName>
    <definedName name="solver_rhs1169" localSheetId="0" hidden="1">binary</definedName>
    <definedName name="solver_rhs117" localSheetId="0" hidden="1">binary</definedName>
    <definedName name="solver_rhs1170" localSheetId="0" hidden="1">binary</definedName>
    <definedName name="solver_rhs1171" localSheetId="0" hidden="1">binary</definedName>
    <definedName name="solver_rhs1172" localSheetId="0" hidden="1">binary</definedName>
    <definedName name="solver_rhs1173" localSheetId="0" hidden="1">binary</definedName>
    <definedName name="solver_rhs1174" localSheetId="0" hidden="1">binary</definedName>
    <definedName name="solver_rhs1175" localSheetId="0" hidden="1">binary</definedName>
    <definedName name="solver_rhs1176" localSheetId="0" hidden="1">binary</definedName>
    <definedName name="solver_rhs1177" localSheetId="0" hidden="1">binary</definedName>
    <definedName name="solver_rhs1178" localSheetId="0" hidden="1">binary</definedName>
    <definedName name="solver_rhs1179" localSheetId="0" hidden="1">binary</definedName>
    <definedName name="solver_rhs118" localSheetId="0" hidden="1">binary</definedName>
    <definedName name="solver_rhs1180" localSheetId="0" hidden="1">binary</definedName>
    <definedName name="solver_rhs1181" localSheetId="0" hidden="1">binary</definedName>
    <definedName name="solver_rhs1182" localSheetId="0" hidden="1">binary</definedName>
    <definedName name="solver_rhs1183" localSheetId="0" hidden="1">binary</definedName>
    <definedName name="solver_rhs1184" localSheetId="0" hidden="1">binary</definedName>
    <definedName name="solver_rhs1185" localSheetId="0" hidden="1">binary</definedName>
    <definedName name="solver_rhs1186" localSheetId="0" hidden="1">binary</definedName>
    <definedName name="solver_rhs1187" localSheetId="0" hidden="1">binary</definedName>
    <definedName name="solver_rhs1188" localSheetId="0" hidden="1">binary</definedName>
    <definedName name="solver_rhs1189" localSheetId="0" hidden="1">binary</definedName>
    <definedName name="solver_rhs119" localSheetId="0" hidden="1">binary</definedName>
    <definedName name="solver_rhs1190" localSheetId="0" hidden="1">binary</definedName>
    <definedName name="solver_rhs1191" localSheetId="0" hidden="1">binary</definedName>
    <definedName name="solver_rhs1192" localSheetId="0" hidden="1">binary</definedName>
    <definedName name="solver_rhs1193" localSheetId="0" hidden="1">binary</definedName>
    <definedName name="solver_rhs1194" localSheetId="0" hidden="1">binary</definedName>
    <definedName name="solver_rhs1195" localSheetId="0" hidden="1">binary</definedName>
    <definedName name="solver_rhs1196" localSheetId="0" hidden="1">binary</definedName>
    <definedName name="solver_rhs1197" localSheetId="0" hidden="1">binary</definedName>
    <definedName name="solver_rhs1198" localSheetId="0" hidden="1">binary</definedName>
    <definedName name="solver_rhs1199" localSheetId="0" hidden="1">binary</definedName>
    <definedName name="solver_rhs12" localSheetId="0" hidden="1">binary</definedName>
    <definedName name="solver_rhs120" localSheetId="0" hidden="1">binary</definedName>
    <definedName name="solver_rhs1200" localSheetId="0" hidden="1">binary</definedName>
    <definedName name="solver_rhs1201" localSheetId="0" hidden="1">binary</definedName>
    <definedName name="solver_rhs1202" localSheetId="0" hidden="1">binary</definedName>
    <definedName name="solver_rhs1203" localSheetId="0" hidden="1">binary</definedName>
    <definedName name="solver_rhs1204" localSheetId="0" hidden="1">binary</definedName>
    <definedName name="solver_rhs1205" localSheetId="0" hidden="1">binary</definedName>
    <definedName name="solver_rhs1206" localSheetId="0" hidden="1">binary</definedName>
    <definedName name="solver_rhs1207" localSheetId="0" hidden="1">binary</definedName>
    <definedName name="solver_rhs1208" localSheetId="0" hidden="1">binary</definedName>
    <definedName name="solver_rhs1209" localSheetId="0" hidden="1">binary</definedName>
    <definedName name="solver_rhs121" localSheetId="0" hidden="1">binary</definedName>
    <definedName name="solver_rhs1210" localSheetId="0" hidden="1">binary</definedName>
    <definedName name="solver_rhs1211" localSheetId="0" hidden="1">binary</definedName>
    <definedName name="solver_rhs1212" localSheetId="0" hidden="1">binary</definedName>
    <definedName name="solver_rhs1213" localSheetId="0" hidden="1">binary</definedName>
    <definedName name="solver_rhs1214" localSheetId="0" hidden="1">binary</definedName>
    <definedName name="solver_rhs1215" localSheetId="0" hidden="1">binary</definedName>
    <definedName name="solver_rhs1216" localSheetId="0" hidden="1">binary</definedName>
    <definedName name="solver_rhs1217" localSheetId="0" hidden="1">binary</definedName>
    <definedName name="solver_rhs1218" localSheetId="0" hidden="1">binary</definedName>
    <definedName name="solver_rhs1219" localSheetId="0" hidden="1">binary</definedName>
    <definedName name="solver_rhs122" localSheetId="0" hidden="1">binary</definedName>
    <definedName name="solver_rhs1220" localSheetId="0" hidden="1">binary</definedName>
    <definedName name="solver_rhs1221" localSheetId="0" hidden="1">binary</definedName>
    <definedName name="solver_rhs1222" localSheetId="0" hidden="1">binary</definedName>
    <definedName name="solver_rhs1223" localSheetId="0" hidden="1">binary</definedName>
    <definedName name="solver_rhs1224" localSheetId="0" hidden="1">binary</definedName>
    <definedName name="solver_rhs1225" localSheetId="0" hidden="1">binary</definedName>
    <definedName name="solver_rhs1226" localSheetId="0" hidden="1">binary</definedName>
    <definedName name="solver_rhs1227" localSheetId="0" hidden="1">binary</definedName>
    <definedName name="solver_rhs1228" localSheetId="0" hidden="1">binary</definedName>
    <definedName name="solver_rhs1229" localSheetId="0" hidden="1">binary</definedName>
    <definedName name="solver_rhs123" localSheetId="0" hidden="1">binary</definedName>
    <definedName name="solver_rhs1230" localSheetId="0" hidden="1">binary</definedName>
    <definedName name="solver_rhs1231" localSheetId="0" hidden="1">binary</definedName>
    <definedName name="solver_rhs1232" localSheetId="0" hidden="1">binary</definedName>
    <definedName name="solver_rhs1233" localSheetId="0" hidden="1">binary</definedName>
    <definedName name="solver_rhs1234" localSheetId="0" hidden="1">binary</definedName>
    <definedName name="solver_rhs1235" localSheetId="0" hidden="1">binary</definedName>
    <definedName name="solver_rhs1236" localSheetId="0" hidden="1">binary</definedName>
    <definedName name="solver_rhs1237" localSheetId="0" hidden="1">binary</definedName>
    <definedName name="solver_rhs1238" localSheetId="0" hidden="1">binary</definedName>
    <definedName name="solver_rhs1239" localSheetId="0" hidden="1">binary</definedName>
    <definedName name="solver_rhs124" localSheetId="0" hidden="1">binary</definedName>
    <definedName name="solver_rhs1240" localSheetId="0" hidden="1">binary</definedName>
    <definedName name="solver_rhs1241" localSheetId="0" hidden="1">binary</definedName>
    <definedName name="solver_rhs1242" localSheetId="0" hidden="1">binary</definedName>
    <definedName name="solver_rhs1243" localSheetId="0" hidden="1">binary</definedName>
    <definedName name="solver_rhs1244" localSheetId="0" hidden="1">binary</definedName>
    <definedName name="solver_rhs1245" localSheetId="0" hidden="1">binary</definedName>
    <definedName name="solver_rhs1246" localSheetId="0" hidden="1">binary</definedName>
    <definedName name="solver_rhs1247" localSheetId="0" hidden="1">binary</definedName>
    <definedName name="solver_rhs1248" localSheetId="0" hidden="1">binary</definedName>
    <definedName name="solver_rhs1249" localSheetId="0" hidden="1">binary</definedName>
    <definedName name="solver_rhs125" localSheetId="0" hidden="1">binary</definedName>
    <definedName name="solver_rhs1250" localSheetId="0" hidden="1">binary</definedName>
    <definedName name="solver_rhs1251" localSheetId="0" hidden="1">binary</definedName>
    <definedName name="solver_rhs1252" localSheetId="0" hidden="1">binary</definedName>
    <definedName name="solver_rhs1253" localSheetId="0" hidden="1">binary</definedName>
    <definedName name="solver_rhs1254" localSheetId="0" hidden="1">binary</definedName>
    <definedName name="solver_rhs1255" localSheetId="0" hidden="1">binary</definedName>
    <definedName name="solver_rhs1256" localSheetId="0" hidden="1">binary</definedName>
    <definedName name="solver_rhs1257" localSheetId="0" hidden="1">binary</definedName>
    <definedName name="solver_rhs1258" localSheetId="0" hidden="1">binary</definedName>
    <definedName name="solver_rhs1259" localSheetId="0" hidden="1">binary</definedName>
    <definedName name="solver_rhs126" localSheetId="0" hidden="1">binary</definedName>
    <definedName name="solver_rhs1260" localSheetId="0" hidden="1">binary</definedName>
    <definedName name="solver_rhs1261" localSheetId="0" hidden="1">binary</definedName>
    <definedName name="solver_rhs1262" localSheetId="0" hidden="1">binary</definedName>
    <definedName name="solver_rhs1263" localSheetId="0" hidden="1">binary</definedName>
    <definedName name="solver_rhs1264" localSheetId="0" hidden="1">binary</definedName>
    <definedName name="solver_rhs1265" localSheetId="0" hidden="1">binary</definedName>
    <definedName name="solver_rhs1266" localSheetId="0" hidden="1">binary</definedName>
    <definedName name="solver_rhs1267" localSheetId="0" hidden="1">binary</definedName>
    <definedName name="solver_rhs1268" localSheetId="0" hidden="1">binary</definedName>
    <definedName name="solver_rhs1269" localSheetId="0" hidden="1">binary</definedName>
    <definedName name="solver_rhs127" localSheetId="0" hidden="1">binary</definedName>
    <definedName name="solver_rhs1270" localSheetId="0" hidden="1">binary</definedName>
    <definedName name="solver_rhs1271" localSheetId="0" hidden="1">binary</definedName>
    <definedName name="solver_rhs1272" localSheetId="0" hidden="1">binary</definedName>
    <definedName name="solver_rhs1273" localSheetId="0" hidden="1">binary</definedName>
    <definedName name="solver_rhs1274" localSheetId="0" hidden="1">binary</definedName>
    <definedName name="solver_rhs1275" localSheetId="0" hidden="1">binary</definedName>
    <definedName name="solver_rhs1276" localSheetId="0" hidden="1">binary</definedName>
    <definedName name="solver_rhs1277" localSheetId="0" hidden="1">binary</definedName>
    <definedName name="solver_rhs1278" localSheetId="0" hidden="1">binary</definedName>
    <definedName name="solver_rhs1279" localSheetId="0" hidden="1">binary</definedName>
    <definedName name="solver_rhs128" localSheetId="0" hidden="1">binary</definedName>
    <definedName name="solver_rhs1280" localSheetId="0" hidden="1">binary</definedName>
    <definedName name="solver_rhs1281" localSheetId="0" hidden="1">binary</definedName>
    <definedName name="solver_rhs1282" localSheetId="0" hidden="1">binary</definedName>
    <definedName name="solver_rhs1283" localSheetId="0" hidden="1">binary</definedName>
    <definedName name="solver_rhs1284" localSheetId="0" hidden="1">binary</definedName>
    <definedName name="solver_rhs1285" localSheetId="0" hidden="1">binary</definedName>
    <definedName name="solver_rhs1286" localSheetId="0" hidden="1">binary</definedName>
    <definedName name="solver_rhs1287" localSheetId="0" hidden="1">binary</definedName>
    <definedName name="solver_rhs1288" localSheetId="0" hidden="1">binary</definedName>
    <definedName name="solver_rhs1289" localSheetId="0" hidden="1">binary</definedName>
    <definedName name="solver_rhs129" localSheetId="0" hidden="1">binary</definedName>
    <definedName name="solver_rhs1290" localSheetId="0" hidden="1">binary</definedName>
    <definedName name="solver_rhs1291" localSheetId="0" hidden="1">binary</definedName>
    <definedName name="solver_rhs1292" localSheetId="0" hidden="1">binary</definedName>
    <definedName name="solver_rhs1293" localSheetId="0" hidden="1">binary</definedName>
    <definedName name="solver_rhs1294" localSheetId="0" hidden="1">binary</definedName>
    <definedName name="solver_rhs1295" localSheetId="0" hidden="1">binary</definedName>
    <definedName name="solver_rhs1296" localSheetId="0" hidden="1">binary</definedName>
    <definedName name="solver_rhs1297" localSheetId="0" hidden="1">binary</definedName>
    <definedName name="solver_rhs1298" localSheetId="0" hidden="1">binary</definedName>
    <definedName name="solver_rhs1299" localSheetId="0" hidden="1">binary</definedName>
    <definedName name="solver_rhs13" localSheetId="0" hidden="1">binary</definedName>
    <definedName name="solver_rhs130" localSheetId="0" hidden="1">binary</definedName>
    <definedName name="solver_rhs1300" localSheetId="0" hidden="1">binary</definedName>
    <definedName name="solver_rhs1301" localSheetId="0" hidden="1">binary</definedName>
    <definedName name="solver_rhs1302" localSheetId="0" hidden="1">binary</definedName>
    <definedName name="solver_rhs1303" localSheetId="0" hidden="1">binary</definedName>
    <definedName name="solver_rhs1304" localSheetId="0" hidden="1">binary</definedName>
    <definedName name="solver_rhs1305" localSheetId="0" hidden="1">binary</definedName>
    <definedName name="solver_rhs1306" localSheetId="0" hidden="1">binary</definedName>
    <definedName name="solver_rhs1307" localSheetId="0" hidden="1">binary</definedName>
    <definedName name="solver_rhs1308" localSheetId="0" hidden="1">binary</definedName>
    <definedName name="solver_rhs1309" localSheetId="0" hidden="1">binary</definedName>
    <definedName name="solver_rhs131" localSheetId="0" hidden="1">binary</definedName>
    <definedName name="solver_rhs1310" localSheetId="0" hidden="1">binary</definedName>
    <definedName name="solver_rhs1311" localSheetId="0" hidden="1">binary</definedName>
    <definedName name="solver_rhs1312" localSheetId="0" hidden="1">binary</definedName>
    <definedName name="solver_rhs1313" localSheetId="0" hidden="1">binary</definedName>
    <definedName name="solver_rhs1314" localSheetId="0" hidden="1">binary</definedName>
    <definedName name="solver_rhs1315" localSheetId="0" hidden="1">binary</definedName>
    <definedName name="solver_rhs1316" localSheetId="0" hidden="1">binary</definedName>
    <definedName name="solver_rhs1317" localSheetId="0" hidden="1">binary</definedName>
    <definedName name="solver_rhs1318" localSheetId="0" hidden="1">binary</definedName>
    <definedName name="solver_rhs1319" localSheetId="0" hidden="1">binary</definedName>
    <definedName name="solver_rhs132" localSheetId="0" hidden="1">binary</definedName>
    <definedName name="solver_rhs1320" localSheetId="0" hidden="1">binary</definedName>
    <definedName name="solver_rhs1321" localSheetId="0" hidden="1">binary</definedName>
    <definedName name="solver_rhs1322" localSheetId="0" hidden="1">binary</definedName>
    <definedName name="solver_rhs1323" localSheetId="0" hidden="1">binary</definedName>
    <definedName name="solver_rhs1324" localSheetId="0" hidden="1">binary</definedName>
    <definedName name="solver_rhs1325" localSheetId="0" hidden="1">binary</definedName>
    <definedName name="solver_rhs1326" localSheetId="0" hidden="1">binary</definedName>
    <definedName name="solver_rhs1327" localSheetId="0" hidden="1">binary</definedName>
    <definedName name="solver_rhs1328" localSheetId="0" hidden="1">binary</definedName>
    <definedName name="solver_rhs1329" localSheetId="0" hidden="1">binary</definedName>
    <definedName name="solver_rhs133" localSheetId="0" hidden="1">binary</definedName>
    <definedName name="solver_rhs1330" localSheetId="0" hidden="1">binary</definedName>
    <definedName name="solver_rhs1331" localSheetId="0" hidden="1">binary</definedName>
    <definedName name="solver_rhs1332" localSheetId="0" hidden="1">binary</definedName>
    <definedName name="solver_rhs1333" localSheetId="0" hidden="1">binary</definedName>
    <definedName name="solver_rhs1334" localSheetId="0" hidden="1">binary</definedName>
    <definedName name="solver_rhs1335" localSheetId="0" hidden="1">binary</definedName>
    <definedName name="solver_rhs1336" localSheetId="0" hidden="1">binary</definedName>
    <definedName name="solver_rhs1337" localSheetId="0" hidden="1">binary</definedName>
    <definedName name="solver_rhs1338" localSheetId="0" hidden="1">binary</definedName>
    <definedName name="solver_rhs1339" localSheetId="0" hidden="1">binary</definedName>
    <definedName name="solver_rhs134" localSheetId="0" hidden="1">binary</definedName>
    <definedName name="solver_rhs1340" localSheetId="0" hidden="1">binary</definedName>
    <definedName name="solver_rhs1341" localSheetId="0" hidden="1">binary</definedName>
    <definedName name="solver_rhs1342" localSheetId="0" hidden="1">binary</definedName>
    <definedName name="solver_rhs1343" localSheetId="0" hidden="1">binary</definedName>
    <definedName name="solver_rhs1344" localSheetId="0" hidden="1">binary</definedName>
    <definedName name="solver_rhs1345" localSheetId="0" hidden="1">binary</definedName>
    <definedName name="solver_rhs1346" localSheetId="0" hidden="1">binary</definedName>
    <definedName name="solver_rhs1347" localSheetId="0" hidden="1">binary</definedName>
    <definedName name="solver_rhs1348" localSheetId="0" hidden="1">binary</definedName>
    <definedName name="solver_rhs1349" localSheetId="0" hidden="1">binary</definedName>
    <definedName name="solver_rhs135" localSheetId="0" hidden="1">binary</definedName>
    <definedName name="solver_rhs1350" localSheetId="0" hidden="1">binary</definedName>
    <definedName name="solver_rhs1351" localSheetId="0" hidden="1">binary</definedName>
    <definedName name="solver_rhs1352" localSheetId="0" hidden="1">binary</definedName>
    <definedName name="solver_rhs1353" localSheetId="0" hidden="1">binary</definedName>
    <definedName name="solver_rhs1354" localSheetId="0" hidden="1">binary</definedName>
    <definedName name="solver_rhs1355" localSheetId="0" hidden="1">binary</definedName>
    <definedName name="solver_rhs1356" localSheetId="0" hidden="1">binary</definedName>
    <definedName name="solver_rhs1357" localSheetId="0" hidden="1">binary</definedName>
    <definedName name="solver_rhs1358" localSheetId="0" hidden="1">binary</definedName>
    <definedName name="solver_rhs1359" localSheetId="0" hidden="1">binary</definedName>
    <definedName name="solver_rhs136" localSheetId="0" hidden="1">binary</definedName>
    <definedName name="solver_rhs1360" localSheetId="0" hidden="1">binary</definedName>
    <definedName name="solver_rhs1361" localSheetId="0" hidden="1">binary</definedName>
    <definedName name="solver_rhs1362" localSheetId="0" hidden="1">binary</definedName>
    <definedName name="solver_rhs1363" localSheetId="0" hidden="1">binary</definedName>
    <definedName name="solver_rhs1364" localSheetId="0" hidden="1">binary</definedName>
    <definedName name="solver_rhs1365" localSheetId="0" hidden="1">binary</definedName>
    <definedName name="solver_rhs1366" localSheetId="0" hidden="1">binary</definedName>
    <definedName name="solver_rhs1367" localSheetId="0" hidden="1">binary</definedName>
    <definedName name="solver_rhs1368" localSheetId="0" hidden="1">binary</definedName>
    <definedName name="solver_rhs1369" localSheetId="0" hidden="1">binary</definedName>
    <definedName name="solver_rhs137" localSheetId="0" hidden="1">binary</definedName>
    <definedName name="solver_rhs1370" localSheetId="0" hidden="1">binary</definedName>
    <definedName name="solver_rhs1371" localSheetId="0" hidden="1">binary</definedName>
    <definedName name="solver_rhs1372" localSheetId="0" hidden="1">binary</definedName>
    <definedName name="solver_rhs1373" localSheetId="0" hidden="1">binary</definedName>
    <definedName name="solver_rhs1374" localSheetId="0" hidden="1">binary</definedName>
    <definedName name="solver_rhs1375" localSheetId="0" hidden="1">binary</definedName>
    <definedName name="solver_rhs1376" localSheetId="0" hidden="1">binary</definedName>
    <definedName name="solver_rhs1377" localSheetId="0" hidden="1">binary</definedName>
    <definedName name="solver_rhs1378" localSheetId="0" hidden="1">binary</definedName>
    <definedName name="solver_rhs1379" localSheetId="0" hidden="1">binary</definedName>
    <definedName name="solver_rhs138" localSheetId="0" hidden="1">binary</definedName>
    <definedName name="solver_rhs1380" localSheetId="0" hidden="1">binary</definedName>
    <definedName name="solver_rhs1381" localSheetId="0" hidden="1">binary</definedName>
    <definedName name="solver_rhs1382" localSheetId="0" hidden="1">binary</definedName>
    <definedName name="solver_rhs1383" localSheetId="0" hidden="1">binary</definedName>
    <definedName name="solver_rhs1384" localSheetId="0" hidden="1">binary</definedName>
    <definedName name="solver_rhs1385" localSheetId="0" hidden="1">binary</definedName>
    <definedName name="solver_rhs1386" localSheetId="0" hidden="1">binary</definedName>
    <definedName name="solver_rhs1387" localSheetId="0" hidden="1">binary</definedName>
    <definedName name="solver_rhs1388" localSheetId="0" hidden="1">binary</definedName>
    <definedName name="solver_rhs1389" localSheetId="0" hidden="1">binary</definedName>
    <definedName name="solver_rhs139" localSheetId="0" hidden="1">binary</definedName>
    <definedName name="solver_rhs1390" localSheetId="0" hidden="1">binary</definedName>
    <definedName name="solver_rhs1391" localSheetId="0" hidden="1">binary</definedName>
    <definedName name="solver_rhs1392" localSheetId="0" hidden="1">binary</definedName>
    <definedName name="solver_rhs1393" localSheetId="0" hidden="1">binary</definedName>
    <definedName name="solver_rhs1394" localSheetId="0" hidden="1">binary</definedName>
    <definedName name="solver_rhs1395" localSheetId="0" hidden="1">binary</definedName>
    <definedName name="solver_rhs1396" localSheetId="0" hidden="1">binary</definedName>
    <definedName name="solver_rhs1397" localSheetId="0" hidden="1">binary</definedName>
    <definedName name="solver_rhs1398" localSheetId="0" hidden="1">binary</definedName>
    <definedName name="solver_rhs1399" localSheetId="0" hidden="1">binary</definedName>
    <definedName name="solver_rhs14" localSheetId="0" hidden="1">binary</definedName>
    <definedName name="solver_rhs140" localSheetId="0" hidden="1">binary</definedName>
    <definedName name="solver_rhs1400" localSheetId="0" hidden="1">binary</definedName>
    <definedName name="solver_rhs1401" localSheetId="0" hidden="1">binary</definedName>
    <definedName name="solver_rhs1402" localSheetId="0" hidden="1">binary</definedName>
    <definedName name="solver_rhs1403" localSheetId="0" hidden="1">binary</definedName>
    <definedName name="solver_rhs1404" localSheetId="0" hidden="1">binary</definedName>
    <definedName name="solver_rhs1405" localSheetId="0" hidden="1">binary</definedName>
    <definedName name="solver_rhs1406" localSheetId="0" hidden="1">binary</definedName>
    <definedName name="solver_rhs1407" localSheetId="0" hidden="1">binary</definedName>
    <definedName name="solver_rhs1408" localSheetId="0" hidden="1">binary</definedName>
    <definedName name="solver_rhs1409" localSheetId="0" hidden="1">binary</definedName>
    <definedName name="solver_rhs141" localSheetId="0" hidden="1">binary</definedName>
    <definedName name="solver_rhs1410" localSheetId="0" hidden="1">binary</definedName>
    <definedName name="solver_rhs1411" localSheetId="0" hidden="1">binary</definedName>
    <definedName name="solver_rhs1412" localSheetId="0" hidden="1">binary</definedName>
    <definedName name="solver_rhs1413" localSheetId="0" hidden="1">binary</definedName>
    <definedName name="solver_rhs1414" localSheetId="0" hidden="1">binary</definedName>
    <definedName name="solver_rhs1415" localSheetId="0" hidden="1">binary</definedName>
    <definedName name="solver_rhs1416" localSheetId="0" hidden="1">binary</definedName>
    <definedName name="solver_rhs1417" localSheetId="0" hidden="1">binary</definedName>
    <definedName name="solver_rhs1418" localSheetId="0" hidden="1">binary</definedName>
    <definedName name="solver_rhs1419" localSheetId="0" hidden="1">binary</definedName>
    <definedName name="solver_rhs142" localSheetId="0" hidden="1">binary</definedName>
    <definedName name="solver_rhs1420" localSheetId="0" hidden="1">binary</definedName>
    <definedName name="solver_rhs1421" localSheetId="0" hidden="1">binary</definedName>
    <definedName name="solver_rhs1422" localSheetId="0" hidden="1">binary</definedName>
    <definedName name="solver_rhs1423" localSheetId="0" hidden="1">binary</definedName>
    <definedName name="solver_rhs1424" localSheetId="0" hidden="1">binary</definedName>
    <definedName name="solver_rhs1425" localSheetId="0" hidden="1">binary</definedName>
    <definedName name="solver_rhs1426" localSheetId="0" hidden="1">binary</definedName>
    <definedName name="solver_rhs1427" localSheetId="0" hidden="1">binary</definedName>
    <definedName name="solver_rhs1428" localSheetId="0" hidden="1">binary</definedName>
    <definedName name="solver_rhs1429" localSheetId="0" hidden="1">binary</definedName>
    <definedName name="solver_rhs143" localSheetId="0" hidden="1">binary</definedName>
    <definedName name="solver_rhs1430" localSheetId="0" hidden="1">binary</definedName>
    <definedName name="solver_rhs1431" localSheetId="0" hidden="1">binary</definedName>
    <definedName name="solver_rhs1432" localSheetId="0" hidden="1">binary</definedName>
    <definedName name="solver_rhs1433" localSheetId="0" hidden="1">binary</definedName>
    <definedName name="solver_rhs1434" localSheetId="0" hidden="1">binary</definedName>
    <definedName name="solver_rhs1435" localSheetId="0" hidden="1">binary</definedName>
    <definedName name="solver_rhs1436" localSheetId="0" hidden="1">binary</definedName>
    <definedName name="solver_rhs1437" localSheetId="0" hidden="1">binary</definedName>
    <definedName name="solver_rhs1438" localSheetId="0" hidden="1">binary</definedName>
    <definedName name="solver_rhs1439" localSheetId="0" hidden="1">binary</definedName>
    <definedName name="solver_rhs144" localSheetId="0" hidden="1">binary</definedName>
    <definedName name="solver_rhs1440" localSheetId="0" hidden="1">binary</definedName>
    <definedName name="solver_rhs1441" localSheetId="0" hidden="1">binary</definedName>
    <definedName name="solver_rhs1442" localSheetId="0" hidden="1">binary</definedName>
    <definedName name="solver_rhs1443" localSheetId="0" hidden="1">binary</definedName>
    <definedName name="solver_rhs1444" localSheetId="0" hidden="1">binary</definedName>
    <definedName name="solver_rhs1445" localSheetId="0" hidden="1">binary</definedName>
    <definedName name="solver_rhs1446" localSheetId="0" hidden="1">binary</definedName>
    <definedName name="solver_rhs1447" localSheetId="0" hidden="1">binary</definedName>
    <definedName name="solver_rhs1448" localSheetId="0" hidden="1">binary</definedName>
    <definedName name="solver_rhs1449" localSheetId="0" hidden="1">binary</definedName>
    <definedName name="solver_rhs145" localSheetId="0" hidden="1">binary</definedName>
    <definedName name="solver_rhs1450" localSheetId="0" hidden="1">binary</definedName>
    <definedName name="solver_rhs1451" localSheetId="0" hidden="1">binary</definedName>
    <definedName name="solver_rhs1452" localSheetId="0" hidden="1">binary</definedName>
    <definedName name="solver_rhs1453" localSheetId="0" hidden="1">binary</definedName>
    <definedName name="solver_rhs1454" localSheetId="0" hidden="1">binary</definedName>
    <definedName name="solver_rhs1455" localSheetId="0" hidden="1">binary</definedName>
    <definedName name="solver_rhs1456" localSheetId="0" hidden="1">binary</definedName>
    <definedName name="solver_rhs1457" localSheetId="0" hidden="1">binary</definedName>
    <definedName name="solver_rhs1458" localSheetId="0" hidden="1">binary</definedName>
    <definedName name="solver_rhs1459" localSheetId="0" hidden="1">binary</definedName>
    <definedName name="solver_rhs146" localSheetId="0" hidden="1">binary</definedName>
    <definedName name="solver_rhs1460" localSheetId="0" hidden="1">binary</definedName>
    <definedName name="solver_rhs1461" localSheetId="0" hidden="1">binary</definedName>
    <definedName name="solver_rhs1462" localSheetId="0" hidden="1">binary</definedName>
    <definedName name="solver_rhs1463" localSheetId="0" hidden="1">binary</definedName>
    <definedName name="solver_rhs1464" localSheetId="0" hidden="1">binary</definedName>
    <definedName name="solver_rhs1465" localSheetId="0" hidden="1">binary</definedName>
    <definedName name="solver_rhs1466" localSheetId="0" hidden="1">binary</definedName>
    <definedName name="solver_rhs1467" localSheetId="0" hidden="1">binary</definedName>
    <definedName name="solver_rhs1468" localSheetId="0" hidden="1">binary</definedName>
    <definedName name="solver_rhs1469" localSheetId="0" hidden="1">binary</definedName>
    <definedName name="solver_rhs147" localSheetId="0" hidden="1">binary</definedName>
    <definedName name="solver_rhs1470" localSheetId="0" hidden="1">binary</definedName>
    <definedName name="solver_rhs1471" localSheetId="0" hidden="1">binary</definedName>
    <definedName name="solver_rhs1472" localSheetId="0" hidden="1">binary</definedName>
    <definedName name="solver_rhs1473" localSheetId="0" hidden="1">binary</definedName>
    <definedName name="solver_rhs1474" localSheetId="0" hidden="1">binary</definedName>
    <definedName name="solver_rhs1475" localSheetId="0" hidden="1">binary</definedName>
    <definedName name="solver_rhs1476" localSheetId="0" hidden="1">binary</definedName>
    <definedName name="solver_rhs1477" localSheetId="0" hidden="1">binary</definedName>
    <definedName name="solver_rhs1478" localSheetId="0" hidden="1">binary</definedName>
    <definedName name="solver_rhs1479" localSheetId="0" hidden="1">binary</definedName>
    <definedName name="solver_rhs148" localSheetId="0" hidden="1">binary</definedName>
    <definedName name="solver_rhs1480" localSheetId="0" hidden="1">binary</definedName>
    <definedName name="solver_rhs1481" localSheetId="0" hidden="1">binary</definedName>
    <definedName name="solver_rhs1482" localSheetId="0" hidden="1">binary</definedName>
    <definedName name="solver_rhs1483" localSheetId="0" hidden="1">binary</definedName>
    <definedName name="solver_rhs1484" localSheetId="0" hidden="1">binary</definedName>
    <definedName name="solver_rhs1485" localSheetId="0" hidden="1">binary</definedName>
    <definedName name="solver_rhs1486" localSheetId="0" hidden="1">binary</definedName>
    <definedName name="solver_rhs1487" localSheetId="0" hidden="1">binary</definedName>
    <definedName name="solver_rhs1488" localSheetId="0" hidden="1">binary</definedName>
    <definedName name="solver_rhs1489" localSheetId="0" hidden="1">binary</definedName>
    <definedName name="solver_rhs149" localSheetId="0" hidden="1">binary</definedName>
    <definedName name="solver_rhs1490" localSheetId="0" hidden="1">binary</definedName>
    <definedName name="solver_rhs1491" localSheetId="0" hidden="1">binary</definedName>
    <definedName name="solver_rhs1492" localSheetId="0" hidden="1">binary</definedName>
    <definedName name="solver_rhs1493" localSheetId="0" hidden="1">binary</definedName>
    <definedName name="solver_rhs1494" localSheetId="0" hidden="1">binary</definedName>
    <definedName name="solver_rhs1495" localSheetId="0" hidden="1">binary</definedName>
    <definedName name="solver_rhs1496" localSheetId="0" hidden="1">binary</definedName>
    <definedName name="solver_rhs1497" localSheetId="0" hidden="1">binary</definedName>
    <definedName name="solver_rhs1498" localSheetId="0" hidden="1">binary</definedName>
    <definedName name="solver_rhs1499" localSheetId="0" hidden="1">binary</definedName>
    <definedName name="solver_rhs15" localSheetId="0" hidden="1">binary</definedName>
    <definedName name="solver_rhs150" localSheetId="0" hidden="1">binary</definedName>
    <definedName name="solver_rhs1500" localSheetId="0" hidden="1">binary</definedName>
    <definedName name="solver_rhs1501" localSheetId="0" hidden="1">binary</definedName>
    <definedName name="solver_rhs1502" localSheetId="0" hidden="1">binary</definedName>
    <definedName name="solver_rhs1503" localSheetId="0" hidden="1">binary</definedName>
    <definedName name="solver_rhs1504" localSheetId="0" hidden="1">binary</definedName>
    <definedName name="solver_rhs1505" localSheetId="0" hidden="1">binary</definedName>
    <definedName name="solver_rhs1506" localSheetId="0" hidden="1">binary</definedName>
    <definedName name="solver_rhs1507" localSheetId="0" hidden="1">binary</definedName>
    <definedName name="solver_rhs1508" localSheetId="0" hidden="1">binary</definedName>
    <definedName name="solver_rhs1509" localSheetId="0" hidden="1">binary</definedName>
    <definedName name="solver_rhs151" localSheetId="0" hidden="1">binary</definedName>
    <definedName name="solver_rhs1510" localSheetId="0" hidden="1">binary</definedName>
    <definedName name="solver_rhs1511" localSheetId="0" hidden="1">binary</definedName>
    <definedName name="solver_rhs1512" localSheetId="0" hidden="1">binary</definedName>
    <definedName name="solver_rhs1513" localSheetId="0" hidden="1">binary</definedName>
    <definedName name="solver_rhs1514" localSheetId="0" hidden="1">binary</definedName>
    <definedName name="solver_rhs1515" localSheetId="0" hidden="1">binary</definedName>
    <definedName name="solver_rhs1516" localSheetId="0" hidden="1">binary</definedName>
    <definedName name="solver_rhs1517" localSheetId="0" hidden="1">binary</definedName>
    <definedName name="solver_rhs1518" localSheetId="0" hidden="1">binary</definedName>
    <definedName name="solver_rhs1519" localSheetId="0" hidden="1">binary</definedName>
    <definedName name="solver_rhs152" localSheetId="0" hidden="1">binary</definedName>
    <definedName name="solver_rhs1520" localSheetId="0" hidden="1">binary</definedName>
    <definedName name="solver_rhs1521" localSheetId="0" hidden="1">binary</definedName>
    <definedName name="solver_rhs1522" localSheetId="0" hidden="1">binary</definedName>
    <definedName name="solver_rhs1523" localSheetId="0" hidden="1">binary</definedName>
    <definedName name="solver_rhs1524" localSheetId="0" hidden="1">binary</definedName>
    <definedName name="solver_rhs1525" localSheetId="0" hidden="1">binary</definedName>
    <definedName name="solver_rhs1526" localSheetId="0" hidden="1">binary</definedName>
    <definedName name="solver_rhs1527" localSheetId="0" hidden="1">binary</definedName>
    <definedName name="solver_rhs1528" localSheetId="0" hidden="1">binary</definedName>
    <definedName name="solver_rhs1529" localSheetId="0" hidden="1">binary</definedName>
    <definedName name="solver_rhs153" localSheetId="0" hidden="1">binary</definedName>
    <definedName name="solver_rhs1530" localSheetId="0" hidden="1">binary</definedName>
    <definedName name="solver_rhs1531" localSheetId="0" hidden="1">binary</definedName>
    <definedName name="solver_rhs1532" localSheetId="0" hidden="1">binary</definedName>
    <definedName name="solver_rhs1533" localSheetId="0" hidden="1">binary</definedName>
    <definedName name="solver_rhs1534" localSheetId="0" hidden="1">binary</definedName>
    <definedName name="solver_rhs1535" localSheetId="0" hidden="1">binary</definedName>
    <definedName name="solver_rhs1536" localSheetId="0" hidden="1">binary</definedName>
    <definedName name="solver_rhs1537" localSheetId="0" hidden="1">binary</definedName>
    <definedName name="solver_rhs1538" localSheetId="0" hidden="1">binary</definedName>
    <definedName name="solver_rhs1539" localSheetId="0" hidden="1">binary</definedName>
    <definedName name="solver_rhs154" localSheetId="0" hidden="1">binary</definedName>
    <definedName name="solver_rhs1540" localSheetId="0" hidden="1">binary</definedName>
    <definedName name="solver_rhs1541" localSheetId="0" hidden="1">binary</definedName>
    <definedName name="solver_rhs1542" localSheetId="0" hidden="1">binary</definedName>
    <definedName name="solver_rhs1543" localSheetId="0" hidden="1">binary</definedName>
    <definedName name="solver_rhs1544" localSheetId="0" hidden="1">binary</definedName>
    <definedName name="solver_rhs1545" localSheetId="0" hidden="1">binary</definedName>
    <definedName name="solver_rhs1546" localSheetId="0" hidden="1">binary</definedName>
    <definedName name="solver_rhs1547" localSheetId="0" hidden="1">binary</definedName>
    <definedName name="solver_rhs1548" localSheetId="0" hidden="1">binary</definedName>
    <definedName name="solver_rhs1549" localSheetId="0" hidden="1">binary</definedName>
    <definedName name="solver_rhs155" localSheetId="0" hidden="1">binary</definedName>
    <definedName name="solver_rhs1550" localSheetId="0" hidden="1">binary</definedName>
    <definedName name="solver_rhs1551" localSheetId="0" hidden="1">binary</definedName>
    <definedName name="solver_rhs1552" localSheetId="0" hidden="1">binary</definedName>
    <definedName name="solver_rhs1553" localSheetId="0" hidden="1">binary</definedName>
    <definedName name="solver_rhs1554" localSheetId="0" hidden="1">binary</definedName>
    <definedName name="solver_rhs1555" localSheetId="0" hidden="1">binary</definedName>
    <definedName name="solver_rhs1556" localSheetId="0" hidden="1">binary</definedName>
    <definedName name="solver_rhs1557" localSheetId="0" hidden="1">binary</definedName>
    <definedName name="solver_rhs1558" localSheetId="0" hidden="1">binary</definedName>
    <definedName name="solver_rhs1559" localSheetId="0" hidden="1">binary</definedName>
    <definedName name="solver_rhs156" localSheetId="0" hidden="1">binary</definedName>
    <definedName name="solver_rhs1560" localSheetId="0" hidden="1">binary</definedName>
    <definedName name="solver_rhs1561" localSheetId="0" hidden="1">binary</definedName>
    <definedName name="solver_rhs1562" localSheetId="0" hidden="1">binary</definedName>
    <definedName name="solver_rhs1563" localSheetId="0" hidden="1">binary</definedName>
    <definedName name="solver_rhs1564" localSheetId="0" hidden="1">binary</definedName>
    <definedName name="solver_rhs1565" localSheetId="0" hidden="1">binary</definedName>
    <definedName name="solver_rhs1566" localSheetId="0" hidden="1">binary</definedName>
    <definedName name="solver_rhs1567" localSheetId="0" hidden="1">binary</definedName>
    <definedName name="solver_rhs1568" localSheetId="0" hidden="1">binary</definedName>
    <definedName name="solver_rhs1569" localSheetId="0" hidden="1">binary</definedName>
    <definedName name="solver_rhs157" localSheetId="0" hidden="1">binary</definedName>
    <definedName name="solver_rhs1570" localSheetId="0" hidden="1">binary</definedName>
    <definedName name="solver_rhs1571" localSheetId="0" hidden="1">binary</definedName>
    <definedName name="solver_rhs1572" localSheetId="0" hidden="1">binary</definedName>
    <definedName name="solver_rhs1573" localSheetId="0" hidden="1">binary</definedName>
    <definedName name="solver_rhs1574" localSheetId="0" hidden="1">binary</definedName>
    <definedName name="solver_rhs1575" localSheetId="0" hidden="1">binary</definedName>
    <definedName name="solver_rhs1576" localSheetId="0" hidden="1">binary</definedName>
    <definedName name="solver_rhs1577" localSheetId="0" hidden="1">binary</definedName>
    <definedName name="solver_rhs1578" localSheetId="0" hidden="1">binary</definedName>
    <definedName name="solver_rhs1579" localSheetId="0" hidden="1">binary</definedName>
    <definedName name="solver_rhs158" localSheetId="0" hidden="1">binary</definedName>
    <definedName name="solver_rhs1580" localSheetId="0" hidden="1">binary</definedName>
    <definedName name="solver_rhs1581" localSheetId="0" hidden="1">binary</definedName>
    <definedName name="solver_rhs1582" localSheetId="0" hidden="1">binary</definedName>
    <definedName name="solver_rhs1583" localSheetId="0" hidden="1">binary</definedName>
    <definedName name="solver_rhs1584" localSheetId="0" hidden="1">binary</definedName>
    <definedName name="solver_rhs1585" localSheetId="0" hidden="1">binary</definedName>
    <definedName name="solver_rhs1586" localSheetId="0" hidden="1">binary</definedName>
    <definedName name="solver_rhs1587" localSheetId="0" hidden="1">binary</definedName>
    <definedName name="solver_rhs1588" localSheetId="0" hidden="1">binary</definedName>
    <definedName name="solver_rhs1589" localSheetId="0" hidden="1">binary</definedName>
    <definedName name="solver_rhs159" localSheetId="0" hidden="1">binary</definedName>
    <definedName name="solver_rhs1590" localSheetId="0" hidden="1">binary</definedName>
    <definedName name="solver_rhs1591" localSheetId="0" hidden="1">binary</definedName>
    <definedName name="solver_rhs1592" localSheetId="0" hidden="1">binary</definedName>
    <definedName name="solver_rhs1593" localSheetId="0" hidden="1">binary</definedName>
    <definedName name="solver_rhs1594" localSheetId="0" hidden="1">binary</definedName>
    <definedName name="solver_rhs1595" localSheetId="0" hidden="1">binary</definedName>
    <definedName name="solver_rhs1596" localSheetId="0" hidden="1">binary</definedName>
    <definedName name="solver_rhs1597" localSheetId="0" hidden="1">binary</definedName>
    <definedName name="solver_rhs1598" localSheetId="0" hidden="1">binary</definedName>
    <definedName name="solver_rhs1599" localSheetId="0" hidden="1">binary</definedName>
    <definedName name="solver_rhs16" localSheetId="0" hidden="1">binary</definedName>
    <definedName name="solver_rhs160" localSheetId="0" hidden="1">binary</definedName>
    <definedName name="solver_rhs1600" localSheetId="0" hidden="1">binary</definedName>
    <definedName name="solver_rhs1601" localSheetId="0" hidden="1">binary</definedName>
    <definedName name="solver_rhs1602" localSheetId="0" hidden="1">binary</definedName>
    <definedName name="solver_rhs1603" localSheetId="0" hidden="1">binary</definedName>
    <definedName name="solver_rhs1604" localSheetId="0" hidden="1">binary</definedName>
    <definedName name="solver_rhs1605" localSheetId="0" hidden="1">binary</definedName>
    <definedName name="solver_rhs1606" localSheetId="0" hidden="1">binary</definedName>
    <definedName name="solver_rhs1607" localSheetId="0" hidden="1">binary</definedName>
    <definedName name="solver_rhs1608" localSheetId="0" hidden="1">binary</definedName>
    <definedName name="solver_rhs1609" localSheetId="0" hidden="1">binary</definedName>
    <definedName name="solver_rhs161" localSheetId="0" hidden="1">binary</definedName>
    <definedName name="solver_rhs1610" localSheetId="0" hidden="1">binary</definedName>
    <definedName name="solver_rhs1611" localSheetId="0" hidden="1">binary</definedName>
    <definedName name="solver_rhs1612" localSheetId="0" hidden="1">binary</definedName>
    <definedName name="solver_rhs1613" localSheetId="0" hidden="1">binary</definedName>
    <definedName name="solver_rhs1614" localSheetId="0" hidden="1">binary</definedName>
    <definedName name="solver_rhs1615" localSheetId="0" hidden="1">binary</definedName>
    <definedName name="solver_rhs1616" localSheetId="0" hidden="1">binary</definedName>
    <definedName name="solver_rhs1617" localSheetId="0" hidden="1">binary</definedName>
    <definedName name="solver_rhs1618" localSheetId="0" hidden="1">binary</definedName>
    <definedName name="solver_rhs1619" localSheetId="0" hidden="1">binary</definedName>
    <definedName name="solver_rhs162" localSheetId="0" hidden="1">binary</definedName>
    <definedName name="solver_rhs1620" localSheetId="0" hidden="1">binary</definedName>
    <definedName name="solver_rhs1621" localSheetId="0" hidden="1">binary</definedName>
    <definedName name="solver_rhs1622" localSheetId="0" hidden="1">binary</definedName>
    <definedName name="solver_rhs1623" localSheetId="0" hidden="1">binary</definedName>
    <definedName name="solver_rhs1624" localSheetId="0" hidden="1">binary</definedName>
    <definedName name="solver_rhs1625" localSheetId="0" hidden="1">binary</definedName>
    <definedName name="solver_rhs1626" localSheetId="0" hidden="1">binary</definedName>
    <definedName name="solver_rhs1627" localSheetId="0" hidden="1">binary</definedName>
    <definedName name="solver_rhs1628" localSheetId="0" hidden="1">binary</definedName>
    <definedName name="solver_rhs1629" localSheetId="0" hidden="1">binary</definedName>
    <definedName name="solver_rhs163" localSheetId="0" hidden="1">binary</definedName>
    <definedName name="solver_rhs1630" localSheetId="0" hidden="1">binary</definedName>
    <definedName name="solver_rhs1631" localSheetId="0" hidden="1">binary</definedName>
    <definedName name="solver_rhs1632" localSheetId="0" hidden="1">binary</definedName>
    <definedName name="solver_rhs1633" localSheetId="0" hidden="1">binary</definedName>
    <definedName name="solver_rhs1634" localSheetId="0" hidden="1">binary</definedName>
    <definedName name="solver_rhs1635" localSheetId="0" hidden="1">binary</definedName>
    <definedName name="solver_rhs1636" localSheetId="0" hidden="1">binary</definedName>
    <definedName name="solver_rhs1637" localSheetId="0" hidden="1">binary</definedName>
    <definedName name="solver_rhs1638" localSheetId="0" hidden="1">binary</definedName>
    <definedName name="solver_rhs1639" localSheetId="0" hidden="1">binary</definedName>
    <definedName name="solver_rhs164" localSheetId="0" hidden="1">binary</definedName>
    <definedName name="solver_rhs1640" localSheetId="0" hidden="1">binary</definedName>
    <definedName name="solver_rhs1641" localSheetId="0" hidden="1">binary</definedName>
    <definedName name="solver_rhs1642" localSheetId="0" hidden="1">binary</definedName>
    <definedName name="solver_rhs1643" localSheetId="0" hidden="1">binary</definedName>
    <definedName name="solver_rhs1644" localSheetId="0" hidden="1">binary</definedName>
    <definedName name="solver_rhs1645" localSheetId="0" hidden="1">binary</definedName>
    <definedName name="solver_rhs1646" localSheetId="0" hidden="1">binary</definedName>
    <definedName name="solver_rhs1647" localSheetId="0" hidden="1">binary</definedName>
    <definedName name="solver_rhs1648" localSheetId="0" hidden="1">binary</definedName>
    <definedName name="solver_rhs1649" localSheetId="0" hidden="1">binary</definedName>
    <definedName name="solver_rhs165" localSheetId="0" hidden="1">binary</definedName>
    <definedName name="solver_rhs1650" localSheetId="0" hidden="1">binary</definedName>
    <definedName name="solver_rhs1651" localSheetId="0" hidden="1">binary</definedName>
    <definedName name="solver_rhs1652" localSheetId="0" hidden="1">binary</definedName>
    <definedName name="solver_rhs1653" localSheetId="0" hidden="1">binary</definedName>
    <definedName name="solver_rhs1654" localSheetId="0" hidden="1">binary</definedName>
    <definedName name="solver_rhs1655" localSheetId="0" hidden="1">binary</definedName>
    <definedName name="solver_rhs1656" localSheetId="0" hidden="1">binary</definedName>
    <definedName name="solver_rhs1657" localSheetId="0" hidden="1">binary</definedName>
    <definedName name="solver_rhs1658" localSheetId="0" hidden="1">binary</definedName>
    <definedName name="solver_rhs1659" localSheetId="0" hidden="1">binary</definedName>
    <definedName name="solver_rhs166" localSheetId="0" hidden="1">binary</definedName>
    <definedName name="solver_rhs1660" localSheetId="0" hidden="1">binary</definedName>
    <definedName name="solver_rhs1661" localSheetId="0" hidden="1">binary</definedName>
    <definedName name="solver_rhs1662" localSheetId="0" hidden="1">binary</definedName>
    <definedName name="solver_rhs1663" localSheetId="0" hidden="1">binary</definedName>
    <definedName name="solver_rhs1664" localSheetId="0" hidden="1">binary</definedName>
    <definedName name="solver_rhs1665" localSheetId="0" hidden="1">binary</definedName>
    <definedName name="solver_rhs1666" localSheetId="0" hidden="1">binary</definedName>
    <definedName name="solver_rhs1667" localSheetId="0" hidden="1">binary</definedName>
    <definedName name="solver_rhs1668" localSheetId="0" hidden="1">binary</definedName>
    <definedName name="solver_rhs1669" localSheetId="0" hidden="1">binary</definedName>
    <definedName name="solver_rhs167" localSheetId="0" hidden="1">binary</definedName>
    <definedName name="solver_rhs1670" localSheetId="0" hidden="1">binary</definedName>
    <definedName name="solver_rhs1671" localSheetId="0" hidden="1">binary</definedName>
    <definedName name="solver_rhs1672" localSheetId="0" hidden="1">binary</definedName>
    <definedName name="solver_rhs1673" localSheetId="0" hidden="1">binary</definedName>
    <definedName name="solver_rhs1674" localSheetId="0" hidden="1">binary</definedName>
    <definedName name="solver_rhs1675" localSheetId="0" hidden="1">binary</definedName>
    <definedName name="solver_rhs1676" localSheetId="0" hidden="1">binary</definedName>
    <definedName name="solver_rhs1677" localSheetId="0" hidden="1">binary</definedName>
    <definedName name="solver_rhs1678" localSheetId="0" hidden="1">binary</definedName>
    <definedName name="solver_rhs1679" localSheetId="0" hidden="1">binary</definedName>
    <definedName name="solver_rhs168" localSheetId="0" hidden="1">binary</definedName>
    <definedName name="solver_rhs1680" localSheetId="0" hidden="1">binary</definedName>
    <definedName name="solver_rhs1681" localSheetId="0" hidden="1">binary</definedName>
    <definedName name="solver_rhs1682" localSheetId="0" hidden="1">binary</definedName>
    <definedName name="solver_rhs1683" localSheetId="0" hidden="1">binary</definedName>
    <definedName name="solver_rhs1684" localSheetId="0" hidden="1">binary</definedName>
    <definedName name="solver_rhs1685" localSheetId="0" hidden="1">binary</definedName>
    <definedName name="solver_rhs1686" localSheetId="0" hidden="1">binary</definedName>
    <definedName name="solver_rhs1687" localSheetId="0" hidden="1">binary</definedName>
    <definedName name="solver_rhs1688" localSheetId="0" hidden="1">binary</definedName>
    <definedName name="solver_rhs1689" localSheetId="0" hidden="1">binary</definedName>
    <definedName name="solver_rhs169" localSheetId="0" hidden="1">binary</definedName>
    <definedName name="solver_rhs1690" localSheetId="0" hidden="1">binary</definedName>
    <definedName name="solver_rhs1691" localSheetId="0" hidden="1">binary</definedName>
    <definedName name="solver_rhs1692" localSheetId="0" hidden="1">binary</definedName>
    <definedName name="solver_rhs1693" localSheetId="0" hidden="1">binary</definedName>
    <definedName name="solver_rhs1694" localSheetId="0" hidden="1">binary</definedName>
    <definedName name="solver_rhs1695" localSheetId="0" hidden="1">binary</definedName>
    <definedName name="solver_rhs1696" localSheetId="0" hidden="1">binary</definedName>
    <definedName name="solver_rhs1697" localSheetId="0" hidden="1">binary</definedName>
    <definedName name="solver_rhs1698" localSheetId="0" hidden="1">binary</definedName>
    <definedName name="solver_rhs1699" localSheetId="0" hidden="1">binary</definedName>
    <definedName name="solver_rhs17" localSheetId="0" hidden="1">binary</definedName>
    <definedName name="solver_rhs170" localSheetId="0" hidden="1">binary</definedName>
    <definedName name="solver_rhs1700" localSheetId="0" hidden="1">binary</definedName>
    <definedName name="solver_rhs1701" localSheetId="0" hidden="1">binary</definedName>
    <definedName name="solver_rhs1702" localSheetId="0" hidden="1">binary</definedName>
    <definedName name="solver_rhs1703" localSheetId="0" hidden="1">binary</definedName>
    <definedName name="solver_rhs1704" localSheetId="0" hidden="1">binary</definedName>
    <definedName name="solver_rhs1705" localSheetId="0" hidden="1">binary</definedName>
    <definedName name="solver_rhs1706" localSheetId="0" hidden="1">binary</definedName>
    <definedName name="solver_rhs1707" localSheetId="0" hidden="1">binary</definedName>
    <definedName name="solver_rhs1708" localSheetId="0" hidden="1">binary</definedName>
    <definedName name="solver_rhs1709" localSheetId="0" hidden="1">binary</definedName>
    <definedName name="solver_rhs171" localSheetId="0" hidden="1">binary</definedName>
    <definedName name="solver_rhs1710" localSheetId="0" hidden="1">binary</definedName>
    <definedName name="solver_rhs1711" localSheetId="0" hidden="1">binary</definedName>
    <definedName name="solver_rhs1712" localSheetId="0" hidden="1">binary</definedName>
    <definedName name="solver_rhs1713" localSheetId="0" hidden="1">binary</definedName>
    <definedName name="solver_rhs1714" localSheetId="0" hidden="1">binary</definedName>
    <definedName name="solver_rhs1715" localSheetId="0" hidden="1">binary</definedName>
    <definedName name="solver_rhs1716" localSheetId="0" hidden="1">binary</definedName>
    <definedName name="solver_rhs1717" localSheetId="0" hidden="1">binary</definedName>
    <definedName name="solver_rhs1718" localSheetId="0" hidden="1">binary</definedName>
    <definedName name="solver_rhs1719" localSheetId="0" hidden="1">binary</definedName>
    <definedName name="solver_rhs172" localSheetId="0" hidden="1">binary</definedName>
    <definedName name="solver_rhs1720" localSheetId="0" hidden="1">binary</definedName>
    <definedName name="solver_rhs1721" localSheetId="0" hidden="1">binary</definedName>
    <definedName name="solver_rhs1722" localSheetId="0" hidden="1">binary</definedName>
    <definedName name="solver_rhs1723" localSheetId="0" hidden="1">binary</definedName>
    <definedName name="solver_rhs1724" localSheetId="0" hidden="1">binary</definedName>
    <definedName name="solver_rhs1725" localSheetId="0" hidden="1">binary</definedName>
    <definedName name="solver_rhs1726" localSheetId="0" hidden="1">binary</definedName>
    <definedName name="solver_rhs1727" localSheetId="0" hidden="1">binary</definedName>
    <definedName name="solver_rhs1728" localSheetId="0" hidden="1">binary</definedName>
    <definedName name="solver_rhs1729" localSheetId="0" hidden="1">binary</definedName>
    <definedName name="solver_rhs173" localSheetId="0" hidden="1">binary</definedName>
    <definedName name="solver_rhs1730" localSheetId="0" hidden="1">binary</definedName>
    <definedName name="solver_rhs1731" localSheetId="0" hidden="1">binary</definedName>
    <definedName name="solver_rhs1732" localSheetId="0" hidden="1">binary</definedName>
    <definedName name="solver_rhs1733" localSheetId="0" hidden="1">binary</definedName>
    <definedName name="solver_rhs1734" localSheetId="0" hidden="1">binary</definedName>
    <definedName name="solver_rhs1735" localSheetId="0" hidden="1">binary</definedName>
    <definedName name="solver_rhs1736" localSheetId="0" hidden="1">binary</definedName>
    <definedName name="solver_rhs1737" localSheetId="0" hidden="1">binary</definedName>
    <definedName name="solver_rhs1738" localSheetId="0" hidden="1">binary</definedName>
    <definedName name="solver_rhs1739" localSheetId="0" hidden="1">binary</definedName>
    <definedName name="solver_rhs174" localSheetId="0" hidden="1">binary</definedName>
    <definedName name="solver_rhs1740" localSheetId="0" hidden="1">binary</definedName>
    <definedName name="solver_rhs1741" localSheetId="0" hidden="1">binary</definedName>
    <definedName name="solver_rhs1742" localSheetId="0" hidden="1">binary</definedName>
    <definedName name="solver_rhs1743" localSheetId="0" hidden="1">binary</definedName>
    <definedName name="solver_rhs1744" localSheetId="0" hidden="1">binary</definedName>
    <definedName name="solver_rhs1745" localSheetId="0" hidden="1">binary</definedName>
    <definedName name="solver_rhs1746" localSheetId="0" hidden="1">binary</definedName>
    <definedName name="solver_rhs1747" localSheetId="0" hidden="1">binary</definedName>
    <definedName name="solver_rhs1748" localSheetId="0" hidden="1">binary</definedName>
    <definedName name="solver_rhs1749" localSheetId="0" hidden="1">binary</definedName>
    <definedName name="solver_rhs175" localSheetId="0" hidden="1">binary</definedName>
    <definedName name="solver_rhs1750" localSheetId="0" hidden="1">binary</definedName>
    <definedName name="solver_rhs1751" localSheetId="0" hidden="1">binary</definedName>
    <definedName name="solver_rhs1752" localSheetId="0" hidden="1">binary</definedName>
    <definedName name="solver_rhs1753" localSheetId="0" hidden="1">binary</definedName>
    <definedName name="solver_rhs1754" localSheetId="0" hidden="1">binary</definedName>
    <definedName name="solver_rhs1755" localSheetId="0" hidden="1">binary</definedName>
    <definedName name="solver_rhs1756" localSheetId="0" hidden="1">binary</definedName>
    <definedName name="solver_rhs1757" localSheetId="0" hidden="1">binary</definedName>
    <definedName name="solver_rhs1758" localSheetId="0" hidden="1">binary</definedName>
    <definedName name="solver_rhs1759" localSheetId="0" hidden="1">binary</definedName>
    <definedName name="solver_rhs176" localSheetId="0" hidden="1">binary</definedName>
    <definedName name="solver_rhs1760" localSheetId="0" hidden="1">binary</definedName>
    <definedName name="solver_rhs1761" localSheetId="0" hidden="1">binary</definedName>
    <definedName name="solver_rhs1762" localSheetId="0" hidden="1">binary</definedName>
    <definedName name="solver_rhs1763" localSheetId="0" hidden="1">binary</definedName>
    <definedName name="solver_rhs1764" localSheetId="0" hidden="1">binary</definedName>
    <definedName name="solver_rhs1765" localSheetId="0" hidden="1">binary</definedName>
    <definedName name="solver_rhs1766" localSheetId="0" hidden="1">binary</definedName>
    <definedName name="solver_rhs1767" localSheetId="0" hidden="1">binary</definedName>
    <definedName name="solver_rhs1768" localSheetId="0" hidden="1">binary</definedName>
    <definedName name="solver_rhs1769" localSheetId="0" hidden="1">binary</definedName>
    <definedName name="solver_rhs177" localSheetId="0" hidden="1">binary</definedName>
    <definedName name="solver_rhs1770" localSheetId="0" hidden="1">binary</definedName>
    <definedName name="solver_rhs1771" localSheetId="0" hidden="1">binary</definedName>
    <definedName name="solver_rhs1772" localSheetId="0" hidden="1">binary</definedName>
    <definedName name="solver_rhs1773" localSheetId="0" hidden="1">binary</definedName>
    <definedName name="solver_rhs1774" localSheetId="0" hidden="1">binary</definedName>
    <definedName name="solver_rhs1775" localSheetId="0" hidden="1">binary</definedName>
    <definedName name="solver_rhs1776" localSheetId="0" hidden="1">binary</definedName>
    <definedName name="solver_rhs1777" localSheetId="0" hidden="1">binary</definedName>
    <definedName name="solver_rhs1778" localSheetId="0" hidden="1">binary</definedName>
    <definedName name="solver_rhs1779" localSheetId="0" hidden="1">binary</definedName>
    <definedName name="solver_rhs178" localSheetId="0" hidden="1">binary</definedName>
    <definedName name="solver_rhs1780" localSheetId="0" hidden="1">binary</definedName>
    <definedName name="solver_rhs1781" localSheetId="0" hidden="1">binary</definedName>
    <definedName name="solver_rhs1782" localSheetId="0" hidden="1">binary</definedName>
    <definedName name="solver_rhs1783" localSheetId="0" hidden="1">binary</definedName>
    <definedName name="solver_rhs1784" localSheetId="0" hidden="1">binary</definedName>
    <definedName name="solver_rhs1785" localSheetId="0" hidden="1">binary</definedName>
    <definedName name="solver_rhs1786" localSheetId="0" hidden="1">binary</definedName>
    <definedName name="solver_rhs1787" localSheetId="0" hidden="1">binary</definedName>
    <definedName name="solver_rhs1788" localSheetId="0" hidden="1">binary</definedName>
    <definedName name="solver_rhs1789" localSheetId="0" hidden="1">binary</definedName>
    <definedName name="solver_rhs179" localSheetId="0" hidden="1">binary</definedName>
    <definedName name="solver_rhs1790" localSheetId="0" hidden="1">binary</definedName>
    <definedName name="solver_rhs1791" localSheetId="0" hidden="1">binary</definedName>
    <definedName name="solver_rhs1792" localSheetId="0" hidden="1">binary</definedName>
    <definedName name="solver_rhs1793" localSheetId="0" hidden="1">binary</definedName>
    <definedName name="solver_rhs1794" localSheetId="0" hidden="1">binary</definedName>
    <definedName name="solver_rhs1795" localSheetId="0" hidden="1">binary</definedName>
    <definedName name="solver_rhs1796" localSheetId="0" hidden="1">binary</definedName>
    <definedName name="solver_rhs1797" localSheetId="0" hidden="1">binary</definedName>
    <definedName name="solver_rhs1798" localSheetId="0" hidden="1">binary</definedName>
    <definedName name="solver_rhs1799" localSheetId="0" hidden="1">binary</definedName>
    <definedName name="solver_rhs18" localSheetId="0" hidden="1">binary</definedName>
    <definedName name="solver_rhs180" localSheetId="0" hidden="1">binary</definedName>
    <definedName name="solver_rhs1800" localSheetId="0" hidden="1">binary</definedName>
    <definedName name="solver_rhs1801" localSheetId="0" hidden="1">binary</definedName>
    <definedName name="solver_rhs1802" localSheetId="0" hidden="1">binary</definedName>
    <definedName name="solver_rhs1803" localSheetId="0" hidden="1">binary</definedName>
    <definedName name="solver_rhs1804" localSheetId="0" hidden="1">binary</definedName>
    <definedName name="solver_rhs1805" localSheetId="0" hidden="1">binary</definedName>
    <definedName name="solver_rhs1806" localSheetId="0" hidden="1">binary</definedName>
    <definedName name="solver_rhs1807" localSheetId="0" hidden="1">binary</definedName>
    <definedName name="solver_rhs1808" localSheetId="0" hidden="1">binary</definedName>
    <definedName name="solver_rhs1809" localSheetId="0" hidden="1">binary</definedName>
    <definedName name="solver_rhs181" localSheetId="0" hidden="1">binary</definedName>
    <definedName name="solver_rhs1810" localSheetId="0" hidden="1">binary</definedName>
    <definedName name="solver_rhs1811" localSheetId="0" hidden="1">binary</definedName>
    <definedName name="solver_rhs1812" localSheetId="0" hidden="1">binary</definedName>
    <definedName name="solver_rhs1813" localSheetId="0" hidden="1">binary</definedName>
    <definedName name="solver_rhs1814" localSheetId="0" hidden="1">binary</definedName>
    <definedName name="solver_rhs1815" localSheetId="0" hidden="1">binary</definedName>
    <definedName name="solver_rhs1816" localSheetId="0" hidden="1">binary</definedName>
    <definedName name="solver_rhs1817" localSheetId="0" hidden="1">binary</definedName>
    <definedName name="solver_rhs1818" localSheetId="0" hidden="1">binary</definedName>
    <definedName name="solver_rhs1819" localSheetId="0" hidden="1">binary</definedName>
    <definedName name="solver_rhs182" localSheetId="0" hidden="1">binary</definedName>
    <definedName name="solver_rhs1820" localSheetId="0" hidden="1">binary</definedName>
    <definedName name="solver_rhs1821" localSheetId="0" hidden="1">binary</definedName>
    <definedName name="solver_rhs1822" localSheetId="0" hidden="1">binary</definedName>
    <definedName name="solver_rhs1823" localSheetId="0" hidden="1">binary</definedName>
    <definedName name="solver_rhs1824" localSheetId="0" hidden="1">binary</definedName>
    <definedName name="solver_rhs1825" localSheetId="0" hidden="1">binary</definedName>
    <definedName name="solver_rhs1826" localSheetId="0" hidden="1">binary</definedName>
    <definedName name="solver_rhs1827" localSheetId="0" hidden="1">binary</definedName>
    <definedName name="solver_rhs1828" localSheetId="0" hidden="1">binary</definedName>
    <definedName name="solver_rhs1829" localSheetId="0" hidden="1">binary</definedName>
    <definedName name="solver_rhs183" localSheetId="0" hidden="1">binary</definedName>
    <definedName name="solver_rhs1830" localSheetId="0" hidden="1">binary</definedName>
    <definedName name="solver_rhs1831" localSheetId="0" hidden="1">binary</definedName>
    <definedName name="solver_rhs1832" localSheetId="0" hidden="1">binary</definedName>
    <definedName name="solver_rhs1833" localSheetId="0" hidden="1">binary</definedName>
    <definedName name="solver_rhs1834" localSheetId="0" hidden="1">binary</definedName>
    <definedName name="solver_rhs1835" localSheetId="0" hidden="1">binary</definedName>
    <definedName name="solver_rhs1836" localSheetId="0" hidden="1">binary</definedName>
    <definedName name="solver_rhs1837" localSheetId="0" hidden="1">binary</definedName>
    <definedName name="solver_rhs1838" localSheetId="0" hidden="1">binary</definedName>
    <definedName name="solver_rhs1839" localSheetId="0" hidden="1">binary</definedName>
    <definedName name="solver_rhs184" localSheetId="0" hidden="1">binary</definedName>
    <definedName name="solver_rhs1840" localSheetId="0" hidden="1">binary</definedName>
    <definedName name="solver_rhs1841" localSheetId="0" hidden="1">binary</definedName>
    <definedName name="solver_rhs1842" localSheetId="0" hidden="1">binary</definedName>
    <definedName name="solver_rhs1843" localSheetId="0" hidden="1">binary</definedName>
    <definedName name="solver_rhs1844" localSheetId="0" hidden="1">binary</definedName>
    <definedName name="solver_rhs1845" localSheetId="0" hidden="1">binary</definedName>
    <definedName name="solver_rhs1846" localSheetId="0" hidden="1">binary</definedName>
    <definedName name="solver_rhs1847" localSheetId="0" hidden="1">binary</definedName>
    <definedName name="solver_rhs1848" localSheetId="0" hidden="1">binary</definedName>
    <definedName name="solver_rhs1849" localSheetId="0" hidden="1">binary</definedName>
    <definedName name="solver_rhs185" localSheetId="0" hidden="1">binary</definedName>
    <definedName name="solver_rhs1850" localSheetId="0" hidden="1">binary</definedName>
    <definedName name="solver_rhs1851" localSheetId="0" hidden="1">binary</definedName>
    <definedName name="solver_rhs1852" localSheetId="0" hidden="1">binary</definedName>
    <definedName name="solver_rhs1853" localSheetId="0" hidden="1">binary</definedName>
    <definedName name="solver_rhs1854" localSheetId="0" hidden="1">binary</definedName>
    <definedName name="solver_rhs1855" localSheetId="0" hidden="1">binary</definedName>
    <definedName name="solver_rhs1856" localSheetId="0" hidden="1">binary</definedName>
    <definedName name="solver_rhs1857" localSheetId="0" hidden="1">binary</definedName>
    <definedName name="solver_rhs1858" localSheetId="0" hidden="1">binary</definedName>
    <definedName name="solver_rhs1859" localSheetId="0" hidden="1">binary</definedName>
    <definedName name="solver_rhs186" localSheetId="0" hidden="1">binary</definedName>
    <definedName name="solver_rhs1860" localSheetId="0" hidden="1">binary</definedName>
    <definedName name="solver_rhs1861" localSheetId="0" hidden="1">binary</definedName>
    <definedName name="solver_rhs1862" localSheetId="0" hidden="1">binary</definedName>
    <definedName name="solver_rhs1863" localSheetId="0" hidden="1">binary</definedName>
    <definedName name="solver_rhs1864" localSheetId="0" hidden="1">binary</definedName>
    <definedName name="solver_rhs1865" localSheetId="0" hidden="1">binary</definedName>
    <definedName name="solver_rhs1866" localSheetId="0" hidden="1">binary</definedName>
    <definedName name="solver_rhs1867" localSheetId="0" hidden="1">binary</definedName>
    <definedName name="solver_rhs1868" localSheetId="0" hidden="1">binary</definedName>
    <definedName name="solver_rhs1869" localSheetId="0" hidden="1">binary</definedName>
    <definedName name="solver_rhs187" localSheetId="0" hidden="1">binary</definedName>
    <definedName name="solver_rhs1870" localSheetId="0" hidden="1">binary</definedName>
    <definedName name="solver_rhs1871" localSheetId="0" hidden="1">binary</definedName>
    <definedName name="solver_rhs1872" localSheetId="0" hidden="1">binary</definedName>
    <definedName name="solver_rhs1873" localSheetId="0" hidden="1">binary</definedName>
    <definedName name="solver_rhs1874" localSheetId="0" hidden="1">binary</definedName>
    <definedName name="solver_rhs1875" localSheetId="0" hidden="1">binary</definedName>
    <definedName name="solver_rhs1876" localSheetId="0" hidden="1">binary</definedName>
    <definedName name="solver_rhs1877" localSheetId="0" hidden="1">binary</definedName>
    <definedName name="solver_rhs1878" localSheetId="0" hidden="1">binary</definedName>
    <definedName name="solver_rhs1879" localSheetId="0" hidden="1">binary</definedName>
    <definedName name="solver_rhs188" localSheetId="0" hidden="1">binary</definedName>
    <definedName name="solver_rhs1880" localSheetId="0" hidden="1">binary</definedName>
    <definedName name="solver_rhs1881" localSheetId="0" hidden="1">binary</definedName>
    <definedName name="solver_rhs1882" localSheetId="0" hidden="1">binary</definedName>
    <definedName name="solver_rhs1883" localSheetId="0" hidden="1">binary</definedName>
    <definedName name="solver_rhs1884" localSheetId="0" hidden="1">binary</definedName>
    <definedName name="solver_rhs1885" localSheetId="0" hidden="1">binary</definedName>
    <definedName name="solver_rhs1886" localSheetId="0" hidden="1">binary</definedName>
    <definedName name="solver_rhs1887" localSheetId="0" hidden="1">binary</definedName>
    <definedName name="solver_rhs1888" localSheetId="0" hidden="1">binary</definedName>
    <definedName name="solver_rhs1889" localSheetId="0" hidden="1">binary</definedName>
    <definedName name="solver_rhs189" localSheetId="0" hidden="1">binary</definedName>
    <definedName name="solver_rhs1890" localSheetId="0" hidden="1">binary</definedName>
    <definedName name="solver_rhs1891" localSheetId="0" hidden="1">binary</definedName>
    <definedName name="solver_rhs1892" localSheetId="0" hidden="1">binary</definedName>
    <definedName name="solver_rhs1893" localSheetId="0" hidden="1">binary</definedName>
    <definedName name="solver_rhs1894" localSheetId="0" hidden="1">binary</definedName>
    <definedName name="solver_rhs1895" localSheetId="0" hidden="1">binary</definedName>
    <definedName name="solver_rhs1896" localSheetId="0" hidden="1">binary</definedName>
    <definedName name="solver_rhs1897" localSheetId="0" hidden="1">binary</definedName>
    <definedName name="solver_rhs1898" localSheetId="0" hidden="1">binary</definedName>
    <definedName name="solver_rhs1899" localSheetId="0" hidden="1">binary</definedName>
    <definedName name="solver_rhs19" localSheetId="0" hidden="1">binary</definedName>
    <definedName name="solver_rhs190" localSheetId="0" hidden="1">binary</definedName>
    <definedName name="solver_rhs1900" localSheetId="0" hidden="1">binary</definedName>
    <definedName name="solver_rhs1901" localSheetId="0" hidden="1">binary</definedName>
    <definedName name="solver_rhs1902" localSheetId="0" hidden="1">binary</definedName>
    <definedName name="solver_rhs1903" localSheetId="0" hidden="1">binary</definedName>
    <definedName name="solver_rhs1904" localSheetId="0" hidden="1">binary</definedName>
    <definedName name="solver_rhs1905" localSheetId="0" hidden="1">binary</definedName>
    <definedName name="solver_rhs1906" localSheetId="0" hidden="1">binary</definedName>
    <definedName name="solver_rhs1907" localSheetId="0" hidden="1">binary</definedName>
    <definedName name="solver_rhs1908" localSheetId="0" hidden="1">binary</definedName>
    <definedName name="solver_rhs1909" localSheetId="0" hidden="1">binary</definedName>
    <definedName name="solver_rhs191" localSheetId="0" hidden="1">binary</definedName>
    <definedName name="solver_rhs1910" localSheetId="0" hidden="1">binary</definedName>
    <definedName name="solver_rhs1911" localSheetId="0" hidden="1">binary</definedName>
    <definedName name="solver_rhs1912" localSheetId="0" hidden="1">binary</definedName>
    <definedName name="solver_rhs1913" localSheetId="0" hidden="1">binary</definedName>
    <definedName name="solver_rhs1914" localSheetId="0" hidden="1">binary</definedName>
    <definedName name="solver_rhs1915" localSheetId="0" hidden="1">binary</definedName>
    <definedName name="solver_rhs1916" localSheetId="0" hidden="1">binary</definedName>
    <definedName name="solver_rhs1917" localSheetId="0" hidden="1">binary</definedName>
    <definedName name="solver_rhs1918" localSheetId="0" hidden="1">binary</definedName>
    <definedName name="solver_rhs1919" localSheetId="0" hidden="1">binary</definedName>
    <definedName name="solver_rhs192" localSheetId="0" hidden="1">binary</definedName>
    <definedName name="solver_rhs1920" localSheetId="0" hidden="1">binary</definedName>
    <definedName name="solver_rhs1921" localSheetId="0" hidden="1">binary</definedName>
    <definedName name="solver_rhs1922" localSheetId="0" hidden="1">binary</definedName>
    <definedName name="solver_rhs1923" localSheetId="0" hidden="1">binary</definedName>
    <definedName name="solver_rhs1924" localSheetId="0" hidden="1">binary</definedName>
    <definedName name="solver_rhs1925" localSheetId="0" hidden="1">binary</definedName>
    <definedName name="solver_rhs1926" localSheetId="0" hidden="1">binary</definedName>
    <definedName name="solver_rhs1927" localSheetId="0" hidden="1">binary</definedName>
    <definedName name="solver_rhs1928" localSheetId="0" hidden="1">binary</definedName>
    <definedName name="solver_rhs1929" localSheetId="0" hidden="1">binary</definedName>
    <definedName name="solver_rhs193" localSheetId="0" hidden="1">binary</definedName>
    <definedName name="solver_rhs1930" localSheetId="0" hidden="1">binary</definedName>
    <definedName name="solver_rhs1931" localSheetId="0" hidden="1">binary</definedName>
    <definedName name="solver_rhs1932" localSheetId="0" hidden="1">binary</definedName>
    <definedName name="solver_rhs1933" localSheetId="0" hidden="1">binary</definedName>
    <definedName name="solver_rhs1934" localSheetId="0" hidden="1">binary</definedName>
    <definedName name="solver_rhs1935" localSheetId="0" hidden="1">binary</definedName>
    <definedName name="solver_rhs1936" localSheetId="0" hidden="1">binary</definedName>
    <definedName name="solver_rhs1937" localSheetId="0" hidden="1">binary</definedName>
    <definedName name="solver_rhs1938" localSheetId="0" hidden="1">binary</definedName>
    <definedName name="solver_rhs1939" localSheetId="0" hidden="1">binary</definedName>
    <definedName name="solver_rhs194" localSheetId="0" hidden="1">binary</definedName>
    <definedName name="solver_rhs1940" localSheetId="0" hidden="1">binary</definedName>
    <definedName name="solver_rhs1941" localSheetId="0" hidden="1">binary</definedName>
    <definedName name="solver_rhs1942" localSheetId="0" hidden="1">binary</definedName>
    <definedName name="solver_rhs1943" localSheetId="0" hidden="1">binary</definedName>
    <definedName name="solver_rhs1944" localSheetId="0" hidden="1">binary</definedName>
    <definedName name="solver_rhs1945" localSheetId="0" hidden="1">binary</definedName>
    <definedName name="solver_rhs1946" localSheetId="0" hidden="1">binary</definedName>
    <definedName name="solver_rhs1947" localSheetId="0" hidden="1">binary</definedName>
    <definedName name="solver_rhs1948" localSheetId="0" hidden="1">binary</definedName>
    <definedName name="solver_rhs1949" localSheetId="0" hidden="1">binary</definedName>
    <definedName name="solver_rhs195" localSheetId="0" hidden="1">binary</definedName>
    <definedName name="solver_rhs1950" localSheetId="0" hidden="1">binary</definedName>
    <definedName name="solver_rhs1951" localSheetId="0" hidden="1">binary</definedName>
    <definedName name="solver_rhs1952" localSheetId="0" hidden="1">binary</definedName>
    <definedName name="solver_rhs1953" localSheetId="0" hidden="1">binary</definedName>
    <definedName name="solver_rhs1954" localSheetId="0" hidden="1">binary</definedName>
    <definedName name="solver_rhs1955" localSheetId="0" hidden="1">binary</definedName>
    <definedName name="solver_rhs1956" localSheetId="0" hidden="1">binary</definedName>
    <definedName name="solver_rhs1957" localSheetId="0" hidden="1">binary</definedName>
    <definedName name="solver_rhs1958" localSheetId="0" hidden="1">binary</definedName>
    <definedName name="solver_rhs1959" localSheetId="0" hidden="1">binary</definedName>
    <definedName name="solver_rhs196" localSheetId="0" hidden="1">binary</definedName>
    <definedName name="solver_rhs1960" localSheetId="0" hidden="1">binary</definedName>
    <definedName name="solver_rhs1961" localSheetId="0" hidden="1">binary</definedName>
    <definedName name="solver_rhs1962" localSheetId="0" hidden="1">binary</definedName>
    <definedName name="solver_rhs1963" localSheetId="0" hidden="1">binary</definedName>
    <definedName name="solver_rhs1964" localSheetId="0" hidden="1">binary</definedName>
    <definedName name="solver_rhs1965" localSheetId="0" hidden="1">binary</definedName>
    <definedName name="solver_rhs1966" localSheetId="0" hidden="1">binary</definedName>
    <definedName name="solver_rhs1967" localSheetId="0" hidden="1">binary</definedName>
    <definedName name="solver_rhs1968" localSheetId="0" hidden="1">binary</definedName>
    <definedName name="solver_rhs1969" localSheetId="0" hidden="1">binary</definedName>
    <definedName name="solver_rhs197" localSheetId="0" hidden="1">binary</definedName>
    <definedName name="solver_rhs1970" localSheetId="0" hidden="1">binary</definedName>
    <definedName name="solver_rhs1971" localSheetId="0" hidden="1">binary</definedName>
    <definedName name="solver_rhs1972" localSheetId="0" hidden="1">binary</definedName>
    <definedName name="solver_rhs1973" localSheetId="0" hidden="1">binary</definedName>
    <definedName name="solver_rhs1974" localSheetId="0" hidden="1">binary</definedName>
    <definedName name="solver_rhs1975" localSheetId="0" hidden="1">binary</definedName>
    <definedName name="solver_rhs1976" localSheetId="0" hidden="1">binary</definedName>
    <definedName name="solver_rhs1977" localSheetId="0" hidden="1">binary</definedName>
    <definedName name="solver_rhs1978" localSheetId="0" hidden="1">binary</definedName>
    <definedName name="solver_rhs1979" localSheetId="0" hidden="1">binary</definedName>
    <definedName name="solver_rhs198" localSheetId="0" hidden="1">binary</definedName>
    <definedName name="solver_rhs1980" localSheetId="0" hidden="1">binary</definedName>
    <definedName name="solver_rhs1981" localSheetId="0" hidden="1">binary</definedName>
    <definedName name="solver_rhs1982" localSheetId="0" hidden="1">binary</definedName>
    <definedName name="solver_rhs1983" localSheetId="0" hidden="1">binary</definedName>
    <definedName name="solver_rhs1984" localSheetId="0" hidden="1">binary</definedName>
    <definedName name="solver_rhs1985" localSheetId="0" hidden="1">binary</definedName>
    <definedName name="solver_rhs1986" localSheetId="0" hidden="1">binary</definedName>
    <definedName name="solver_rhs1987" localSheetId="0" hidden="1">binary</definedName>
    <definedName name="solver_rhs1988" localSheetId="0" hidden="1">binary</definedName>
    <definedName name="solver_rhs1989" localSheetId="0" hidden="1">binary</definedName>
    <definedName name="solver_rhs199" localSheetId="0" hidden="1">binary</definedName>
    <definedName name="solver_rhs1990" localSheetId="0" hidden="1">binary</definedName>
    <definedName name="solver_rhs1991" localSheetId="0" hidden="1">binary</definedName>
    <definedName name="solver_rhs1992" localSheetId="0" hidden="1">binary</definedName>
    <definedName name="solver_rhs1993" localSheetId="0" hidden="1">binary</definedName>
    <definedName name="solver_rhs1994" localSheetId="0" hidden="1">binary</definedName>
    <definedName name="solver_rhs1995" localSheetId="0" hidden="1">binary</definedName>
    <definedName name="solver_rhs1996" localSheetId="0" hidden="1">binary</definedName>
    <definedName name="solver_rhs1997" localSheetId="0" hidden="1">binary</definedName>
    <definedName name="solver_rhs1998" localSheetId="0" hidden="1">binary</definedName>
    <definedName name="solver_rhs1999" localSheetId="0" hidden="1">binary</definedName>
    <definedName name="solver_rhs2" localSheetId="0" hidden="1">monday_model.lp!$EDI$61:$EDI$1778</definedName>
    <definedName name="solver_rhs20" localSheetId="0" hidden="1">binary</definedName>
    <definedName name="solver_rhs200" localSheetId="0" hidden="1">binary</definedName>
    <definedName name="solver_rhs2000" localSheetId="0" hidden="1">binary</definedName>
    <definedName name="solver_rhs2001" localSheetId="0" hidden="1">binary</definedName>
    <definedName name="solver_rhs2002" localSheetId="0" hidden="1">binary</definedName>
    <definedName name="solver_rhs2003" localSheetId="0" hidden="1">binary</definedName>
    <definedName name="solver_rhs2004" localSheetId="0" hidden="1">binary</definedName>
    <definedName name="solver_rhs2005" localSheetId="0" hidden="1">binary</definedName>
    <definedName name="solver_rhs2006" localSheetId="0" hidden="1">binary</definedName>
    <definedName name="solver_rhs2007" localSheetId="0" hidden="1">binary</definedName>
    <definedName name="solver_rhs2008" localSheetId="0" hidden="1">binary</definedName>
    <definedName name="solver_rhs2009" localSheetId="0" hidden="1">binary</definedName>
    <definedName name="solver_rhs201" localSheetId="0" hidden="1">binary</definedName>
    <definedName name="solver_rhs2010" localSheetId="0" hidden="1">binary</definedName>
    <definedName name="solver_rhs2011" localSheetId="0" hidden="1">binary</definedName>
    <definedName name="solver_rhs2012" localSheetId="0" hidden="1">binary</definedName>
    <definedName name="solver_rhs2013" localSheetId="0" hidden="1">binary</definedName>
    <definedName name="solver_rhs2014" localSheetId="0" hidden="1">binary</definedName>
    <definedName name="solver_rhs2015" localSheetId="0" hidden="1">binary</definedName>
    <definedName name="solver_rhs2016" localSheetId="0" hidden="1">binary</definedName>
    <definedName name="solver_rhs2017" localSheetId="0" hidden="1">binary</definedName>
    <definedName name="solver_rhs2018" localSheetId="0" hidden="1">binary</definedName>
    <definedName name="solver_rhs2019" localSheetId="0" hidden="1">binary</definedName>
    <definedName name="solver_rhs202" localSheetId="0" hidden="1">binary</definedName>
    <definedName name="solver_rhs2020" localSheetId="0" hidden="1">binary</definedName>
    <definedName name="solver_rhs2021" localSheetId="0" hidden="1">binary</definedName>
    <definedName name="solver_rhs2022" localSheetId="0" hidden="1">binary</definedName>
    <definedName name="solver_rhs2023" localSheetId="0" hidden="1">binary</definedName>
    <definedName name="solver_rhs2024" localSheetId="0" hidden="1">binary</definedName>
    <definedName name="solver_rhs2025" localSheetId="0" hidden="1">binary</definedName>
    <definedName name="solver_rhs2026" localSheetId="0" hidden="1">binary</definedName>
    <definedName name="solver_rhs2027" localSheetId="0" hidden="1">binary</definedName>
    <definedName name="solver_rhs2028" localSheetId="0" hidden="1">binary</definedName>
    <definedName name="solver_rhs2029" localSheetId="0" hidden="1">binary</definedName>
    <definedName name="solver_rhs203" localSheetId="0" hidden="1">binary</definedName>
    <definedName name="solver_rhs2030" localSheetId="0" hidden="1">binary</definedName>
    <definedName name="solver_rhs2031" localSheetId="0" hidden="1">binary</definedName>
    <definedName name="solver_rhs2032" localSheetId="0" hidden="1">binary</definedName>
    <definedName name="solver_rhs2033" localSheetId="0" hidden="1">binary</definedName>
    <definedName name="solver_rhs2034" localSheetId="0" hidden="1">binary</definedName>
    <definedName name="solver_rhs2035" localSheetId="0" hidden="1">binary</definedName>
    <definedName name="solver_rhs2036" localSheetId="0" hidden="1">binary</definedName>
    <definedName name="solver_rhs2037" localSheetId="0" hidden="1">binary</definedName>
    <definedName name="solver_rhs2038" localSheetId="0" hidden="1">binary</definedName>
    <definedName name="solver_rhs2039" localSheetId="0" hidden="1">binary</definedName>
    <definedName name="solver_rhs204" localSheetId="0" hidden="1">binary</definedName>
    <definedName name="solver_rhs2040" localSheetId="0" hidden="1">binary</definedName>
    <definedName name="solver_rhs2041" localSheetId="0" hidden="1">binary</definedName>
    <definedName name="solver_rhs2042" localSheetId="0" hidden="1">binary</definedName>
    <definedName name="solver_rhs2043" localSheetId="0" hidden="1">binary</definedName>
    <definedName name="solver_rhs2044" localSheetId="0" hidden="1">binary</definedName>
    <definedName name="solver_rhs2045" localSheetId="0" hidden="1">binary</definedName>
    <definedName name="solver_rhs2046" localSheetId="0" hidden="1">binary</definedName>
    <definedName name="solver_rhs2047" localSheetId="0" hidden="1">binary</definedName>
    <definedName name="solver_rhs2048" localSheetId="0" hidden="1">binary</definedName>
    <definedName name="solver_rhs2049" localSheetId="0" hidden="1">binary</definedName>
    <definedName name="solver_rhs205" localSheetId="0" hidden="1">binary</definedName>
    <definedName name="solver_rhs2050" localSheetId="0" hidden="1">binary</definedName>
    <definedName name="solver_rhs2051" localSheetId="0" hidden="1">binary</definedName>
    <definedName name="solver_rhs2052" localSheetId="0" hidden="1">binary</definedName>
    <definedName name="solver_rhs2053" localSheetId="0" hidden="1">binary</definedName>
    <definedName name="solver_rhs2054" localSheetId="0" hidden="1">binary</definedName>
    <definedName name="solver_rhs2055" localSheetId="0" hidden="1">binary</definedName>
    <definedName name="solver_rhs2056" localSheetId="0" hidden="1">binary</definedName>
    <definedName name="solver_rhs2057" localSheetId="0" hidden="1">binary</definedName>
    <definedName name="solver_rhs2058" localSheetId="0" hidden="1">binary</definedName>
    <definedName name="solver_rhs2059" localSheetId="0" hidden="1">binary</definedName>
    <definedName name="solver_rhs206" localSheetId="0" hidden="1">binary</definedName>
    <definedName name="solver_rhs2060" localSheetId="0" hidden="1">binary</definedName>
    <definedName name="solver_rhs2061" localSheetId="0" hidden="1">binary</definedName>
    <definedName name="solver_rhs2062" localSheetId="0" hidden="1">binary</definedName>
    <definedName name="solver_rhs2063" localSheetId="0" hidden="1">binary</definedName>
    <definedName name="solver_rhs2064" localSheetId="0" hidden="1">binary</definedName>
    <definedName name="solver_rhs2065" localSheetId="0" hidden="1">binary</definedName>
    <definedName name="solver_rhs2066" localSheetId="0" hidden="1">binary</definedName>
    <definedName name="solver_rhs2067" localSheetId="0" hidden="1">binary</definedName>
    <definedName name="solver_rhs2068" localSheetId="0" hidden="1">binary</definedName>
    <definedName name="solver_rhs2069" localSheetId="0" hidden="1">binary</definedName>
    <definedName name="solver_rhs207" localSheetId="0" hidden="1">binary</definedName>
    <definedName name="solver_rhs2070" localSheetId="0" hidden="1">binary</definedName>
    <definedName name="solver_rhs2071" localSheetId="0" hidden="1">binary</definedName>
    <definedName name="solver_rhs2072" localSheetId="0" hidden="1">binary</definedName>
    <definedName name="solver_rhs2073" localSheetId="0" hidden="1">binary</definedName>
    <definedName name="solver_rhs2074" localSheetId="0" hidden="1">binary</definedName>
    <definedName name="solver_rhs2075" localSheetId="0" hidden="1">binary</definedName>
    <definedName name="solver_rhs2076" localSheetId="0" hidden="1">binary</definedName>
    <definedName name="solver_rhs2077" localSheetId="0" hidden="1">binary</definedName>
    <definedName name="solver_rhs2078" localSheetId="0" hidden="1">binary</definedName>
    <definedName name="solver_rhs2079" localSheetId="0" hidden="1">binary</definedName>
    <definedName name="solver_rhs208" localSheetId="0" hidden="1">binary</definedName>
    <definedName name="solver_rhs2080" localSheetId="0" hidden="1">binary</definedName>
    <definedName name="solver_rhs2081" localSheetId="0" hidden="1">binary</definedName>
    <definedName name="solver_rhs2082" localSheetId="0" hidden="1">binary</definedName>
    <definedName name="solver_rhs2083" localSheetId="0" hidden="1">binary</definedName>
    <definedName name="solver_rhs2084" localSheetId="0" hidden="1">binary</definedName>
    <definedName name="solver_rhs2085" localSheetId="0" hidden="1">binary</definedName>
    <definedName name="solver_rhs2086" localSheetId="0" hidden="1">binary</definedName>
    <definedName name="solver_rhs2087" localSheetId="0" hidden="1">binary</definedName>
    <definedName name="solver_rhs2088" localSheetId="0" hidden="1">binary</definedName>
    <definedName name="solver_rhs2089" localSheetId="0" hidden="1">binary</definedName>
    <definedName name="solver_rhs209" localSheetId="0" hidden="1">binary</definedName>
    <definedName name="solver_rhs2090" localSheetId="0" hidden="1">binary</definedName>
    <definedName name="solver_rhs2091" localSheetId="0" hidden="1">binary</definedName>
    <definedName name="solver_rhs2092" localSheetId="0" hidden="1">binary</definedName>
    <definedName name="solver_rhs2093" localSheetId="0" hidden="1">binary</definedName>
    <definedName name="solver_rhs2094" localSheetId="0" hidden="1">binary</definedName>
    <definedName name="solver_rhs2095" localSheetId="0" hidden="1">binary</definedName>
    <definedName name="solver_rhs2096" localSheetId="0" hidden="1">binary</definedName>
    <definedName name="solver_rhs2097" localSheetId="0" hidden="1">binary</definedName>
    <definedName name="solver_rhs2098" localSheetId="0" hidden="1">binary</definedName>
    <definedName name="solver_rhs2099" localSheetId="0" hidden="1">binary</definedName>
    <definedName name="solver_rhs21" localSheetId="0" hidden="1">binary</definedName>
    <definedName name="solver_rhs210" localSheetId="0" hidden="1">binary</definedName>
    <definedName name="solver_rhs2100" localSheetId="0" hidden="1">binary</definedName>
    <definedName name="solver_rhs2101" localSheetId="0" hidden="1">binary</definedName>
    <definedName name="solver_rhs2102" localSheetId="0" hidden="1">binary</definedName>
    <definedName name="solver_rhs2103" localSheetId="0" hidden="1">binary</definedName>
    <definedName name="solver_rhs2104" localSheetId="0" hidden="1">binary</definedName>
    <definedName name="solver_rhs2105" localSheetId="0" hidden="1">binary</definedName>
    <definedName name="solver_rhs2106" localSheetId="0" hidden="1">binary</definedName>
    <definedName name="solver_rhs2107" localSheetId="0" hidden="1">binary</definedName>
    <definedName name="solver_rhs2108" localSheetId="0" hidden="1">binary</definedName>
    <definedName name="solver_rhs2109" localSheetId="0" hidden="1">binary</definedName>
    <definedName name="solver_rhs211" localSheetId="0" hidden="1">binary</definedName>
    <definedName name="solver_rhs2110" localSheetId="0" hidden="1">binary</definedName>
    <definedName name="solver_rhs2111" localSheetId="0" hidden="1">binary</definedName>
    <definedName name="solver_rhs2112" localSheetId="0" hidden="1">binary</definedName>
    <definedName name="solver_rhs2113" localSheetId="0" hidden="1">binary</definedName>
    <definedName name="solver_rhs2114" localSheetId="0" hidden="1">binary</definedName>
    <definedName name="solver_rhs2115" localSheetId="0" hidden="1">binary</definedName>
    <definedName name="solver_rhs2116" localSheetId="0" hidden="1">binary</definedName>
    <definedName name="solver_rhs2117" localSheetId="0" hidden="1">binary</definedName>
    <definedName name="solver_rhs2118" localSheetId="0" hidden="1">binary</definedName>
    <definedName name="solver_rhs2119" localSheetId="0" hidden="1">binary</definedName>
    <definedName name="solver_rhs212" localSheetId="0" hidden="1">binary</definedName>
    <definedName name="solver_rhs2120" localSheetId="0" hidden="1">binary</definedName>
    <definedName name="solver_rhs2121" localSheetId="0" hidden="1">binary</definedName>
    <definedName name="solver_rhs2122" localSheetId="0" hidden="1">binary</definedName>
    <definedName name="solver_rhs2123" localSheetId="0" hidden="1">binary</definedName>
    <definedName name="solver_rhs2124" localSheetId="0" hidden="1">binary</definedName>
    <definedName name="solver_rhs2125" localSheetId="0" hidden="1">binary</definedName>
    <definedName name="solver_rhs2126" localSheetId="0" hidden="1">binary</definedName>
    <definedName name="solver_rhs2127" localSheetId="0" hidden="1">binary</definedName>
    <definedName name="solver_rhs2128" localSheetId="0" hidden="1">binary</definedName>
    <definedName name="solver_rhs2129" localSheetId="0" hidden="1">binary</definedName>
    <definedName name="solver_rhs213" localSheetId="0" hidden="1">binary</definedName>
    <definedName name="solver_rhs2130" localSheetId="0" hidden="1">binary</definedName>
    <definedName name="solver_rhs2131" localSheetId="0" hidden="1">binary</definedName>
    <definedName name="solver_rhs2132" localSheetId="0" hidden="1">binary</definedName>
    <definedName name="solver_rhs2133" localSheetId="0" hidden="1">binary</definedName>
    <definedName name="solver_rhs2134" localSheetId="0" hidden="1">binary</definedName>
    <definedName name="solver_rhs2135" localSheetId="0" hidden="1">binary</definedName>
    <definedName name="solver_rhs2136" localSheetId="0" hidden="1">binary</definedName>
    <definedName name="solver_rhs2137" localSheetId="0" hidden="1">binary</definedName>
    <definedName name="solver_rhs2138" localSheetId="0" hidden="1">binary</definedName>
    <definedName name="solver_rhs2139" localSheetId="0" hidden="1">binary</definedName>
    <definedName name="solver_rhs214" localSheetId="0" hidden="1">binary</definedName>
    <definedName name="solver_rhs2140" localSheetId="0" hidden="1">binary</definedName>
    <definedName name="solver_rhs2141" localSheetId="0" hidden="1">binary</definedName>
    <definedName name="solver_rhs2142" localSheetId="0" hidden="1">binary</definedName>
    <definedName name="solver_rhs2143" localSheetId="0" hidden="1">binary</definedName>
    <definedName name="solver_rhs2144" localSheetId="0" hidden="1">binary</definedName>
    <definedName name="solver_rhs2145" localSheetId="0" hidden="1">binary</definedName>
    <definedName name="solver_rhs2146" localSheetId="0" hidden="1">binary</definedName>
    <definedName name="solver_rhs2147" localSheetId="0" hidden="1">binary</definedName>
    <definedName name="solver_rhs2148" localSheetId="0" hidden="1">binary</definedName>
    <definedName name="solver_rhs2149" localSheetId="0" hidden="1">binary</definedName>
    <definedName name="solver_rhs215" localSheetId="0" hidden="1">binary</definedName>
    <definedName name="solver_rhs2150" localSheetId="0" hidden="1">binary</definedName>
    <definedName name="solver_rhs2151" localSheetId="0" hidden="1">binary</definedName>
    <definedName name="solver_rhs2152" localSheetId="0" hidden="1">binary</definedName>
    <definedName name="solver_rhs2153" localSheetId="0" hidden="1">binary</definedName>
    <definedName name="solver_rhs2154" localSheetId="0" hidden="1">binary</definedName>
    <definedName name="solver_rhs2155" localSheetId="0" hidden="1">binary</definedName>
    <definedName name="solver_rhs2156" localSheetId="0" hidden="1">binary</definedName>
    <definedName name="solver_rhs2157" localSheetId="0" hidden="1">binary</definedName>
    <definedName name="solver_rhs2158" localSheetId="0" hidden="1">binary</definedName>
    <definedName name="solver_rhs2159" localSheetId="0" hidden="1">binary</definedName>
    <definedName name="solver_rhs216" localSheetId="0" hidden="1">binary</definedName>
    <definedName name="solver_rhs2160" localSheetId="0" hidden="1">binary</definedName>
    <definedName name="solver_rhs2161" localSheetId="0" hidden="1">binary</definedName>
    <definedName name="solver_rhs2162" localSheetId="0" hidden="1">binary</definedName>
    <definedName name="solver_rhs2163" localSheetId="0" hidden="1">binary</definedName>
    <definedName name="solver_rhs2164" localSheetId="0" hidden="1">binary</definedName>
    <definedName name="solver_rhs2165" localSheetId="0" hidden="1">binary</definedName>
    <definedName name="solver_rhs2166" localSheetId="0" hidden="1">binary</definedName>
    <definedName name="solver_rhs2167" localSheetId="0" hidden="1">binary</definedName>
    <definedName name="solver_rhs2168" localSheetId="0" hidden="1">binary</definedName>
    <definedName name="solver_rhs2169" localSheetId="0" hidden="1">binary</definedName>
    <definedName name="solver_rhs217" localSheetId="0" hidden="1">binary</definedName>
    <definedName name="solver_rhs2170" localSheetId="0" hidden="1">binary</definedName>
    <definedName name="solver_rhs2171" localSheetId="0" hidden="1">binary</definedName>
    <definedName name="solver_rhs2172" localSheetId="0" hidden="1">binary</definedName>
    <definedName name="solver_rhs2173" localSheetId="0" hidden="1">binary</definedName>
    <definedName name="solver_rhs2174" localSheetId="0" hidden="1">binary</definedName>
    <definedName name="solver_rhs2175" localSheetId="0" hidden="1">binary</definedName>
    <definedName name="solver_rhs2176" localSheetId="0" hidden="1">binary</definedName>
    <definedName name="solver_rhs2177" localSheetId="0" hidden="1">binary</definedName>
    <definedName name="solver_rhs2178" localSheetId="0" hidden="1">binary</definedName>
    <definedName name="solver_rhs2179" localSheetId="0" hidden="1">binary</definedName>
    <definedName name="solver_rhs218" localSheetId="0" hidden="1">binary</definedName>
    <definedName name="solver_rhs2180" localSheetId="0" hidden="1">binary</definedName>
    <definedName name="solver_rhs2181" localSheetId="0" hidden="1">binary</definedName>
    <definedName name="solver_rhs2182" localSheetId="0" hidden="1">binary</definedName>
    <definedName name="solver_rhs2183" localSheetId="0" hidden="1">binary</definedName>
    <definedName name="solver_rhs2184" localSheetId="0" hidden="1">binary</definedName>
    <definedName name="solver_rhs2185" localSheetId="0" hidden="1">binary</definedName>
    <definedName name="solver_rhs2186" localSheetId="0" hidden="1">binary</definedName>
    <definedName name="solver_rhs2187" localSheetId="0" hidden="1">binary</definedName>
    <definedName name="solver_rhs2188" localSheetId="0" hidden="1">binary</definedName>
    <definedName name="solver_rhs2189" localSheetId="0" hidden="1">binary</definedName>
    <definedName name="solver_rhs219" localSheetId="0" hidden="1">binary</definedName>
    <definedName name="solver_rhs2190" localSheetId="0" hidden="1">binary</definedName>
    <definedName name="solver_rhs2191" localSheetId="0" hidden="1">binary</definedName>
    <definedName name="solver_rhs2192" localSheetId="0" hidden="1">binary</definedName>
    <definedName name="solver_rhs2193" localSheetId="0" hidden="1">binary</definedName>
    <definedName name="solver_rhs2194" localSheetId="0" hidden="1">binary</definedName>
    <definedName name="solver_rhs2195" localSheetId="0" hidden="1">binary</definedName>
    <definedName name="solver_rhs2196" localSheetId="0" hidden="1">binary</definedName>
    <definedName name="solver_rhs2197" localSheetId="0" hidden="1">binary</definedName>
    <definedName name="solver_rhs2198" localSheetId="0" hidden="1">binary</definedName>
    <definedName name="solver_rhs2199" localSheetId="0" hidden="1">binary</definedName>
    <definedName name="solver_rhs22" localSheetId="0" hidden="1">binary</definedName>
    <definedName name="solver_rhs220" localSheetId="0" hidden="1">binary</definedName>
    <definedName name="solver_rhs2200" localSheetId="0" hidden="1">binary</definedName>
    <definedName name="solver_rhs2201" localSheetId="0" hidden="1">binary</definedName>
    <definedName name="solver_rhs2202" localSheetId="0" hidden="1">binary</definedName>
    <definedName name="solver_rhs2203" localSheetId="0" hidden="1">binary</definedName>
    <definedName name="solver_rhs2204" localSheetId="0" hidden="1">binary</definedName>
    <definedName name="solver_rhs2205" localSheetId="0" hidden="1">binary</definedName>
    <definedName name="solver_rhs2206" localSheetId="0" hidden="1">binary</definedName>
    <definedName name="solver_rhs2207" localSheetId="0" hidden="1">binary</definedName>
    <definedName name="solver_rhs2208" localSheetId="0" hidden="1">binary</definedName>
    <definedName name="solver_rhs2209" localSheetId="0" hidden="1">binary</definedName>
    <definedName name="solver_rhs221" localSheetId="0" hidden="1">binary</definedName>
    <definedName name="solver_rhs2210" localSheetId="0" hidden="1">binary</definedName>
    <definedName name="solver_rhs2211" localSheetId="0" hidden="1">binary</definedName>
    <definedName name="solver_rhs2212" localSheetId="0" hidden="1">binary</definedName>
    <definedName name="solver_rhs2213" localSheetId="0" hidden="1">binary</definedName>
    <definedName name="solver_rhs2214" localSheetId="0" hidden="1">binary</definedName>
    <definedName name="solver_rhs2215" localSheetId="0" hidden="1">binary</definedName>
    <definedName name="solver_rhs2216" localSheetId="0" hidden="1">binary</definedName>
    <definedName name="solver_rhs2217" localSheetId="0" hidden="1">binary</definedName>
    <definedName name="solver_rhs2218" localSheetId="0" hidden="1">binary</definedName>
    <definedName name="solver_rhs2219" localSheetId="0" hidden="1">binary</definedName>
    <definedName name="solver_rhs222" localSheetId="0" hidden="1">binary</definedName>
    <definedName name="solver_rhs2220" localSheetId="0" hidden="1">binary</definedName>
    <definedName name="solver_rhs2221" localSheetId="0" hidden="1">binary</definedName>
    <definedName name="solver_rhs2222" localSheetId="0" hidden="1">binary</definedName>
    <definedName name="solver_rhs2223" localSheetId="0" hidden="1">binary</definedName>
    <definedName name="solver_rhs2224" localSheetId="0" hidden="1">binary</definedName>
    <definedName name="solver_rhs2225" localSheetId="0" hidden="1">binary</definedName>
    <definedName name="solver_rhs2226" localSheetId="0" hidden="1">binary</definedName>
    <definedName name="solver_rhs2227" localSheetId="0" hidden="1">binary</definedName>
    <definedName name="solver_rhs2228" localSheetId="0" hidden="1">binary</definedName>
    <definedName name="solver_rhs2229" localSheetId="0" hidden="1">binary</definedName>
    <definedName name="solver_rhs223" localSheetId="0" hidden="1">binary</definedName>
    <definedName name="solver_rhs2230" localSheetId="0" hidden="1">binary</definedName>
    <definedName name="solver_rhs2231" localSheetId="0" hidden="1">binary</definedName>
    <definedName name="solver_rhs2232" localSheetId="0" hidden="1">binary</definedName>
    <definedName name="solver_rhs2233" localSheetId="0" hidden="1">binary</definedName>
    <definedName name="solver_rhs2234" localSheetId="0" hidden="1">binary</definedName>
    <definedName name="solver_rhs2235" localSheetId="0" hidden="1">binary</definedName>
    <definedName name="solver_rhs2236" localSheetId="0" hidden="1">binary</definedName>
    <definedName name="solver_rhs2237" localSheetId="0" hidden="1">binary</definedName>
    <definedName name="solver_rhs2238" localSheetId="0" hidden="1">binary</definedName>
    <definedName name="solver_rhs2239" localSheetId="0" hidden="1">binary</definedName>
    <definedName name="solver_rhs224" localSheetId="0" hidden="1">binary</definedName>
    <definedName name="solver_rhs2240" localSheetId="0" hidden="1">binary</definedName>
    <definedName name="solver_rhs2241" localSheetId="0" hidden="1">binary</definedName>
    <definedName name="solver_rhs2242" localSheetId="0" hidden="1">binary</definedName>
    <definedName name="solver_rhs2243" localSheetId="0" hidden="1">binary</definedName>
    <definedName name="solver_rhs2244" localSheetId="0" hidden="1">binary</definedName>
    <definedName name="solver_rhs2245" localSheetId="0" hidden="1">binary</definedName>
    <definedName name="solver_rhs2246" localSheetId="0" hidden="1">binary</definedName>
    <definedName name="solver_rhs2247" localSheetId="0" hidden="1">binary</definedName>
    <definedName name="solver_rhs2248" localSheetId="0" hidden="1">binary</definedName>
    <definedName name="solver_rhs2249" localSheetId="0" hidden="1">binary</definedName>
    <definedName name="solver_rhs225" localSheetId="0" hidden="1">binary</definedName>
    <definedName name="solver_rhs2250" localSheetId="0" hidden="1">binary</definedName>
    <definedName name="solver_rhs2251" localSheetId="0" hidden="1">binary</definedName>
    <definedName name="solver_rhs2252" localSheetId="0" hidden="1">binary</definedName>
    <definedName name="solver_rhs2253" localSheetId="0" hidden="1">binary</definedName>
    <definedName name="solver_rhs2254" localSheetId="0" hidden="1">binary</definedName>
    <definedName name="solver_rhs2255" localSheetId="0" hidden="1">binary</definedName>
    <definedName name="solver_rhs2256" localSheetId="0" hidden="1">binary</definedName>
    <definedName name="solver_rhs2257" localSheetId="0" hidden="1">binary</definedName>
    <definedName name="solver_rhs2258" localSheetId="0" hidden="1">binary</definedName>
    <definedName name="solver_rhs2259" localSheetId="0" hidden="1">binary</definedName>
    <definedName name="solver_rhs226" localSheetId="0" hidden="1">binary</definedName>
    <definedName name="solver_rhs2260" localSheetId="0" hidden="1">binary</definedName>
    <definedName name="solver_rhs2261" localSheetId="0" hidden="1">binary</definedName>
    <definedName name="solver_rhs2262" localSheetId="0" hidden="1">binary</definedName>
    <definedName name="solver_rhs2263" localSheetId="0" hidden="1">binary</definedName>
    <definedName name="solver_rhs2264" localSheetId="0" hidden="1">binary</definedName>
    <definedName name="solver_rhs2265" localSheetId="0" hidden="1">binary</definedName>
    <definedName name="solver_rhs2266" localSheetId="0" hidden="1">binary</definedName>
    <definedName name="solver_rhs2267" localSheetId="0" hidden="1">binary</definedName>
    <definedName name="solver_rhs2268" localSheetId="0" hidden="1">binary</definedName>
    <definedName name="solver_rhs2269" localSheetId="0" hidden="1">binary</definedName>
    <definedName name="solver_rhs227" localSheetId="0" hidden="1">binary</definedName>
    <definedName name="solver_rhs2270" localSheetId="0" hidden="1">binary</definedName>
    <definedName name="solver_rhs2271" localSheetId="0" hidden="1">binary</definedName>
    <definedName name="solver_rhs2272" localSheetId="0" hidden="1">binary</definedName>
    <definedName name="solver_rhs2273" localSheetId="0" hidden="1">binary</definedName>
    <definedName name="solver_rhs2274" localSheetId="0" hidden="1">binary</definedName>
    <definedName name="solver_rhs2275" localSheetId="0" hidden="1">binary</definedName>
    <definedName name="solver_rhs2276" localSheetId="0" hidden="1">binary</definedName>
    <definedName name="solver_rhs2277" localSheetId="0" hidden="1">binary</definedName>
    <definedName name="solver_rhs2278" localSheetId="0" hidden="1">binary</definedName>
    <definedName name="solver_rhs2279" localSheetId="0" hidden="1">binary</definedName>
    <definedName name="solver_rhs228" localSheetId="0" hidden="1">binary</definedName>
    <definedName name="solver_rhs2280" localSheetId="0" hidden="1">binary</definedName>
    <definedName name="solver_rhs2281" localSheetId="0" hidden="1">binary</definedName>
    <definedName name="solver_rhs2282" localSheetId="0" hidden="1">binary</definedName>
    <definedName name="solver_rhs2283" localSheetId="0" hidden="1">binary</definedName>
    <definedName name="solver_rhs2284" localSheetId="0" hidden="1">binary</definedName>
    <definedName name="solver_rhs2285" localSheetId="0" hidden="1">binary</definedName>
    <definedName name="solver_rhs2286" localSheetId="0" hidden="1">binary</definedName>
    <definedName name="solver_rhs2287" localSheetId="0" hidden="1">binary</definedName>
    <definedName name="solver_rhs2288" localSheetId="0" hidden="1">binary</definedName>
    <definedName name="solver_rhs2289" localSheetId="0" hidden="1">binary</definedName>
    <definedName name="solver_rhs229" localSheetId="0" hidden="1">binary</definedName>
    <definedName name="solver_rhs2290" localSheetId="0" hidden="1">binary</definedName>
    <definedName name="solver_rhs2291" localSheetId="0" hidden="1">binary</definedName>
    <definedName name="solver_rhs2292" localSheetId="0" hidden="1">binary</definedName>
    <definedName name="solver_rhs2293" localSheetId="0" hidden="1">binary</definedName>
    <definedName name="solver_rhs2294" localSheetId="0" hidden="1">binary</definedName>
    <definedName name="solver_rhs2295" localSheetId="0" hidden="1">binary</definedName>
    <definedName name="solver_rhs2296" localSheetId="0" hidden="1">binary</definedName>
    <definedName name="solver_rhs2297" localSheetId="0" hidden="1">binary</definedName>
    <definedName name="solver_rhs2298" localSheetId="0" hidden="1">binary</definedName>
    <definedName name="solver_rhs2299" localSheetId="0" hidden="1">binary</definedName>
    <definedName name="solver_rhs23" localSheetId="0" hidden="1">binary</definedName>
    <definedName name="solver_rhs230" localSheetId="0" hidden="1">binary</definedName>
    <definedName name="solver_rhs2300" localSheetId="0" hidden="1">binary</definedName>
    <definedName name="solver_rhs2301" localSheetId="0" hidden="1">binary</definedName>
    <definedName name="solver_rhs2302" localSheetId="0" hidden="1">binary</definedName>
    <definedName name="solver_rhs2303" localSheetId="0" hidden="1">binary</definedName>
    <definedName name="solver_rhs2304" localSheetId="0" hidden="1">binary</definedName>
    <definedName name="solver_rhs2305" localSheetId="0" hidden="1">binary</definedName>
    <definedName name="solver_rhs2306" localSheetId="0" hidden="1">binary</definedName>
    <definedName name="solver_rhs2307" localSheetId="0" hidden="1">binary</definedName>
    <definedName name="solver_rhs2308" localSheetId="0" hidden="1">binary</definedName>
    <definedName name="solver_rhs2309" localSheetId="0" hidden="1">binary</definedName>
    <definedName name="solver_rhs231" localSheetId="0" hidden="1">binary</definedName>
    <definedName name="solver_rhs2310" localSheetId="0" hidden="1">binary</definedName>
    <definedName name="solver_rhs2311" localSheetId="0" hidden="1">binary</definedName>
    <definedName name="solver_rhs2312" localSheetId="0" hidden="1">binary</definedName>
    <definedName name="solver_rhs2313" localSheetId="0" hidden="1">binary</definedName>
    <definedName name="solver_rhs2314" localSheetId="0" hidden="1">binary</definedName>
    <definedName name="solver_rhs2315" localSheetId="0" hidden="1">binary</definedName>
    <definedName name="solver_rhs2316" localSheetId="0" hidden="1">binary</definedName>
    <definedName name="solver_rhs2317" localSheetId="0" hidden="1">binary</definedName>
    <definedName name="solver_rhs2318" localSheetId="0" hidden="1">binary</definedName>
    <definedName name="solver_rhs2319" localSheetId="0" hidden="1">binary</definedName>
    <definedName name="solver_rhs232" localSheetId="0" hidden="1">binary</definedName>
    <definedName name="solver_rhs2320" localSheetId="0" hidden="1">binary</definedName>
    <definedName name="solver_rhs2321" localSheetId="0" hidden="1">binary</definedName>
    <definedName name="solver_rhs2322" localSheetId="0" hidden="1">binary</definedName>
    <definedName name="solver_rhs2323" localSheetId="0" hidden="1">binary</definedName>
    <definedName name="solver_rhs2324" localSheetId="0" hidden="1">binary</definedName>
    <definedName name="solver_rhs2325" localSheetId="0" hidden="1">binary</definedName>
    <definedName name="solver_rhs2326" localSheetId="0" hidden="1">binary</definedName>
    <definedName name="solver_rhs2327" localSheetId="0" hidden="1">binary</definedName>
    <definedName name="solver_rhs2328" localSheetId="0" hidden="1">binary</definedName>
    <definedName name="solver_rhs2329" localSheetId="0" hidden="1">binary</definedName>
    <definedName name="solver_rhs233" localSheetId="0" hidden="1">binary</definedName>
    <definedName name="solver_rhs2330" localSheetId="0" hidden="1">binary</definedName>
    <definedName name="solver_rhs2331" localSheetId="0" hidden="1">binary</definedName>
    <definedName name="solver_rhs2332" localSheetId="0" hidden="1">binary</definedName>
    <definedName name="solver_rhs2333" localSheetId="0" hidden="1">binary</definedName>
    <definedName name="solver_rhs2334" localSheetId="0" hidden="1">binary</definedName>
    <definedName name="solver_rhs2335" localSheetId="0" hidden="1">binary</definedName>
    <definedName name="solver_rhs2336" localSheetId="0" hidden="1">binary</definedName>
    <definedName name="solver_rhs2337" localSheetId="0" hidden="1">binary</definedName>
    <definedName name="solver_rhs2338" localSheetId="0" hidden="1">binary</definedName>
    <definedName name="solver_rhs2339" localSheetId="0" hidden="1">binary</definedName>
    <definedName name="solver_rhs234" localSheetId="0" hidden="1">binary</definedName>
    <definedName name="solver_rhs2340" localSheetId="0" hidden="1">binary</definedName>
    <definedName name="solver_rhs2341" localSheetId="0" hidden="1">binary</definedName>
    <definedName name="solver_rhs2342" localSheetId="0" hidden="1">binary</definedName>
    <definedName name="solver_rhs2343" localSheetId="0" hidden="1">binary</definedName>
    <definedName name="solver_rhs2344" localSheetId="0" hidden="1">binary</definedName>
    <definedName name="solver_rhs2345" localSheetId="0" hidden="1">binary</definedName>
    <definedName name="solver_rhs2346" localSheetId="0" hidden="1">binary</definedName>
    <definedName name="solver_rhs2347" localSheetId="0" hidden="1">binary</definedName>
    <definedName name="solver_rhs2348" localSheetId="0" hidden="1">binary</definedName>
    <definedName name="solver_rhs2349" localSheetId="0" hidden="1">binary</definedName>
    <definedName name="solver_rhs235" localSheetId="0" hidden="1">binary</definedName>
    <definedName name="solver_rhs2350" localSheetId="0" hidden="1">binary</definedName>
    <definedName name="solver_rhs2351" localSheetId="0" hidden="1">binary</definedName>
    <definedName name="solver_rhs2352" localSheetId="0" hidden="1">binary</definedName>
    <definedName name="solver_rhs2353" localSheetId="0" hidden="1">binary</definedName>
    <definedName name="solver_rhs2354" localSheetId="0" hidden="1">binary</definedName>
    <definedName name="solver_rhs2355" localSheetId="0" hidden="1">binary</definedName>
    <definedName name="solver_rhs2356" localSheetId="0" hidden="1">binary</definedName>
    <definedName name="solver_rhs2357" localSheetId="0" hidden="1">binary</definedName>
    <definedName name="solver_rhs2358" localSheetId="0" hidden="1">binary</definedName>
    <definedName name="solver_rhs2359" localSheetId="0" hidden="1">binary</definedName>
    <definedName name="solver_rhs236" localSheetId="0" hidden="1">binary</definedName>
    <definedName name="solver_rhs2360" localSheetId="0" hidden="1">binary</definedName>
    <definedName name="solver_rhs2361" localSheetId="0" hidden="1">binary</definedName>
    <definedName name="solver_rhs2362" localSheetId="0" hidden="1">binary</definedName>
    <definedName name="solver_rhs2363" localSheetId="0" hidden="1">binary</definedName>
    <definedName name="solver_rhs2364" localSheetId="0" hidden="1">binary</definedName>
    <definedName name="solver_rhs2365" localSheetId="0" hidden="1">binary</definedName>
    <definedName name="solver_rhs2366" localSheetId="0" hidden="1">binary</definedName>
    <definedName name="solver_rhs2367" localSheetId="0" hidden="1">binary</definedName>
    <definedName name="solver_rhs2368" localSheetId="0" hidden="1">binary</definedName>
    <definedName name="solver_rhs2369" localSheetId="0" hidden="1">binary</definedName>
    <definedName name="solver_rhs237" localSheetId="0" hidden="1">binary</definedName>
    <definedName name="solver_rhs2370" localSheetId="0" hidden="1">binary</definedName>
    <definedName name="solver_rhs2371" localSheetId="0" hidden="1">binary</definedName>
    <definedName name="solver_rhs2372" localSheetId="0" hidden="1">binary</definedName>
    <definedName name="solver_rhs2373" localSheetId="0" hidden="1">binary</definedName>
    <definedName name="solver_rhs2374" localSheetId="0" hidden="1">binary</definedName>
    <definedName name="solver_rhs2375" localSheetId="0" hidden="1">binary</definedName>
    <definedName name="solver_rhs2376" localSheetId="0" hidden="1">binary</definedName>
    <definedName name="solver_rhs2377" localSheetId="0" hidden="1">binary</definedName>
    <definedName name="solver_rhs2378" localSheetId="0" hidden="1">binary</definedName>
    <definedName name="solver_rhs2379" localSheetId="0" hidden="1">binary</definedName>
    <definedName name="solver_rhs238" localSheetId="0" hidden="1">binary</definedName>
    <definedName name="solver_rhs2380" localSheetId="0" hidden="1">binary</definedName>
    <definedName name="solver_rhs2381" localSheetId="0" hidden="1">binary</definedName>
    <definedName name="solver_rhs2382" localSheetId="0" hidden="1">binary</definedName>
    <definedName name="solver_rhs2383" localSheetId="0" hidden="1">binary</definedName>
    <definedName name="solver_rhs2384" localSheetId="0" hidden="1">binary</definedName>
    <definedName name="solver_rhs2385" localSheetId="0" hidden="1">binary</definedName>
    <definedName name="solver_rhs2386" localSheetId="0" hidden="1">binary</definedName>
    <definedName name="solver_rhs2387" localSheetId="0" hidden="1">binary</definedName>
    <definedName name="solver_rhs2388" localSheetId="0" hidden="1">binary</definedName>
    <definedName name="solver_rhs2389" localSheetId="0" hidden="1">binary</definedName>
    <definedName name="solver_rhs239" localSheetId="0" hidden="1">binary</definedName>
    <definedName name="solver_rhs2390" localSheetId="0" hidden="1">binary</definedName>
    <definedName name="solver_rhs2391" localSheetId="0" hidden="1">binary</definedName>
    <definedName name="solver_rhs2392" localSheetId="0" hidden="1">binary</definedName>
    <definedName name="solver_rhs2393" localSheetId="0" hidden="1">binary</definedName>
    <definedName name="solver_rhs2394" localSheetId="0" hidden="1">binary</definedName>
    <definedName name="solver_rhs2395" localSheetId="0" hidden="1">binary</definedName>
    <definedName name="solver_rhs2396" localSheetId="0" hidden="1">binary</definedName>
    <definedName name="solver_rhs2397" localSheetId="0" hidden="1">binary</definedName>
    <definedName name="solver_rhs2398" localSheetId="0" hidden="1">binary</definedName>
    <definedName name="solver_rhs2399" localSheetId="0" hidden="1">binary</definedName>
    <definedName name="solver_rhs24" localSheetId="0" hidden="1">binary</definedName>
    <definedName name="solver_rhs240" localSheetId="0" hidden="1">binary</definedName>
    <definedName name="solver_rhs2400" localSheetId="0" hidden="1">binary</definedName>
    <definedName name="solver_rhs2401" localSheetId="0" hidden="1">binary</definedName>
    <definedName name="solver_rhs2402" localSheetId="0" hidden="1">binary</definedName>
    <definedName name="solver_rhs2403" localSheetId="0" hidden="1">binary</definedName>
    <definedName name="solver_rhs2404" localSheetId="0" hidden="1">binary</definedName>
    <definedName name="solver_rhs2405" localSheetId="0" hidden="1">binary</definedName>
    <definedName name="solver_rhs2406" localSheetId="0" hidden="1">binary</definedName>
    <definedName name="solver_rhs2407" localSheetId="0" hidden="1">binary</definedName>
    <definedName name="solver_rhs2408" localSheetId="0" hidden="1">binary</definedName>
    <definedName name="solver_rhs2409" localSheetId="0" hidden="1">binary</definedName>
    <definedName name="solver_rhs241" localSheetId="0" hidden="1">binary</definedName>
    <definedName name="solver_rhs2410" localSheetId="0" hidden="1">binary</definedName>
    <definedName name="solver_rhs2411" localSheetId="0" hidden="1">binary</definedName>
    <definedName name="solver_rhs2412" localSheetId="0" hidden="1">binary</definedName>
    <definedName name="solver_rhs2413" localSheetId="0" hidden="1">binary</definedName>
    <definedName name="solver_rhs2414" localSheetId="0" hidden="1">binary</definedName>
    <definedName name="solver_rhs2415" localSheetId="0" hidden="1">binary</definedName>
    <definedName name="solver_rhs2416" localSheetId="0" hidden="1">binary</definedName>
    <definedName name="solver_rhs2417" localSheetId="0" hidden="1">binary</definedName>
    <definedName name="solver_rhs2418" localSheetId="0" hidden="1">binary</definedName>
    <definedName name="solver_rhs2419" localSheetId="0" hidden="1">binary</definedName>
    <definedName name="solver_rhs242" localSheetId="0" hidden="1">binary</definedName>
    <definedName name="solver_rhs2420" localSheetId="0" hidden="1">binary</definedName>
    <definedName name="solver_rhs2421" localSheetId="0" hidden="1">binary</definedName>
    <definedName name="solver_rhs2422" localSheetId="0" hidden="1">binary</definedName>
    <definedName name="solver_rhs2423" localSheetId="0" hidden="1">binary</definedName>
    <definedName name="solver_rhs2424" localSheetId="0" hidden="1">binary</definedName>
    <definedName name="solver_rhs2425" localSheetId="0" hidden="1">binary</definedName>
    <definedName name="solver_rhs2426" localSheetId="0" hidden="1">binary</definedName>
    <definedName name="solver_rhs2427" localSheetId="0" hidden="1">binary</definedName>
    <definedName name="solver_rhs2428" localSheetId="0" hidden="1">binary</definedName>
    <definedName name="solver_rhs2429" localSheetId="0" hidden="1">binary</definedName>
    <definedName name="solver_rhs243" localSheetId="0" hidden="1">binary</definedName>
    <definedName name="solver_rhs2430" localSheetId="0" hidden="1">binary</definedName>
    <definedName name="solver_rhs2431" localSheetId="0" hidden="1">binary</definedName>
    <definedName name="solver_rhs2432" localSheetId="0" hidden="1">binary</definedName>
    <definedName name="solver_rhs2433" localSheetId="0" hidden="1">binary</definedName>
    <definedName name="solver_rhs2434" localSheetId="0" hidden="1">binary</definedName>
    <definedName name="solver_rhs2435" localSheetId="0" hidden="1">binary</definedName>
    <definedName name="solver_rhs2436" localSheetId="0" hidden="1">binary</definedName>
    <definedName name="solver_rhs2437" localSheetId="0" hidden="1">binary</definedName>
    <definedName name="solver_rhs2438" localSheetId="0" hidden="1">binary</definedName>
    <definedName name="solver_rhs2439" localSheetId="0" hidden="1">binary</definedName>
    <definedName name="solver_rhs244" localSheetId="0" hidden="1">binary</definedName>
    <definedName name="solver_rhs2440" localSheetId="0" hidden="1">binary</definedName>
    <definedName name="solver_rhs2441" localSheetId="0" hidden="1">binary</definedName>
    <definedName name="solver_rhs2442" localSheetId="0" hidden="1">binary</definedName>
    <definedName name="solver_rhs2443" localSheetId="0" hidden="1">binary</definedName>
    <definedName name="solver_rhs2444" localSheetId="0" hidden="1">binary</definedName>
    <definedName name="solver_rhs2445" localSheetId="0" hidden="1">binary</definedName>
    <definedName name="solver_rhs2446" localSheetId="0" hidden="1">binary</definedName>
    <definedName name="solver_rhs2447" localSheetId="0" hidden="1">binary</definedName>
    <definedName name="solver_rhs2448" localSheetId="0" hidden="1">binary</definedName>
    <definedName name="solver_rhs2449" localSheetId="0" hidden="1">binary</definedName>
    <definedName name="solver_rhs245" localSheetId="0" hidden="1">binary</definedName>
    <definedName name="solver_rhs2450" localSheetId="0" hidden="1">binary</definedName>
    <definedName name="solver_rhs2451" localSheetId="0" hidden="1">binary</definedName>
    <definedName name="solver_rhs2452" localSheetId="0" hidden="1">binary</definedName>
    <definedName name="solver_rhs2453" localSheetId="0" hidden="1">binary</definedName>
    <definedName name="solver_rhs2454" localSheetId="0" hidden="1">binary</definedName>
    <definedName name="solver_rhs2455" localSheetId="0" hidden="1">binary</definedName>
    <definedName name="solver_rhs2456" localSheetId="0" hidden="1">binary</definedName>
    <definedName name="solver_rhs2457" localSheetId="0" hidden="1">binary</definedName>
    <definedName name="solver_rhs2458" localSheetId="0" hidden="1">binary</definedName>
    <definedName name="solver_rhs2459" localSheetId="0" hidden="1">binary</definedName>
    <definedName name="solver_rhs246" localSheetId="0" hidden="1">binary</definedName>
    <definedName name="solver_rhs2460" localSheetId="0" hidden="1">binary</definedName>
    <definedName name="solver_rhs2461" localSheetId="0" hidden="1">binary</definedName>
    <definedName name="solver_rhs2462" localSheetId="0" hidden="1">binary</definedName>
    <definedName name="solver_rhs2463" localSheetId="0" hidden="1">binary</definedName>
    <definedName name="solver_rhs2464" localSheetId="0" hidden="1">binary</definedName>
    <definedName name="solver_rhs2465" localSheetId="0" hidden="1">binary</definedName>
    <definedName name="solver_rhs2466" localSheetId="0" hidden="1">binary</definedName>
    <definedName name="solver_rhs2467" localSheetId="0" hidden="1">binary</definedName>
    <definedName name="solver_rhs2468" localSheetId="0" hidden="1">binary</definedName>
    <definedName name="solver_rhs2469" localSheetId="0" hidden="1">binary</definedName>
    <definedName name="solver_rhs247" localSheetId="0" hidden="1">binary</definedName>
    <definedName name="solver_rhs2470" localSheetId="0" hidden="1">binary</definedName>
    <definedName name="solver_rhs2471" localSheetId="0" hidden="1">binary</definedName>
    <definedName name="solver_rhs2472" localSheetId="0" hidden="1">binary</definedName>
    <definedName name="solver_rhs2473" localSheetId="0" hidden="1">binary</definedName>
    <definedName name="solver_rhs2474" localSheetId="0" hidden="1">binary</definedName>
    <definedName name="solver_rhs2475" localSheetId="0" hidden="1">binary</definedName>
    <definedName name="solver_rhs2476" localSheetId="0" hidden="1">binary</definedName>
    <definedName name="solver_rhs2477" localSheetId="0" hidden="1">binary</definedName>
    <definedName name="solver_rhs2478" localSheetId="0" hidden="1">binary</definedName>
    <definedName name="solver_rhs2479" localSheetId="0" hidden="1">binary</definedName>
    <definedName name="solver_rhs248" localSheetId="0" hidden="1">binary</definedName>
    <definedName name="solver_rhs2480" localSheetId="0" hidden="1">binary</definedName>
    <definedName name="solver_rhs2481" localSheetId="0" hidden="1">binary</definedName>
    <definedName name="solver_rhs2482" localSheetId="0" hidden="1">binary</definedName>
    <definedName name="solver_rhs2483" localSheetId="0" hidden="1">binary</definedName>
    <definedName name="solver_rhs2484" localSheetId="0" hidden="1">binary</definedName>
    <definedName name="solver_rhs2485" localSheetId="0" hidden="1">binary</definedName>
    <definedName name="solver_rhs2486" localSheetId="0" hidden="1">binary</definedName>
    <definedName name="solver_rhs2487" localSheetId="0" hidden="1">binary</definedName>
    <definedName name="solver_rhs2488" localSheetId="0" hidden="1">binary</definedName>
    <definedName name="solver_rhs2489" localSheetId="0" hidden="1">binary</definedName>
    <definedName name="solver_rhs249" localSheetId="0" hidden="1">binary</definedName>
    <definedName name="solver_rhs2490" localSheetId="0" hidden="1">binary</definedName>
    <definedName name="solver_rhs2491" localSheetId="0" hidden="1">binary</definedName>
    <definedName name="solver_rhs2492" localSheetId="0" hidden="1">binary</definedName>
    <definedName name="solver_rhs2493" localSheetId="0" hidden="1">binary</definedName>
    <definedName name="solver_rhs2494" localSheetId="0" hidden="1">binary</definedName>
    <definedName name="solver_rhs2495" localSheetId="0" hidden="1">binary</definedName>
    <definedName name="solver_rhs2496" localSheetId="0" hidden="1">binary</definedName>
    <definedName name="solver_rhs2497" localSheetId="0" hidden="1">binary</definedName>
    <definedName name="solver_rhs2498" localSheetId="0" hidden="1">binary</definedName>
    <definedName name="solver_rhs2499" localSheetId="0" hidden="1">binary</definedName>
    <definedName name="solver_rhs25" localSheetId="0" hidden="1">binary</definedName>
    <definedName name="solver_rhs250" localSheetId="0" hidden="1">binary</definedName>
    <definedName name="solver_rhs2500" localSheetId="0" hidden="1">binary</definedName>
    <definedName name="solver_rhs2501" localSheetId="0" hidden="1">binary</definedName>
    <definedName name="solver_rhs2502" localSheetId="0" hidden="1">binary</definedName>
    <definedName name="solver_rhs2503" localSheetId="0" hidden="1">binary</definedName>
    <definedName name="solver_rhs2504" localSheetId="0" hidden="1">binary</definedName>
    <definedName name="solver_rhs2505" localSheetId="0" hidden="1">binary</definedName>
    <definedName name="solver_rhs2506" localSheetId="0" hidden="1">binary</definedName>
    <definedName name="solver_rhs2507" localSheetId="0" hidden="1">binary</definedName>
    <definedName name="solver_rhs2508" localSheetId="0" hidden="1">binary</definedName>
    <definedName name="solver_rhs2509" localSheetId="0" hidden="1">binary</definedName>
    <definedName name="solver_rhs251" localSheetId="0" hidden="1">binary</definedName>
    <definedName name="solver_rhs2510" localSheetId="0" hidden="1">binary</definedName>
    <definedName name="solver_rhs2511" localSheetId="0" hidden="1">binary</definedName>
    <definedName name="solver_rhs2512" localSheetId="0" hidden="1">binary</definedName>
    <definedName name="solver_rhs2513" localSheetId="0" hidden="1">binary</definedName>
    <definedName name="solver_rhs2514" localSheetId="0" hidden="1">binary</definedName>
    <definedName name="solver_rhs2515" localSheetId="0" hidden="1">binary</definedName>
    <definedName name="solver_rhs2516" localSheetId="0" hidden="1">binary</definedName>
    <definedName name="solver_rhs2517" localSheetId="0" hidden="1">binary</definedName>
    <definedName name="solver_rhs2518" localSheetId="0" hidden="1">binary</definedName>
    <definedName name="solver_rhs2519" localSheetId="0" hidden="1">binary</definedName>
    <definedName name="solver_rhs252" localSheetId="0" hidden="1">binary</definedName>
    <definedName name="solver_rhs2520" localSheetId="0" hidden="1">binary</definedName>
    <definedName name="solver_rhs2521" localSheetId="0" hidden="1">binary</definedName>
    <definedName name="solver_rhs2522" localSheetId="0" hidden="1">binary</definedName>
    <definedName name="solver_rhs2523" localSheetId="0" hidden="1">binary</definedName>
    <definedName name="solver_rhs2524" localSheetId="0" hidden="1">binary</definedName>
    <definedName name="solver_rhs2525" localSheetId="0" hidden="1">binary</definedName>
    <definedName name="solver_rhs2526" localSheetId="0" hidden="1">binary</definedName>
    <definedName name="solver_rhs2527" localSheetId="0" hidden="1">binary</definedName>
    <definedName name="solver_rhs2528" localSheetId="0" hidden="1">binary</definedName>
    <definedName name="solver_rhs2529" localSheetId="0" hidden="1">binary</definedName>
    <definedName name="solver_rhs253" localSheetId="0" hidden="1">binary</definedName>
    <definedName name="solver_rhs2530" localSheetId="0" hidden="1">binary</definedName>
    <definedName name="solver_rhs2531" localSheetId="0" hidden="1">binary</definedName>
    <definedName name="solver_rhs2532" localSheetId="0" hidden="1">binary</definedName>
    <definedName name="solver_rhs2533" localSheetId="0" hidden="1">binary</definedName>
    <definedName name="solver_rhs2534" localSheetId="0" hidden="1">binary</definedName>
    <definedName name="solver_rhs2535" localSheetId="0" hidden="1">binary</definedName>
    <definedName name="solver_rhs2536" localSheetId="0" hidden="1">binary</definedName>
    <definedName name="solver_rhs2537" localSheetId="0" hidden="1">binary</definedName>
    <definedName name="solver_rhs2538" localSheetId="0" hidden="1">binary</definedName>
    <definedName name="solver_rhs2539" localSheetId="0" hidden="1">binary</definedName>
    <definedName name="solver_rhs254" localSheetId="0" hidden="1">binary</definedName>
    <definedName name="solver_rhs2540" localSheetId="0" hidden="1">binary</definedName>
    <definedName name="solver_rhs2541" localSheetId="0" hidden="1">binary</definedName>
    <definedName name="solver_rhs2542" localSheetId="0" hidden="1">binary</definedName>
    <definedName name="solver_rhs2543" localSheetId="0" hidden="1">binary</definedName>
    <definedName name="solver_rhs2544" localSheetId="0" hidden="1">binary</definedName>
    <definedName name="solver_rhs2545" localSheetId="0" hidden="1">binary</definedName>
    <definedName name="solver_rhs2546" localSheetId="0" hidden="1">binary</definedName>
    <definedName name="solver_rhs2547" localSheetId="0" hidden="1">binary</definedName>
    <definedName name="solver_rhs2548" localSheetId="0" hidden="1">binary</definedName>
    <definedName name="solver_rhs2549" localSheetId="0" hidden="1">binary</definedName>
    <definedName name="solver_rhs255" localSheetId="0" hidden="1">binary</definedName>
    <definedName name="solver_rhs2550" localSheetId="0" hidden="1">binary</definedName>
    <definedName name="solver_rhs2551" localSheetId="0" hidden="1">binary</definedName>
    <definedName name="solver_rhs2552" localSheetId="0" hidden="1">binary</definedName>
    <definedName name="solver_rhs2553" localSheetId="0" hidden="1">binary</definedName>
    <definedName name="solver_rhs2554" localSheetId="0" hidden="1">binary</definedName>
    <definedName name="solver_rhs2555" localSheetId="0" hidden="1">binary</definedName>
    <definedName name="solver_rhs2556" localSheetId="0" hidden="1">binary</definedName>
    <definedName name="solver_rhs2557" localSheetId="0" hidden="1">binary</definedName>
    <definedName name="solver_rhs2558" localSheetId="0" hidden="1">binary</definedName>
    <definedName name="solver_rhs2559" localSheetId="0" hidden="1">binary</definedName>
    <definedName name="solver_rhs256" localSheetId="0" hidden="1">binary</definedName>
    <definedName name="solver_rhs2560" localSheetId="0" hidden="1">binary</definedName>
    <definedName name="solver_rhs2561" localSheetId="0" hidden="1">binary</definedName>
    <definedName name="solver_rhs2562" localSheetId="0" hidden="1">binary</definedName>
    <definedName name="solver_rhs2563" localSheetId="0" hidden="1">binary</definedName>
    <definedName name="solver_rhs2564" localSheetId="0" hidden="1">binary</definedName>
    <definedName name="solver_rhs2565" localSheetId="0" hidden="1">binary</definedName>
    <definedName name="solver_rhs2566" localSheetId="0" hidden="1">binary</definedName>
    <definedName name="solver_rhs2567" localSheetId="0" hidden="1">binary</definedName>
    <definedName name="solver_rhs2568" localSheetId="0" hidden="1">binary</definedName>
    <definedName name="solver_rhs2569" localSheetId="0" hidden="1">binary</definedName>
    <definedName name="solver_rhs257" localSheetId="0" hidden="1">binary</definedName>
    <definedName name="solver_rhs2570" localSheetId="0" hidden="1">binary</definedName>
    <definedName name="solver_rhs2571" localSheetId="0" hidden="1">binary</definedName>
    <definedName name="solver_rhs2572" localSheetId="0" hidden="1">binary</definedName>
    <definedName name="solver_rhs2573" localSheetId="0" hidden="1">binary</definedName>
    <definedName name="solver_rhs2574" localSheetId="0" hidden="1">binary</definedName>
    <definedName name="solver_rhs2575" localSheetId="0" hidden="1">binary</definedName>
    <definedName name="solver_rhs2576" localSheetId="0" hidden="1">binary</definedName>
    <definedName name="solver_rhs2577" localSheetId="0" hidden="1">binary</definedName>
    <definedName name="solver_rhs2578" localSheetId="0" hidden="1">binary</definedName>
    <definedName name="solver_rhs2579" localSheetId="0" hidden="1">binary</definedName>
    <definedName name="solver_rhs258" localSheetId="0" hidden="1">binary</definedName>
    <definedName name="solver_rhs2580" localSheetId="0" hidden="1">binary</definedName>
    <definedName name="solver_rhs2581" localSheetId="0" hidden="1">binary</definedName>
    <definedName name="solver_rhs2582" localSheetId="0" hidden="1">binary</definedName>
    <definedName name="solver_rhs2583" localSheetId="0" hidden="1">binary</definedName>
    <definedName name="solver_rhs2584" localSheetId="0" hidden="1">binary</definedName>
    <definedName name="solver_rhs2585" localSheetId="0" hidden="1">binary</definedName>
    <definedName name="solver_rhs2586" localSheetId="0" hidden="1">binary</definedName>
    <definedName name="solver_rhs2587" localSheetId="0" hidden="1">binary</definedName>
    <definedName name="solver_rhs2588" localSheetId="0" hidden="1">binary</definedName>
    <definedName name="solver_rhs2589" localSheetId="0" hidden="1">binary</definedName>
    <definedName name="solver_rhs259" localSheetId="0" hidden="1">binary</definedName>
    <definedName name="solver_rhs2590" localSheetId="0" hidden="1">binary</definedName>
    <definedName name="solver_rhs2591" localSheetId="0" hidden="1">binary</definedName>
    <definedName name="solver_rhs2592" localSheetId="0" hidden="1">binary</definedName>
    <definedName name="solver_rhs2593" localSheetId="0" hidden="1">binary</definedName>
    <definedName name="solver_rhs2594" localSheetId="0" hidden="1">binary</definedName>
    <definedName name="solver_rhs2595" localSheetId="0" hidden="1">binary</definedName>
    <definedName name="solver_rhs2596" localSheetId="0" hidden="1">binary</definedName>
    <definedName name="solver_rhs2597" localSheetId="0" hidden="1">binary</definedName>
    <definedName name="solver_rhs2598" localSheetId="0" hidden="1">binary</definedName>
    <definedName name="solver_rhs2599" localSheetId="0" hidden="1">binary</definedName>
    <definedName name="solver_rhs26" localSheetId="0" hidden="1">binary</definedName>
    <definedName name="solver_rhs260" localSheetId="0" hidden="1">binary</definedName>
    <definedName name="solver_rhs2600" localSheetId="0" hidden="1">binary</definedName>
    <definedName name="solver_rhs2601" localSheetId="0" hidden="1">binary</definedName>
    <definedName name="solver_rhs2602" localSheetId="0" hidden="1">binary</definedName>
    <definedName name="solver_rhs2603" localSheetId="0" hidden="1">binary</definedName>
    <definedName name="solver_rhs2604" localSheetId="0" hidden="1">binary</definedName>
    <definedName name="solver_rhs2605" localSheetId="0" hidden="1">binary</definedName>
    <definedName name="solver_rhs2606" localSheetId="0" hidden="1">binary</definedName>
    <definedName name="solver_rhs2607" localSheetId="0" hidden="1">binary</definedName>
    <definedName name="solver_rhs2608" localSheetId="0" hidden="1">binary</definedName>
    <definedName name="solver_rhs2609" localSheetId="0" hidden="1">binary</definedName>
    <definedName name="solver_rhs261" localSheetId="0" hidden="1">binary</definedName>
    <definedName name="solver_rhs2610" localSheetId="0" hidden="1">binary</definedName>
    <definedName name="solver_rhs2611" localSheetId="0" hidden="1">binary</definedName>
    <definedName name="solver_rhs2612" localSheetId="0" hidden="1">binary</definedName>
    <definedName name="solver_rhs2613" localSheetId="0" hidden="1">binary</definedName>
    <definedName name="solver_rhs2614" localSheetId="0" hidden="1">binary</definedName>
    <definedName name="solver_rhs2615" localSheetId="0" hidden="1">binary</definedName>
    <definedName name="solver_rhs2616" localSheetId="0" hidden="1">binary</definedName>
    <definedName name="solver_rhs2617" localSheetId="0" hidden="1">binary</definedName>
    <definedName name="solver_rhs2618" localSheetId="0" hidden="1">binary</definedName>
    <definedName name="solver_rhs2619" localSheetId="0" hidden="1">binary</definedName>
    <definedName name="solver_rhs262" localSheetId="0" hidden="1">binary</definedName>
    <definedName name="solver_rhs2620" localSheetId="0" hidden="1">binary</definedName>
    <definedName name="solver_rhs2621" localSheetId="0" hidden="1">binary</definedName>
    <definedName name="solver_rhs2622" localSheetId="0" hidden="1">binary</definedName>
    <definedName name="solver_rhs2623" localSheetId="0" hidden="1">binary</definedName>
    <definedName name="solver_rhs2624" localSheetId="0" hidden="1">binary</definedName>
    <definedName name="solver_rhs2625" localSheetId="0" hidden="1">binary</definedName>
    <definedName name="solver_rhs2626" localSheetId="0" hidden="1">binary</definedName>
    <definedName name="solver_rhs2627" localSheetId="0" hidden="1">binary</definedName>
    <definedName name="solver_rhs2628" localSheetId="0" hidden="1">binary</definedName>
    <definedName name="solver_rhs2629" localSheetId="0" hidden="1">binary</definedName>
    <definedName name="solver_rhs263" localSheetId="0" hidden="1">binary</definedName>
    <definedName name="solver_rhs2630" localSheetId="0" hidden="1">binary</definedName>
    <definedName name="solver_rhs2631" localSheetId="0" hidden="1">binary</definedName>
    <definedName name="solver_rhs2632" localSheetId="0" hidden="1">binary</definedName>
    <definedName name="solver_rhs2633" localSheetId="0" hidden="1">binary</definedName>
    <definedName name="solver_rhs2634" localSheetId="0" hidden="1">binary</definedName>
    <definedName name="solver_rhs2635" localSheetId="0" hidden="1">binary</definedName>
    <definedName name="solver_rhs2636" localSheetId="0" hidden="1">binary</definedName>
    <definedName name="solver_rhs2637" localSheetId="0" hidden="1">binary</definedName>
    <definedName name="solver_rhs2638" localSheetId="0" hidden="1">binary</definedName>
    <definedName name="solver_rhs2639" localSheetId="0" hidden="1">binary</definedName>
    <definedName name="solver_rhs264" localSheetId="0" hidden="1">binary</definedName>
    <definedName name="solver_rhs2640" localSheetId="0" hidden="1">binary</definedName>
    <definedName name="solver_rhs2641" localSheetId="0" hidden="1">binary</definedName>
    <definedName name="solver_rhs2642" localSheetId="0" hidden="1">binary</definedName>
    <definedName name="solver_rhs2643" localSheetId="0" hidden="1">binary</definedName>
    <definedName name="solver_rhs2644" localSheetId="0" hidden="1">binary</definedName>
    <definedName name="solver_rhs2645" localSheetId="0" hidden="1">binary</definedName>
    <definedName name="solver_rhs2646" localSheetId="0" hidden="1">binary</definedName>
    <definedName name="solver_rhs2647" localSheetId="0" hidden="1">binary</definedName>
    <definedName name="solver_rhs2648" localSheetId="0" hidden="1">binary</definedName>
    <definedName name="solver_rhs2649" localSheetId="0" hidden="1">binary</definedName>
    <definedName name="solver_rhs265" localSheetId="0" hidden="1">binary</definedName>
    <definedName name="solver_rhs2650" localSheetId="0" hidden="1">binary</definedName>
    <definedName name="solver_rhs2651" localSheetId="0" hidden="1">binary</definedName>
    <definedName name="solver_rhs2652" localSheetId="0" hidden="1">binary</definedName>
    <definedName name="solver_rhs2653" localSheetId="0" hidden="1">binary</definedName>
    <definedName name="solver_rhs2654" localSheetId="0" hidden="1">binary</definedName>
    <definedName name="solver_rhs2655" localSheetId="0" hidden="1">binary</definedName>
    <definedName name="solver_rhs2656" localSheetId="0" hidden="1">binary</definedName>
    <definedName name="solver_rhs2657" localSheetId="0" hidden="1">binary</definedName>
    <definedName name="solver_rhs2658" localSheetId="0" hidden="1">binary</definedName>
    <definedName name="solver_rhs2659" localSheetId="0" hidden="1">binary</definedName>
    <definedName name="solver_rhs266" localSheetId="0" hidden="1">binary</definedName>
    <definedName name="solver_rhs2660" localSheetId="0" hidden="1">binary</definedName>
    <definedName name="solver_rhs2661" localSheetId="0" hidden="1">binary</definedName>
    <definedName name="solver_rhs2662" localSheetId="0" hidden="1">binary</definedName>
    <definedName name="solver_rhs2663" localSheetId="0" hidden="1">binary</definedName>
    <definedName name="solver_rhs2664" localSheetId="0" hidden="1">binary</definedName>
    <definedName name="solver_rhs2665" localSheetId="0" hidden="1">binary</definedName>
    <definedName name="solver_rhs2666" localSheetId="0" hidden="1">binary</definedName>
    <definedName name="solver_rhs2667" localSheetId="0" hidden="1">binary</definedName>
    <definedName name="solver_rhs2668" localSheetId="0" hidden="1">binary</definedName>
    <definedName name="solver_rhs2669" localSheetId="0" hidden="1">binary</definedName>
    <definedName name="solver_rhs267" localSheetId="0" hidden="1">binary</definedName>
    <definedName name="solver_rhs2670" localSheetId="0" hidden="1">binary</definedName>
    <definedName name="solver_rhs2671" localSheetId="0" hidden="1">binary</definedName>
    <definedName name="solver_rhs2672" localSheetId="0" hidden="1">binary</definedName>
    <definedName name="solver_rhs2673" localSheetId="0" hidden="1">binary</definedName>
    <definedName name="solver_rhs2674" localSheetId="0" hidden="1">binary</definedName>
    <definedName name="solver_rhs2675" localSheetId="0" hidden="1">binary</definedName>
    <definedName name="solver_rhs2676" localSheetId="0" hidden="1">binary</definedName>
    <definedName name="solver_rhs2677" localSheetId="0" hidden="1">binary</definedName>
    <definedName name="solver_rhs2678" localSheetId="0" hidden="1">binary</definedName>
    <definedName name="solver_rhs2679" localSheetId="0" hidden="1">binary</definedName>
    <definedName name="solver_rhs268" localSheetId="0" hidden="1">binary</definedName>
    <definedName name="solver_rhs2680" localSheetId="0" hidden="1">binary</definedName>
    <definedName name="solver_rhs2681" localSheetId="0" hidden="1">binary</definedName>
    <definedName name="solver_rhs2682" localSheetId="0" hidden="1">binary</definedName>
    <definedName name="solver_rhs2683" localSheetId="0" hidden="1">binary</definedName>
    <definedName name="solver_rhs2684" localSheetId="0" hidden="1">binary</definedName>
    <definedName name="solver_rhs2685" localSheetId="0" hidden="1">binary</definedName>
    <definedName name="solver_rhs2686" localSheetId="0" hidden="1">binary</definedName>
    <definedName name="solver_rhs2687" localSheetId="0" hidden="1">binary</definedName>
    <definedName name="solver_rhs2688" localSheetId="0" hidden="1">binary</definedName>
    <definedName name="solver_rhs2689" localSheetId="0" hidden="1">binary</definedName>
    <definedName name="solver_rhs269" localSheetId="0" hidden="1">binary</definedName>
    <definedName name="solver_rhs2690" localSheetId="0" hidden="1">binary</definedName>
    <definedName name="solver_rhs2691" localSheetId="0" hidden="1">binary</definedName>
    <definedName name="solver_rhs2692" localSheetId="0" hidden="1">binary</definedName>
    <definedName name="solver_rhs2693" localSheetId="0" hidden="1">binary</definedName>
    <definedName name="solver_rhs2694" localSheetId="0" hidden="1">binary</definedName>
    <definedName name="solver_rhs2695" localSheetId="0" hidden="1">binary</definedName>
    <definedName name="solver_rhs2696" localSheetId="0" hidden="1">binary</definedName>
    <definedName name="solver_rhs2697" localSheetId="0" hidden="1">binary</definedName>
    <definedName name="solver_rhs2698" localSheetId="0" hidden="1">binary</definedName>
    <definedName name="solver_rhs2699" localSheetId="0" hidden="1">binary</definedName>
    <definedName name="solver_rhs27" localSheetId="0" hidden="1">binary</definedName>
    <definedName name="solver_rhs270" localSheetId="0" hidden="1">binary</definedName>
    <definedName name="solver_rhs2700" localSheetId="0" hidden="1">binary</definedName>
    <definedName name="solver_rhs2701" localSheetId="0" hidden="1">binary</definedName>
    <definedName name="solver_rhs2702" localSheetId="0" hidden="1">binary</definedName>
    <definedName name="solver_rhs2703" localSheetId="0" hidden="1">binary</definedName>
    <definedName name="solver_rhs2704" localSheetId="0" hidden="1">binary</definedName>
    <definedName name="solver_rhs2705" localSheetId="0" hidden="1">binary</definedName>
    <definedName name="solver_rhs2706" localSheetId="0" hidden="1">binary</definedName>
    <definedName name="solver_rhs2707" localSheetId="0" hidden="1">binary</definedName>
    <definedName name="solver_rhs2708" localSheetId="0" hidden="1">binary</definedName>
    <definedName name="solver_rhs2709" localSheetId="0" hidden="1">binary</definedName>
    <definedName name="solver_rhs271" localSheetId="0" hidden="1">binary</definedName>
    <definedName name="solver_rhs2710" localSheetId="0" hidden="1">binary</definedName>
    <definedName name="solver_rhs2711" localSheetId="0" hidden="1">binary</definedName>
    <definedName name="solver_rhs2712" localSheetId="0" hidden="1">binary</definedName>
    <definedName name="solver_rhs2713" localSheetId="0" hidden="1">binary</definedName>
    <definedName name="solver_rhs2714" localSheetId="0" hidden="1">binary</definedName>
    <definedName name="solver_rhs2715" localSheetId="0" hidden="1">binary</definedName>
    <definedName name="solver_rhs2716" localSheetId="0" hidden="1">binary</definedName>
    <definedName name="solver_rhs2717" localSheetId="0" hidden="1">binary</definedName>
    <definedName name="solver_rhs2718" localSheetId="0" hidden="1">binary</definedName>
    <definedName name="solver_rhs2719" localSheetId="0" hidden="1">binary</definedName>
    <definedName name="solver_rhs272" localSheetId="0" hidden="1">binary</definedName>
    <definedName name="solver_rhs2720" localSheetId="0" hidden="1">binary</definedName>
    <definedName name="solver_rhs2721" localSheetId="0" hidden="1">binary</definedName>
    <definedName name="solver_rhs2722" localSheetId="0" hidden="1">binary</definedName>
    <definedName name="solver_rhs2723" localSheetId="0" hidden="1">binary</definedName>
    <definedName name="solver_rhs2724" localSheetId="0" hidden="1">binary</definedName>
    <definedName name="solver_rhs2725" localSheetId="0" hidden="1">binary</definedName>
    <definedName name="solver_rhs2726" localSheetId="0" hidden="1">binary</definedName>
    <definedName name="solver_rhs2727" localSheetId="0" hidden="1">binary</definedName>
    <definedName name="solver_rhs2728" localSheetId="0" hidden="1">binary</definedName>
    <definedName name="solver_rhs2729" localSheetId="0" hidden="1">binary</definedName>
    <definedName name="solver_rhs273" localSheetId="0" hidden="1">binary</definedName>
    <definedName name="solver_rhs2730" localSheetId="0" hidden="1">binary</definedName>
    <definedName name="solver_rhs2731" localSheetId="0" hidden="1">binary</definedName>
    <definedName name="solver_rhs2732" localSheetId="0" hidden="1">binary</definedName>
    <definedName name="solver_rhs2733" localSheetId="0" hidden="1">binary</definedName>
    <definedName name="solver_rhs2734" localSheetId="0" hidden="1">binary</definedName>
    <definedName name="solver_rhs2735" localSheetId="0" hidden="1">binary</definedName>
    <definedName name="solver_rhs2736" localSheetId="0" hidden="1">binary</definedName>
    <definedName name="solver_rhs2737" localSheetId="0" hidden="1">binary</definedName>
    <definedName name="solver_rhs2738" localSheetId="0" hidden="1">binary</definedName>
    <definedName name="solver_rhs2739" localSheetId="0" hidden="1">binary</definedName>
    <definedName name="solver_rhs274" localSheetId="0" hidden="1">binary</definedName>
    <definedName name="solver_rhs2740" localSheetId="0" hidden="1">binary</definedName>
    <definedName name="solver_rhs2741" localSheetId="0" hidden="1">binary</definedName>
    <definedName name="solver_rhs2742" localSheetId="0" hidden="1">binary</definedName>
    <definedName name="solver_rhs2743" localSheetId="0" hidden="1">binary</definedName>
    <definedName name="solver_rhs2744" localSheetId="0" hidden="1">binary</definedName>
    <definedName name="solver_rhs2745" localSheetId="0" hidden="1">binary</definedName>
    <definedName name="solver_rhs2746" localSheetId="0" hidden="1">binary</definedName>
    <definedName name="solver_rhs2747" localSheetId="0" hidden="1">binary</definedName>
    <definedName name="solver_rhs2748" localSheetId="0" hidden="1">binary</definedName>
    <definedName name="solver_rhs2749" localSheetId="0" hidden="1">binary</definedName>
    <definedName name="solver_rhs275" localSheetId="0" hidden="1">binary</definedName>
    <definedName name="solver_rhs2750" localSheetId="0" hidden="1">binary</definedName>
    <definedName name="solver_rhs2751" localSheetId="0" hidden="1">binary</definedName>
    <definedName name="solver_rhs2752" localSheetId="0" hidden="1">binary</definedName>
    <definedName name="solver_rhs2753" localSheetId="0" hidden="1">binary</definedName>
    <definedName name="solver_rhs2754" localSheetId="0" hidden="1">binary</definedName>
    <definedName name="solver_rhs2755" localSheetId="0" hidden="1">binary</definedName>
    <definedName name="solver_rhs2756" localSheetId="0" hidden="1">binary</definedName>
    <definedName name="solver_rhs2757" localSheetId="0" hidden="1">binary</definedName>
    <definedName name="solver_rhs2758" localSheetId="0" hidden="1">binary</definedName>
    <definedName name="solver_rhs2759" localSheetId="0" hidden="1">binary</definedName>
    <definedName name="solver_rhs276" localSheetId="0" hidden="1">binary</definedName>
    <definedName name="solver_rhs2760" localSheetId="0" hidden="1">binary</definedName>
    <definedName name="solver_rhs2761" localSheetId="0" hidden="1">binary</definedName>
    <definedName name="solver_rhs2762" localSheetId="0" hidden="1">binary</definedName>
    <definedName name="solver_rhs2763" localSheetId="0" hidden="1">binary</definedName>
    <definedName name="solver_rhs2764" localSheetId="0" hidden="1">binary</definedName>
    <definedName name="solver_rhs2765" localSheetId="0" hidden="1">binary</definedName>
    <definedName name="solver_rhs2766" localSheetId="0" hidden="1">binary</definedName>
    <definedName name="solver_rhs2767" localSheetId="0" hidden="1">binary</definedName>
    <definedName name="solver_rhs2768" localSheetId="0" hidden="1">binary</definedName>
    <definedName name="solver_rhs2769" localSheetId="0" hidden="1">binary</definedName>
    <definedName name="solver_rhs277" localSheetId="0" hidden="1">binary</definedName>
    <definedName name="solver_rhs2770" localSheetId="0" hidden="1">binary</definedName>
    <definedName name="solver_rhs2771" localSheetId="0" hidden="1">binary</definedName>
    <definedName name="solver_rhs2772" localSheetId="0" hidden="1">binary</definedName>
    <definedName name="solver_rhs2773" localSheetId="0" hidden="1">binary</definedName>
    <definedName name="solver_rhs2774" localSheetId="0" hidden="1">binary</definedName>
    <definedName name="solver_rhs2775" localSheetId="0" hidden="1">binary</definedName>
    <definedName name="solver_rhs2776" localSheetId="0" hidden="1">binary</definedName>
    <definedName name="solver_rhs2777" localSheetId="0" hidden="1">binary</definedName>
    <definedName name="solver_rhs2778" localSheetId="0" hidden="1">binary</definedName>
    <definedName name="solver_rhs2779" localSheetId="0" hidden="1">binary</definedName>
    <definedName name="solver_rhs278" localSheetId="0" hidden="1">binary</definedName>
    <definedName name="solver_rhs2780" localSheetId="0" hidden="1">binary</definedName>
    <definedName name="solver_rhs2781" localSheetId="0" hidden="1">binary</definedName>
    <definedName name="solver_rhs2782" localSheetId="0" hidden="1">binary</definedName>
    <definedName name="solver_rhs2783" localSheetId="0" hidden="1">binary</definedName>
    <definedName name="solver_rhs2784" localSheetId="0" hidden="1">binary</definedName>
    <definedName name="solver_rhs2785" localSheetId="0" hidden="1">binary</definedName>
    <definedName name="solver_rhs2786" localSheetId="0" hidden="1">binary</definedName>
    <definedName name="solver_rhs2787" localSheetId="0" hidden="1">binary</definedName>
    <definedName name="solver_rhs2788" localSheetId="0" hidden="1">binary</definedName>
    <definedName name="solver_rhs2789" localSheetId="0" hidden="1">binary</definedName>
    <definedName name="solver_rhs279" localSheetId="0" hidden="1">binary</definedName>
    <definedName name="solver_rhs2790" localSheetId="0" hidden="1">binary</definedName>
    <definedName name="solver_rhs2791" localSheetId="0" hidden="1">binary</definedName>
    <definedName name="solver_rhs2792" localSheetId="0" hidden="1">binary</definedName>
    <definedName name="solver_rhs2793" localSheetId="0" hidden="1">binary</definedName>
    <definedName name="solver_rhs2794" localSheetId="0" hidden="1">binary</definedName>
    <definedName name="solver_rhs2795" localSheetId="0" hidden="1">binary</definedName>
    <definedName name="solver_rhs2796" localSheetId="0" hidden="1">binary</definedName>
    <definedName name="solver_rhs2797" localSheetId="0" hidden="1">binary</definedName>
    <definedName name="solver_rhs2798" localSheetId="0" hidden="1">binary</definedName>
    <definedName name="solver_rhs2799" localSheetId="0" hidden="1">binary</definedName>
    <definedName name="solver_rhs28" localSheetId="0" hidden="1">binary</definedName>
    <definedName name="solver_rhs280" localSheetId="0" hidden="1">binary</definedName>
    <definedName name="solver_rhs2800" localSheetId="0" hidden="1">binary</definedName>
    <definedName name="solver_rhs2801" localSheetId="0" hidden="1">binary</definedName>
    <definedName name="solver_rhs2802" localSheetId="0" hidden="1">binary</definedName>
    <definedName name="solver_rhs2803" localSheetId="0" hidden="1">binary</definedName>
    <definedName name="solver_rhs2804" localSheetId="0" hidden="1">binary</definedName>
    <definedName name="solver_rhs2805" localSheetId="0" hidden="1">binary</definedName>
    <definedName name="solver_rhs2806" localSheetId="0" hidden="1">binary</definedName>
    <definedName name="solver_rhs2807" localSheetId="0" hidden="1">binary</definedName>
    <definedName name="solver_rhs2808" localSheetId="0" hidden="1">binary</definedName>
    <definedName name="solver_rhs2809" localSheetId="0" hidden="1">binary</definedName>
    <definedName name="solver_rhs281" localSheetId="0" hidden="1">binary</definedName>
    <definedName name="solver_rhs2810" localSheetId="0" hidden="1">binary</definedName>
    <definedName name="solver_rhs2811" localSheetId="0" hidden="1">binary</definedName>
    <definedName name="solver_rhs2812" localSheetId="0" hidden="1">binary</definedName>
    <definedName name="solver_rhs2813" localSheetId="0" hidden="1">binary</definedName>
    <definedName name="solver_rhs2814" localSheetId="0" hidden="1">binary</definedName>
    <definedName name="solver_rhs2815" localSheetId="0" hidden="1">binary</definedName>
    <definedName name="solver_rhs2816" localSheetId="0" hidden="1">binary</definedName>
    <definedName name="solver_rhs2817" localSheetId="0" hidden="1">binary</definedName>
    <definedName name="solver_rhs2818" localSheetId="0" hidden="1">binary</definedName>
    <definedName name="solver_rhs2819" localSheetId="0" hidden="1">binary</definedName>
    <definedName name="solver_rhs282" localSheetId="0" hidden="1">binary</definedName>
    <definedName name="solver_rhs2820" localSheetId="0" hidden="1">binary</definedName>
    <definedName name="solver_rhs2821" localSheetId="0" hidden="1">binary</definedName>
    <definedName name="solver_rhs2822" localSheetId="0" hidden="1">binary</definedName>
    <definedName name="solver_rhs2823" localSheetId="0" hidden="1">binary</definedName>
    <definedName name="solver_rhs2824" localSheetId="0" hidden="1">binary</definedName>
    <definedName name="solver_rhs2825" localSheetId="0" hidden="1">binary</definedName>
    <definedName name="solver_rhs2826" localSheetId="0" hidden="1">binary</definedName>
    <definedName name="solver_rhs2827" localSheetId="0" hidden="1">binary</definedName>
    <definedName name="solver_rhs2828" localSheetId="0" hidden="1">binary</definedName>
    <definedName name="solver_rhs2829" localSheetId="0" hidden="1">binary</definedName>
    <definedName name="solver_rhs283" localSheetId="0" hidden="1">binary</definedName>
    <definedName name="solver_rhs2830" localSheetId="0" hidden="1">binary</definedName>
    <definedName name="solver_rhs2831" localSheetId="0" hidden="1">binary</definedName>
    <definedName name="solver_rhs2832" localSheetId="0" hidden="1">binary</definedName>
    <definedName name="solver_rhs2833" localSheetId="0" hidden="1">binary</definedName>
    <definedName name="solver_rhs2834" localSheetId="0" hidden="1">binary</definedName>
    <definedName name="solver_rhs2835" localSheetId="0" hidden="1">binary</definedName>
    <definedName name="solver_rhs2836" localSheetId="0" hidden="1">binary</definedName>
    <definedName name="solver_rhs2837" localSheetId="0" hidden="1">binary</definedName>
    <definedName name="solver_rhs2838" localSheetId="0" hidden="1">binary</definedName>
    <definedName name="solver_rhs2839" localSheetId="0" hidden="1">binary</definedName>
    <definedName name="solver_rhs284" localSheetId="0" hidden="1">binary</definedName>
    <definedName name="solver_rhs2840" localSheetId="0" hidden="1">binary</definedName>
    <definedName name="solver_rhs2841" localSheetId="0" hidden="1">binary</definedName>
    <definedName name="solver_rhs2842" localSheetId="0" hidden="1">binary</definedName>
    <definedName name="solver_rhs2843" localSheetId="0" hidden="1">binary</definedName>
    <definedName name="solver_rhs2844" localSheetId="0" hidden="1">binary</definedName>
    <definedName name="solver_rhs2845" localSheetId="0" hidden="1">binary</definedName>
    <definedName name="solver_rhs2846" localSheetId="0" hidden="1">binary</definedName>
    <definedName name="solver_rhs2847" localSheetId="0" hidden="1">binary</definedName>
    <definedName name="solver_rhs2848" localSheetId="0" hidden="1">binary</definedName>
    <definedName name="solver_rhs2849" localSheetId="0" hidden="1">binary</definedName>
    <definedName name="solver_rhs285" localSheetId="0" hidden="1">binary</definedName>
    <definedName name="solver_rhs2850" localSheetId="0" hidden="1">binary</definedName>
    <definedName name="solver_rhs2851" localSheetId="0" hidden="1">binary</definedName>
    <definedName name="solver_rhs2852" localSheetId="0" hidden="1">binary</definedName>
    <definedName name="solver_rhs2853" localSheetId="0" hidden="1">binary</definedName>
    <definedName name="solver_rhs2854" localSheetId="0" hidden="1">binary</definedName>
    <definedName name="solver_rhs2855" localSheetId="0" hidden="1">binary</definedName>
    <definedName name="solver_rhs2856" localSheetId="0" hidden="1">binary</definedName>
    <definedName name="solver_rhs2857" localSheetId="0" hidden="1">binary</definedName>
    <definedName name="solver_rhs2858" localSheetId="0" hidden="1">binary</definedName>
    <definedName name="solver_rhs2859" localSheetId="0" hidden="1">binary</definedName>
    <definedName name="solver_rhs286" localSheetId="0" hidden="1">binary</definedName>
    <definedName name="solver_rhs2860" localSheetId="0" hidden="1">binary</definedName>
    <definedName name="solver_rhs2861" localSheetId="0" hidden="1">binary</definedName>
    <definedName name="solver_rhs2862" localSheetId="0" hidden="1">binary</definedName>
    <definedName name="solver_rhs2863" localSheetId="0" hidden="1">binary</definedName>
    <definedName name="solver_rhs2864" localSheetId="0" hidden="1">binary</definedName>
    <definedName name="solver_rhs2865" localSheetId="0" hidden="1">binary</definedName>
    <definedName name="solver_rhs2866" localSheetId="0" hidden="1">binary</definedName>
    <definedName name="solver_rhs2867" localSheetId="0" hidden="1">binary</definedName>
    <definedName name="solver_rhs2868" localSheetId="0" hidden="1">binary</definedName>
    <definedName name="solver_rhs2869" localSheetId="0" hidden="1">binary</definedName>
    <definedName name="solver_rhs287" localSheetId="0" hidden="1">binary</definedName>
    <definedName name="solver_rhs2870" localSheetId="0" hidden="1">binary</definedName>
    <definedName name="solver_rhs2871" localSheetId="0" hidden="1">binary</definedName>
    <definedName name="solver_rhs2872" localSheetId="0" hidden="1">binary</definedName>
    <definedName name="solver_rhs2873" localSheetId="0" hidden="1">binary</definedName>
    <definedName name="solver_rhs2874" localSheetId="0" hidden="1">binary</definedName>
    <definedName name="solver_rhs2875" localSheetId="0" hidden="1">binary</definedName>
    <definedName name="solver_rhs2876" localSheetId="0" hidden="1">binary</definedName>
    <definedName name="solver_rhs2877" localSheetId="0" hidden="1">binary</definedName>
    <definedName name="solver_rhs2878" localSheetId="0" hidden="1">binary</definedName>
    <definedName name="solver_rhs2879" localSheetId="0" hidden="1">binary</definedName>
    <definedName name="solver_rhs288" localSheetId="0" hidden="1">binary</definedName>
    <definedName name="solver_rhs2880" localSheetId="0" hidden="1">binary</definedName>
    <definedName name="solver_rhs2881" localSheetId="0" hidden="1">binary</definedName>
    <definedName name="solver_rhs2882" localSheetId="0" hidden="1">binary</definedName>
    <definedName name="solver_rhs2883" localSheetId="0" hidden="1">binary</definedName>
    <definedName name="solver_rhs2884" localSheetId="0" hidden="1">binary</definedName>
    <definedName name="solver_rhs2885" localSheetId="0" hidden="1">binary</definedName>
    <definedName name="solver_rhs2886" localSheetId="0" hidden="1">binary</definedName>
    <definedName name="solver_rhs2887" localSheetId="0" hidden="1">binary</definedName>
    <definedName name="solver_rhs2888" localSheetId="0" hidden="1">binary</definedName>
    <definedName name="solver_rhs2889" localSheetId="0" hidden="1">binary</definedName>
    <definedName name="solver_rhs289" localSheetId="0" hidden="1">binary</definedName>
    <definedName name="solver_rhs2890" localSheetId="0" hidden="1">binary</definedName>
    <definedName name="solver_rhs2891" localSheetId="0" hidden="1">binary</definedName>
    <definedName name="solver_rhs2892" localSheetId="0" hidden="1">binary</definedName>
    <definedName name="solver_rhs2893" localSheetId="0" hidden="1">binary</definedName>
    <definedName name="solver_rhs2894" localSheetId="0" hidden="1">binary</definedName>
    <definedName name="solver_rhs2895" localSheetId="0" hidden="1">binary</definedName>
    <definedName name="solver_rhs2896" localSheetId="0" hidden="1">binary</definedName>
    <definedName name="solver_rhs2897" localSheetId="0" hidden="1">binary</definedName>
    <definedName name="solver_rhs2898" localSheetId="0" hidden="1">binary</definedName>
    <definedName name="solver_rhs2899" localSheetId="0" hidden="1">binary</definedName>
    <definedName name="solver_rhs29" localSheetId="0" hidden="1">binary</definedName>
    <definedName name="solver_rhs290" localSheetId="0" hidden="1">binary</definedName>
    <definedName name="solver_rhs2900" localSheetId="0" hidden="1">binary</definedName>
    <definedName name="solver_rhs2901" localSheetId="0" hidden="1">binary</definedName>
    <definedName name="solver_rhs2902" localSheetId="0" hidden="1">binary</definedName>
    <definedName name="solver_rhs2903" localSheetId="0" hidden="1">binary</definedName>
    <definedName name="solver_rhs2904" localSheetId="0" hidden="1">binary</definedName>
    <definedName name="solver_rhs2905" localSheetId="0" hidden="1">binary</definedName>
    <definedName name="solver_rhs2906" localSheetId="0" hidden="1">binary</definedName>
    <definedName name="solver_rhs2907" localSheetId="0" hidden="1">binary</definedName>
    <definedName name="solver_rhs2908" localSheetId="0" hidden="1">binary</definedName>
    <definedName name="solver_rhs2909" localSheetId="0" hidden="1">binary</definedName>
    <definedName name="solver_rhs291" localSheetId="0" hidden="1">binary</definedName>
    <definedName name="solver_rhs2910" localSheetId="0" hidden="1">binary</definedName>
    <definedName name="solver_rhs2911" localSheetId="0" hidden="1">binary</definedName>
    <definedName name="solver_rhs2912" localSheetId="0" hidden="1">binary</definedName>
    <definedName name="solver_rhs2913" localSheetId="0" hidden="1">binary</definedName>
    <definedName name="solver_rhs2914" localSheetId="0" hidden="1">binary</definedName>
    <definedName name="solver_rhs2915" localSheetId="0" hidden="1">binary</definedName>
    <definedName name="solver_rhs2916" localSheetId="0" hidden="1">binary</definedName>
    <definedName name="solver_rhs2917" localSheetId="0" hidden="1">binary</definedName>
    <definedName name="solver_rhs2918" localSheetId="0" hidden="1">binary</definedName>
    <definedName name="solver_rhs2919" localSheetId="0" hidden="1">binary</definedName>
    <definedName name="solver_rhs292" localSheetId="0" hidden="1">binary</definedName>
    <definedName name="solver_rhs2920" localSheetId="0" hidden="1">binary</definedName>
    <definedName name="solver_rhs2921" localSheetId="0" hidden="1">binary</definedName>
    <definedName name="solver_rhs2922" localSheetId="0" hidden="1">binary</definedName>
    <definedName name="solver_rhs2923" localSheetId="0" hidden="1">binary</definedName>
    <definedName name="solver_rhs2924" localSheetId="0" hidden="1">binary</definedName>
    <definedName name="solver_rhs2925" localSheetId="0" hidden="1">binary</definedName>
    <definedName name="solver_rhs2926" localSheetId="0" hidden="1">binary</definedName>
    <definedName name="solver_rhs2927" localSheetId="0" hidden="1">binary</definedName>
    <definedName name="solver_rhs2928" localSheetId="0" hidden="1">binary</definedName>
    <definedName name="solver_rhs2929" localSheetId="0" hidden="1">binary</definedName>
    <definedName name="solver_rhs293" localSheetId="0" hidden="1">binary</definedName>
    <definedName name="solver_rhs2930" localSheetId="0" hidden="1">binary</definedName>
    <definedName name="solver_rhs2931" localSheetId="0" hidden="1">binary</definedName>
    <definedName name="solver_rhs2932" localSheetId="0" hidden="1">binary</definedName>
    <definedName name="solver_rhs2933" localSheetId="0" hidden="1">binary</definedName>
    <definedName name="solver_rhs2934" localSheetId="0" hidden="1">binary</definedName>
    <definedName name="solver_rhs2935" localSheetId="0" hidden="1">binary</definedName>
    <definedName name="solver_rhs2936" localSheetId="0" hidden="1">binary</definedName>
    <definedName name="solver_rhs2937" localSheetId="0" hidden="1">binary</definedName>
    <definedName name="solver_rhs2938" localSheetId="0" hidden="1">binary</definedName>
    <definedName name="solver_rhs2939" localSheetId="0" hidden="1">binary</definedName>
    <definedName name="solver_rhs294" localSheetId="0" hidden="1">binary</definedName>
    <definedName name="solver_rhs2940" localSheetId="0" hidden="1">binary</definedName>
    <definedName name="solver_rhs2941" localSheetId="0" hidden="1">binary</definedName>
    <definedName name="solver_rhs2942" localSheetId="0" hidden="1">binary</definedName>
    <definedName name="solver_rhs2943" localSheetId="0" hidden="1">binary</definedName>
    <definedName name="solver_rhs2944" localSheetId="0" hidden="1">binary</definedName>
    <definedName name="solver_rhs2945" localSheetId="0" hidden="1">binary</definedName>
    <definedName name="solver_rhs2946" localSheetId="0" hidden="1">binary</definedName>
    <definedName name="solver_rhs2947" localSheetId="0" hidden="1">binary</definedName>
    <definedName name="solver_rhs2948" localSheetId="0" hidden="1">binary</definedName>
    <definedName name="solver_rhs2949" localSheetId="0" hidden="1">binary</definedName>
    <definedName name="solver_rhs295" localSheetId="0" hidden="1">binary</definedName>
    <definedName name="solver_rhs2950" localSheetId="0" hidden="1">binary</definedName>
    <definedName name="solver_rhs2951" localSheetId="0" hidden="1">binary</definedName>
    <definedName name="solver_rhs2952" localSheetId="0" hidden="1">binary</definedName>
    <definedName name="solver_rhs2953" localSheetId="0" hidden="1">binary</definedName>
    <definedName name="solver_rhs2954" localSheetId="0" hidden="1">binary</definedName>
    <definedName name="solver_rhs2955" localSheetId="0" hidden="1">binary</definedName>
    <definedName name="solver_rhs2956" localSheetId="0" hidden="1">binary</definedName>
    <definedName name="solver_rhs2957" localSheetId="0" hidden="1">binary</definedName>
    <definedName name="solver_rhs2958" localSheetId="0" hidden="1">binary</definedName>
    <definedName name="solver_rhs2959" localSheetId="0" hidden="1">binary</definedName>
    <definedName name="solver_rhs296" localSheetId="0" hidden="1">binary</definedName>
    <definedName name="solver_rhs2960" localSheetId="0" hidden="1">binary</definedName>
    <definedName name="solver_rhs2961" localSheetId="0" hidden="1">binary</definedName>
    <definedName name="solver_rhs2962" localSheetId="0" hidden="1">binary</definedName>
    <definedName name="solver_rhs2963" localSheetId="0" hidden="1">binary</definedName>
    <definedName name="solver_rhs2964" localSheetId="0" hidden="1">binary</definedName>
    <definedName name="solver_rhs2965" localSheetId="0" hidden="1">binary</definedName>
    <definedName name="solver_rhs2966" localSheetId="0" hidden="1">binary</definedName>
    <definedName name="solver_rhs2967" localSheetId="0" hidden="1">binary</definedName>
    <definedName name="solver_rhs2968" localSheetId="0" hidden="1">binary</definedName>
    <definedName name="solver_rhs2969" localSheetId="0" hidden="1">binary</definedName>
    <definedName name="solver_rhs297" localSheetId="0" hidden="1">binary</definedName>
    <definedName name="solver_rhs2970" localSheetId="0" hidden="1">binary</definedName>
    <definedName name="solver_rhs2971" localSheetId="0" hidden="1">binary</definedName>
    <definedName name="solver_rhs2972" localSheetId="0" hidden="1">binary</definedName>
    <definedName name="solver_rhs2973" localSheetId="0" hidden="1">binary</definedName>
    <definedName name="solver_rhs2974" localSheetId="0" hidden="1">binary</definedName>
    <definedName name="solver_rhs2975" localSheetId="0" hidden="1">binary</definedName>
    <definedName name="solver_rhs2976" localSheetId="0" hidden="1">binary</definedName>
    <definedName name="solver_rhs2977" localSheetId="0" hidden="1">binary</definedName>
    <definedName name="solver_rhs2978" localSheetId="0" hidden="1">binary</definedName>
    <definedName name="solver_rhs2979" localSheetId="0" hidden="1">binary</definedName>
    <definedName name="solver_rhs298" localSheetId="0" hidden="1">binary</definedName>
    <definedName name="solver_rhs2980" localSheetId="0" hidden="1">binary</definedName>
    <definedName name="solver_rhs2981" localSheetId="0" hidden="1">binary</definedName>
    <definedName name="solver_rhs2982" localSheetId="0" hidden="1">binary</definedName>
    <definedName name="solver_rhs2983" localSheetId="0" hidden="1">binary</definedName>
    <definedName name="solver_rhs2984" localSheetId="0" hidden="1">binary</definedName>
    <definedName name="solver_rhs2985" localSheetId="0" hidden="1">binary</definedName>
    <definedName name="solver_rhs2986" localSheetId="0" hidden="1">binary</definedName>
    <definedName name="solver_rhs2987" localSheetId="0" hidden="1">binary</definedName>
    <definedName name="solver_rhs2988" localSheetId="0" hidden="1">binary</definedName>
    <definedName name="solver_rhs2989" localSheetId="0" hidden="1">binary</definedName>
    <definedName name="solver_rhs299" localSheetId="0" hidden="1">binary</definedName>
    <definedName name="solver_rhs2990" localSheetId="0" hidden="1">binary</definedName>
    <definedName name="solver_rhs2991" localSheetId="0" hidden="1">binary</definedName>
    <definedName name="solver_rhs2992" localSheetId="0" hidden="1">binary</definedName>
    <definedName name="solver_rhs2993" localSheetId="0" hidden="1">binary</definedName>
    <definedName name="solver_rhs2994" localSheetId="0" hidden="1">binary</definedName>
    <definedName name="solver_rhs2995" localSheetId="0" hidden="1">binary</definedName>
    <definedName name="solver_rhs2996" localSheetId="0" hidden="1">binary</definedName>
    <definedName name="solver_rhs2997" localSheetId="0" hidden="1">binary</definedName>
    <definedName name="solver_rhs2998" localSheetId="0" hidden="1">binary</definedName>
    <definedName name="solver_rhs2999" localSheetId="0" hidden="1">binary</definedName>
    <definedName name="solver_rhs3" localSheetId="0" hidden="1">monday_model.lp!$C$1780:$EDE$1780</definedName>
    <definedName name="solver_rhs30" localSheetId="0" hidden="1">binary</definedName>
    <definedName name="solver_rhs300" localSheetId="0" hidden="1">binary</definedName>
    <definedName name="solver_rhs3000" localSheetId="0" hidden="1">binary</definedName>
    <definedName name="solver_rhs3001" localSheetId="0" hidden="1">binary</definedName>
    <definedName name="solver_rhs3002" localSheetId="0" hidden="1">binary</definedName>
    <definedName name="solver_rhs3003" localSheetId="0" hidden="1">binary</definedName>
    <definedName name="solver_rhs3004" localSheetId="0" hidden="1">binary</definedName>
    <definedName name="solver_rhs3005" localSheetId="0" hidden="1">binary</definedName>
    <definedName name="solver_rhs3006" localSheetId="0" hidden="1">binary</definedName>
    <definedName name="solver_rhs3007" localSheetId="0" hidden="1">binary</definedName>
    <definedName name="solver_rhs3008" localSheetId="0" hidden="1">binary</definedName>
    <definedName name="solver_rhs3009" localSheetId="0" hidden="1">binary</definedName>
    <definedName name="solver_rhs301" localSheetId="0" hidden="1">binary</definedName>
    <definedName name="solver_rhs3010" localSheetId="0" hidden="1">binary</definedName>
    <definedName name="solver_rhs3011" localSheetId="0" hidden="1">binary</definedName>
    <definedName name="solver_rhs3012" localSheetId="0" hidden="1">binary</definedName>
    <definedName name="solver_rhs3013" localSheetId="0" hidden="1">binary</definedName>
    <definedName name="solver_rhs3014" localSheetId="0" hidden="1">binary</definedName>
    <definedName name="solver_rhs3015" localSheetId="0" hidden="1">binary</definedName>
    <definedName name="solver_rhs3016" localSheetId="0" hidden="1">binary</definedName>
    <definedName name="solver_rhs3017" localSheetId="0" hidden="1">binary</definedName>
    <definedName name="solver_rhs3018" localSheetId="0" hidden="1">binary</definedName>
    <definedName name="solver_rhs3019" localSheetId="0" hidden="1">binary</definedName>
    <definedName name="solver_rhs302" localSheetId="0" hidden="1">binary</definedName>
    <definedName name="solver_rhs3020" localSheetId="0" hidden="1">binary</definedName>
    <definedName name="solver_rhs3021" localSheetId="0" hidden="1">binary</definedName>
    <definedName name="solver_rhs3022" localSheetId="0" hidden="1">binary</definedName>
    <definedName name="solver_rhs3023" localSheetId="0" hidden="1">binary</definedName>
    <definedName name="solver_rhs3024" localSheetId="0" hidden="1">binary</definedName>
    <definedName name="solver_rhs3025" localSheetId="0" hidden="1">binary</definedName>
    <definedName name="solver_rhs3026" localSheetId="0" hidden="1">binary</definedName>
    <definedName name="solver_rhs3027" localSheetId="0" hidden="1">binary</definedName>
    <definedName name="solver_rhs3028" localSheetId="0" hidden="1">binary</definedName>
    <definedName name="solver_rhs3029" localSheetId="0" hidden="1">binary</definedName>
    <definedName name="solver_rhs303" localSheetId="0" hidden="1">binary</definedName>
    <definedName name="solver_rhs3030" localSheetId="0" hidden="1">binary</definedName>
    <definedName name="solver_rhs3031" localSheetId="0" hidden="1">binary</definedName>
    <definedName name="solver_rhs3032" localSheetId="0" hidden="1">binary</definedName>
    <definedName name="solver_rhs3033" localSheetId="0" hidden="1">binary</definedName>
    <definedName name="solver_rhs3034" localSheetId="0" hidden="1">binary</definedName>
    <definedName name="solver_rhs3035" localSheetId="0" hidden="1">binary</definedName>
    <definedName name="solver_rhs3036" localSheetId="0" hidden="1">binary</definedName>
    <definedName name="solver_rhs3037" localSheetId="0" hidden="1">binary</definedName>
    <definedName name="solver_rhs3038" localSheetId="0" hidden="1">binary</definedName>
    <definedName name="solver_rhs3039" localSheetId="0" hidden="1">binary</definedName>
    <definedName name="solver_rhs304" localSheetId="0" hidden="1">binary</definedName>
    <definedName name="solver_rhs3040" localSheetId="0" hidden="1">binary</definedName>
    <definedName name="solver_rhs3041" localSheetId="0" hidden="1">binary</definedName>
    <definedName name="solver_rhs3042" localSheetId="0" hidden="1">binary</definedName>
    <definedName name="solver_rhs3043" localSheetId="0" hidden="1">binary</definedName>
    <definedName name="solver_rhs3044" localSheetId="0" hidden="1">binary</definedName>
    <definedName name="solver_rhs3045" localSheetId="0" hidden="1">binary</definedName>
    <definedName name="solver_rhs3046" localSheetId="0" hidden="1">binary</definedName>
    <definedName name="solver_rhs3047" localSheetId="0" hidden="1">binary</definedName>
    <definedName name="solver_rhs3048" localSheetId="0" hidden="1">binary</definedName>
    <definedName name="solver_rhs3049" localSheetId="0" hidden="1">binary</definedName>
    <definedName name="solver_rhs305" localSheetId="0" hidden="1">binary</definedName>
    <definedName name="solver_rhs3050" localSheetId="0" hidden="1">binary</definedName>
    <definedName name="solver_rhs3051" localSheetId="0" hidden="1">binary</definedName>
    <definedName name="solver_rhs3052" localSheetId="0" hidden="1">binary</definedName>
    <definedName name="solver_rhs3053" localSheetId="0" hidden="1">binary</definedName>
    <definedName name="solver_rhs3054" localSheetId="0" hidden="1">binary</definedName>
    <definedName name="solver_rhs3055" localSheetId="0" hidden="1">binary</definedName>
    <definedName name="solver_rhs3056" localSheetId="0" hidden="1">binary</definedName>
    <definedName name="solver_rhs3057" localSheetId="0" hidden="1">binary</definedName>
    <definedName name="solver_rhs3058" localSheetId="0" hidden="1">binary</definedName>
    <definedName name="solver_rhs3059" localSheetId="0" hidden="1">binary</definedName>
    <definedName name="solver_rhs306" localSheetId="0" hidden="1">binary</definedName>
    <definedName name="solver_rhs3060" localSheetId="0" hidden="1">binary</definedName>
    <definedName name="solver_rhs3061" localSheetId="0" hidden="1">binary</definedName>
    <definedName name="solver_rhs3062" localSheetId="0" hidden="1">binary</definedName>
    <definedName name="solver_rhs3063" localSheetId="0" hidden="1">binary</definedName>
    <definedName name="solver_rhs3064" localSheetId="0" hidden="1">binary</definedName>
    <definedName name="solver_rhs3065" localSheetId="0" hidden="1">binary</definedName>
    <definedName name="solver_rhs3066" localSheetId="0" hidden="1">binary</definedName>
    <definedName name="solver_rhs3067" localSheetId="0" hidden="1">binary</definedName>
    <definedName name="solver_rhs3068" localSheetId="0" hidden="1">binary</definedName>
    <definedName name="solver_rhs3069" localSheetId="0" hidden="1">binary</definedName>
    <definedName name="solver_rhs307" localSheetId="0" hidden="1">binary</definedName>
    <definedName name="solver_rhs3070" localSheetId="0" hidden="1">binary</definedName>
    <definedName name="solver_rhs3071" localSheetId="0" hidden="1">binary</definedName>
    <definedName name="solver_rhs3072" localSheetId="0" hidden="1">binary</definedName>
    <definedName name="solver_rhs3073" localSheetId="0" hidden="1">binary</definedName>
    <definedName name="solver_rhs3074" localSheetId="0" hidden="1">binary</definedName>
    <definedName name="solver_rhs3075" localSheetId="0" hidden="1">binary</definedName>
    <definedName name="solver_rhs3076" localSheetId="0" hidden="1">binary</definedName>
    <definedName name="solver_rhs3077" localSheetId="0" hidden="1">binary</definedName>
    <definedName name="solver_rhs3078" localSheetId="0" hidden="1">binary</definedName>
    <definedName name="solver_rhs3079" localSheetId="0" hidden="1">binary</definedName>
    <definedName name="solver_rhs308" localSheetId="0" hidden="1">binary</definedName>
    <definedName name="solver_rhs3080" localSheetId="0" hidden="1">binary</definedName>
    <definedName name="solver_rhs3081" localSheetId="0" hidden="1">binary</definedName>
    <definedName name="solver_rhs3082" localSheetId="0" hidden="1">binary</definedName>
    <definedName name="solver_rhs3083" localSheetId="0" hidden="1">binary</definedName>
    <definedName name="solver_rhs3084" localSheetId="0" hidden="1">binary</definedName>
    <definedName name="solver_rhs3085" localSheetId="0" hidden="1">binary</definedName>
    <definedName name="solver_rhs3086" localSheetId="0" hidden="1">binary</definedName>
    <definedName name="solver_rhs3087" localSheetId="0" hidden="1">binary</definedName>
    <definedName name="solver_rhs3088" localSheetId="0" hidden="1">binary</definedName>
    <definedName name="solver_rhs3089" localSheetId="0" hidden="1">binary</definedName>
    <definedName name="solver_rhs309" localSheetId="0" hidden="1">binary</definedName>
    <definedName name="solver_rhs3090" localSheetId="0" hidden="1">binary</definedName>
    <definedName name="solver_rhs3091" localSheetId="0" hidden="1">binary</definedName>
    <definedName name="solver_rhs3092" localSheetId="0" hidden="1">binary</definedName>
    <definedName name="solver_rhs3093" localSheetId="0" hidden="1">binary</definedName>
    <definedName name="solver_rhs3094" localSheetId="0" hidden="1">binary</definedName>
    <definedName name="solver_rhs3095" localSheetId="0" hidden="1">binary</definedName>
    <definedName name="solver_rhs3096" localSheetId="0" hidden="1">binary</definedName>
    <definedName name="solver_rhs3097" localSheetId="0" hidden="1">binary</definedName>
    <definedName name="solver_rhs3098" localSheetId="0" hidden="1">binary</definedName>
    <definedName name="solver_rhs3099" localSheetId="0" hidden="1">binary</definedName>
    <definedName name="solver_rhs31" localSheetId="0" hidden="1">binary</definedName>
    <definedName name="solver_rhs310" localSheetId="0" hidden="1">binary</definedName>
    <definedName name="solver_rhs3100" localSheetId="0" hidden="1">binary</definedName>
    <definedName name="solver_rhs3101" localSheetId="0" hidden="1">binary</definedName>
    <definedName name="solver_rhs3102" localSheetId="0" hidden="1">binary</definedName>
    <definedName name="solver_rhs3103" localSheetId="0" hidden="1">binary</definedName>
    <definedName name="solver_rhs3104" localSheetId="0" hidden="1">binary</definedName>
    <definedName name="solver_rhs3105" localSheetId="0" hidden="1">binary</definedName>
    <definedName name="solver_rhs3106" localSheetId="0" hidden="1">binary</definedName>
    <definedName name="solver_rhs3107" localSheetId="0" hidden="1">binary</definedName>
    <definedName name="solver_rhs3108" localSheetId="0" hidden="1">binary</definedName>
    <definedName name="solver_rhs3109" localSheetId="0" hidden="1">binary</definedName>
    <definedName name="solver_rhs311" localSheetId="0" hidden="1">binary</definedName>
    <definedName name="solver_rhs3110" localSheetId="0" hidden="1">binary</definedName>
    <definedName name="solver_rhs3111" localSheetId="0" hidden="1">binary</definedName>
    <definedName name="solver_rhs3112" localSheetId="0" hidden="1">binary</definedName>
    <definedName name="solver_rhs3113" localSheetId="0" hidden="1">binary</definedName>
    <definedName name="solver_rhs3114" localSheetId="0" hidden="1">binary</definedName>
    <definedName name="solver_rhs3115" localSheetId="0" hidden="1">binary</definedName>
    <definedName name="solver_rhs3116" localSheetId="0" hidden="1">binary</definedName>
    <definedName name="solver_rhs3117" localSheetId="0" hidden="1">binary</definedName>
    <definedName name="solver_rhs3118" localSheetId="0" hidden="1">binary</definedName>
    <definedName name="solver_rhs3119" localSheetId="0" hidden="1">binary</definedName>
    <definedName name="solver_rhs312" localSheetId="0" hidden="1">binary</definedName>
    <definedName name="solver_rhs3120" localSheetId="0" hidden="1">binary</definedName>
    <definedName name="solver_rhs3121" localSheetId="0" hidden="1">binary</definedName>
    <definedName name="solver_rhs3122" localSheetId="0" hidden="1">binary</definedName>
    <definedName name="solver_rhs3123" localSheetId="0" hidden="1">binary</definedName>
    <definedName name="solver_rhs3124" localSheetId="0" hidden="1">binary</definedName>
    <definedName name="solver_rhs3125" localSheetId="0" hidden="1">binary</definedName>
    <definedName name="solver_rhs3126" localSheetId="0" hidden="1">binary</definedName>
    <definedName name="solver_rhs3127" localSheetId="0" hidden="1">binary</definedName>
    <definedName name="solver_rhs3128" localSheetId="0" hidden="1">binary</definedName>
    <definedName name="solver_rhs3129" localSheetId="0" hidden="1">binary</definedName>
    <definedName name="solver_rhs313" localSheetId="0" hidden="1">binary</definedName>
    <definedName name="solver_rhs3130" localSheetId="0" hidden="1">binary</definedName>
    <definedName name="solver_rhs3131" localSheetId="0" hidden="1">binary</definedName>
    <definedName name="solver_rhs3132" localSheetId="0" hidden="1">binary</definedName>
    <definedName name="solver_rhs3133" localSheetId="0" hidden="1">binary</definedName>
    <definedName name="solver_rhs3134" localSheetId="0" hidden="1">binary</definedName>
    <definedName name="solver_rhs3135" localSheetId="0" hidden="1">binary</definedName>
    <definedName name="solver_rhs3136" localSheetId="0" hidden="1">binary</definedName>
    <definedName name="solver_rhs3137" localSheetId="0" hidden="1">binary</definedName>
    <definedName name="solver_rhs3138" localSheetId="0" hidden="1">binary</definedName>
    <definedName name="solver_rhs3139" localSheetId="0" hidden="1">binary</definedName>
    <definedName name="solver_rhs314" localSheetId="0" hidden="1">binary</definedName>
    <definedName name="solver_rhs3140" localSheetId="0" hidden="1">binary</definedName>
    <definedName name="solver_rhs3141" localSheetId="0" hidden="1">binary</definedName>
    <definedName name="solver_rhs3142" localSheetId="0" hidden="1">binary</definedName>
    <definedName name="solver_rhs3143" localSheetId="0" hidden="1">binary</definedName>
    <definedName name="solver_rhs3144" localSheetId="0" hidden="1">binary</definedName>
    <definedName name="solver_rhs3145" localSheetId="0" hidden="1">binary</definedName>
    <definedName name="solver_rhs3146" localSheetId="0" hidden="1">binary</definedName>
    <definedName name="solver_rhs3147" localSheetId="0" hidden="1">binary</definedName>
    <definedName name="solver_rhs3148" localSheetId="0" hidden="1">binary</definedName>
    <definedName name="solver_rhs3149" localSheetId="0" hidden="1">binary</definedName>
    <definedName name="solver_rhs315" localSheetId="0" hidden="1">binary</definedName>
    <definedName name="solver_rhs3150" localSheetId="0" hidden="1">binary</definedName>
    <definedName name="solver_rhs3151" localSheetId="0" hidden="1">binary</definedName>
    <definedName name="solver_rhs3152" localSheetId="0" hidden="1">binary</definedName>
    <definedName name="solver_rhs3153" localSheetId="0" hidden="1">binary</definedName>
    <definedName name="solver_rhs3154" localSheetId="0" hidden="1">binary</definedName>
    <definedName name="solver_rhs3155" localSheetId="0" hidden="1">binary</definedName>
    <definedName name="solver_rhs3156" localSheetId="0" hidden="1">binary</definedName>
    <definedName name="solver_rhs3157" localSheetId="0" hidden="1">binary</definedName>
    <definedName name="solver_rhs3158" localSheetId="0" hidden="1">binary</definedName>
    <definedName name="solver_rhs3159" localSheetId="0" hidden="1">binary</definedName>
    <definedName name="solver_rhs316" localSheetId="0" hidden="1">binary</definedName>
    <definedName name="solver_rhs3160" localSheetId="0" hidden="1">binary</definedName>
    <definedName name="solver_rhs3161" localSheetId="0" hidden="1">binary</definedName>
    <definedName name="solver_rhs3162" localSheetId="0" hidden="1">binary</definedName>
    <definedName name="solver_rhs3163" localSheetId="0" hidden="1">binary</definedName>
    <definedName name="solver_rhs3164" localSheetId="0" hidden="1">binary</definedName>
    <definedName name="solver_rhs3165" localSheetId="0" hidden="1">binary</definedName>
    <definedName name="solver_rhs3166" localSheetId="0" hidden="1">binary</definedName>
    <definedName name="solver_rhs3167" localSheetId="0" hidden="1">binary</definedName>
    <definedName name="solver_rhs3168" localSheetId="0" hidden="1">binary</definedName>
    <definedName name="solver_rhs3169" localSheetId="0" hidden="1">binary</definedName>
    <definedName name="solver_rhs317" localSheetId="0" hidden="1">binary</definedName>
    <definedName name="solver_rhs3170" localSheetId="0" hidden="1">binary</definedName>
    <definedName name="solver_rhs3171" localSheetId="0" hidden="1">binary</definedName>
    <definedName name="solver_rhs3172" localSheetId="0" hidden="1">binary</definedName>
    <definedName name="solver_rhs3173" localSheetId="0" hidden="1">binary</definedName>
    <definedName name="solver_rhs3174" localSheetId="0" hidden="1">binary</definedName>
    <definedName name="solver_rhs3175" localSheetId="0" hidden="1">binary</definedName>
    <definedName name="solver_rhs3176" localSheetId="0" hidden="1">binary</definedName>
    <definedName name="solver_rhs3177" localSheetId="0" hidden="1">binary</definedName>
    <definedName name="solver_rhs3178" localSheetId="0" hidden="1">binary</definedName>
    <definedName name="solver_rhs3179" localSheetId="0" hidden="1">binary</definedName>
    <definedName name="solver_rhs318" localSheetId="0" hidden="1">binary</definedName>
    <definedName name="solver_rhs3180" localSheetId="0" hidden="1">binary</definedName>
    <definedName name="solver_rhs3181" localSheetId="0" hidden="1">binary</definedName>
    <definedName name="solver_rhs3182" localSheetId="0" hidden="1">binary</definedName>
    <definedName name="solver_rhs3183" localSheetId="0" hidden="1">binary</definedName>
    <definedName name="solver_rhs3184" localSheetId="0" hidden="1">binary</definedName>
    <definedName name="solver_rhs3185" localSheetId="0" hidden="1">binary</definedName>
    <definedName name="solver_rhs3186" localSheetId="0" hidden="1">binary</definedName>
    <definedName name="solver_rhs3187" localSheetId="0" hidden="1">binary</definedName>
    <definedName name="solver_rhs3188" localSheetId="0" hidden="1">binary</definedName>
    <definedName name="solver_rhs3189" localSheetId="0" hidden="1">binary</definedName>
    <definedName name="solver_rhs319" localSheetId="0" hidden="1">binary</definedName>
    <definedName name="solver_rhs3190" localSheetId="0" hidden="1">binary</definedName>
    <definedName name="solver_rhs3191" localSheetId="0" hidden="1">binary</definedName>
    <definedName name="solver_rhs3192" localSheetId="0" hidden="1">binary</definedName>
    <definedName name="solver_rhs3193" localSheetId="0" hidden="1">binary</definedName>
    <definedName name="solver_rhs3194" localSheetId="0" hidden="1">binary</definedName>
    <definedName name="solver_rhs3195" localSheetId="0" hidden="1">binary</definedName>
    <definedName name="solver_rhs3196" localSheetId="0" hidden="1">binary</definedName>
    <definedName name="solver_rhs3197" localSheetId="0" hidden="1">binary</definedName>
    <definedName name="solver_rhs3198" localSheetId="0" hidden="1">binary</definedName>
    <definedName name="solver_rhs3199" localSheetId="0" hidden="1">binary</definedName>
    <definedName name="solver_rhs32" localSheetId="0" hidden="1">binary</definedName>
    <definedName name="solver_rhs320" localSheetId="0" hidden="1">binary</definedName>
    <definedName name="solver_rhs3200" localSheetId="0" hidden="1">binary</definedName>
    <definedName name="solver_rhs3201" localSheetId="0" hidden="1">binary</definedName>
    <definedName name="solver_rhs3202" localSheetId="0" hidden="1">binary</definedName>
    <definedName name="solver_rhs3203" localSheetId="0" hidden="1">binary</definedName>
    <definedName name="solver_rhs3204" localSheetId="0" hidden="1">binary</definedName>
    <definedName name="solver_rhs3205" localSheetId="0" hidden="1">binary</definedName>
    <definedName name="solver_rhs3206" localSheetId="0" hidden="1">binary</definedName>
    <definedName name="solver_rhs3207" localSheetId="0" hidden="1">binary</definedName>
    <definedName name="solver_rhs3208" localSheetId="0" hidden="1">binary</definedName>
    <definedName name="solver_rhs3209" localSheetId="0" hidden="1">binary</definedName>
    <definedName name="solver_rhs321" localSheetId="0" hidden="1">binary</definedName>
    <definedName name="solver_rhs3210" localSheetId="0" hidden="1">binary</definedName>
    <definedName name="solver_rhs3211" localSheetId="0" hidden="1">binary</definedName>
    <definedName name="solver_rhs3212" localSheetId="0" hidden="1">binary</definedName>
    <definedName name="solver_rhs3213" localSheetId="0" hidden="1">binary</definedName>
    <definedName name="solver_rhs3214" localSheetId="0" hidden="1">binary</definedName>
    <definedName name="solver_rhs3215" localSheetId="0" hidden="1">binary</definedName>
    <definedName name="solver_rhs3216" localSheetId="0" hidden="1">binary</definedName>
    <definedName name="solver_rhs3217" localSheetId="0" hidden="1">binary</definedName>
    <definedName name="solver_rhs3218" localSheetId="0" hidden="1">binary</definedName>
    <definedName name="solver_rhs3219" localSheetId="0" hidden="1">binary</definedName>
    <definedName name="solver_rhs322" localSheetId="0" hidden="1">binary</definedName>
    <definedName name="solver_rhs3220" localSheetId="0" hidden="1">binary</definedName>
    <definedName name="solver_rhs3221" localSheetId="0" hidden="1">binary</definedName>
    <definedName name="solver_rhs3222" localSheetId="0" hidden="1">binary</definedName>
    <definedName name="solver_rhs3223" localSheetId="0" hidden="1">binary</definedName>
    <definedName name="solver_rhs3224" localSheetId="0" hidden="1">binary</definedName>
    <definedName name="solver_rhs3225" localSheetId="0" hidden="1">binary</definedName>
    <definedName name="solver_rhs3226" localSheetId="0" hidden="1">binary</definedName>
    <definedName name="solver_rhs3227" localSheetId="0" hidden="1">binary</definedName>
    <definedName name="solver_rhs3228" localSheetId="0" hidden="1">binary</definedName>
    <definedName name="solver_rhs3229" localSheetId="0" hidden="1">binary</definedName>
    <definedName name="solver_rhs323" localSheetId="0" hidden="1">binary</definedName>
    <definedName name="solver_rhs3230" localSheetId="0" hidden="1">binary</definedName>
    <definedName name="solver_rhs3231" localSheetId="0" hidden="1">binary</definedName>
    <definedName name="solver_rhs3232" localSheetId="0" hidden="1">binary</definedName>
    <definedName name="solver_rhs3233" localSheetId="0" hidden="1">binary</definedName>
    <definedName name="solver_rhs3234" localSheetId="0" hidden="1">binary</definedName>
    <definedName name="solver_rhs3235" localSheetId="0" hidden="1">binary</definedName>
    <definedName name="solver_rhs3236" localSheetId="0" hidden="1">binary</definedName>
    <definedName name="solver_rhs3237" localSheetId="0" hidden="1">binary</definedName>
    <definedName name="solver_rhs3238" localSheetId="0" hidden="1">binary</definedName>
    <definedName name="solver_rhs3239" localSheetId="0" hidden="1">binary</definedName>
    <definedName name="solver_rhs324" localSheetId="0" hidden="1">binary</definedName>
    <definedName name="solver_rhs3240" localSheetId="0" hidden="1">binary</definedName>
    <definedName name="solver_rhs3241" localSheetId="0" hidden="1">binary</definedName>
    <definedName name="solver_rhs3242" localSheetId="0" hidden="1">binary</definedName>
    <definedName name="solver_rhs3243" localSheetId="0" hidden="1">binary</definedName>
    <definedName name="solver_rhs3244" localSheetId="0" hidden="1">binary</definedName>
    <definedName name="solver_rhs3245" localSheetId="0" hidden="1">binary</definedName>
    <definedName name="solver_rhs3246" localSheetId="0" hidden="1">binary</definedName>
    <definedName name="solver_rhs3247" localSheetId="0" hidden="1">binary</definedName>
    <definedName name="solver_rhs3248" localSheetId="0" hidden="1">binary</definedName>
    <definedName name="solver_rhs3249" localSheetId="0" hidden="1">binary</definedName>
    <definedName name="solver_rhs325" localSheetId="0" hidden="1">binary</definedName>
    <definedName name="solver_rhs3250" localSheetId="0" hidden="1">binary</definedName>
    <definedName name="solver_rhs3251" localSheetId="0" hidden="1">binary</definedName>
    <definedName name="solver_rhs3252" localSheetId="0" hidden="1">binary</definedName>
    <definedName name="solver_rhs3253" localSheetId="0" hidden="1">binary</definedName>
    <definedName name="solver_rhs3254" localSheetId="0" hidden="1">binary</definedName>
    <definedName name="solver_rhs3255" localSheetId="0" hidden="1">binary</definedName>
    <definedName name="solver_rhs3256" localSheetId="0" hidden="1">binary</definedName>
    <definedName name="solver_rhs3257" localSheetId="0" hidden="1">binary</definedName>
    <definedName name="solver_rhs3258" localSheetId="0" hidden="1">binary</definedName>
    <definedName name="solver_rhs3259" localSheetId="0" hidden="1">binary</definedName>
    <definedName name="solver_rhs326" localSheetId="0" hidden="1">binary</definedName>
    <definedName name="solver_rhs3260" localSheetId="0" hidden="1">binary</definedName>
    <definedName name="solver_rhs3261" localSheetId="0" hidden="1">binary</definedName>
    <definedName name="solver_rhs3262" localSheetId="0" hidden="1">binary</definedName>
    <definedName name="solver_rhs3263" localSheetId="0" hidden="1">binary</definedName>
    <definedName name="solver_rhs3264" localSheetId="0" hidden="1">binary</definedName>
    <definedName name="solver_rhs3265" localSheetId="0" hidden="1">binary</definedName>
    <definedName name="solver_rhs3266" localSheetId="0" hidden="1">binary</definedName>
    <definedName name="solver_rhs3267" localSheetId="0" hidden="1">binary</definedName>
    <definedName name="solver_rhs3268" localSheetId="0" hidden="1">binary</definedName>
    <definedName name="solver_rhs3269" localSheetId="0" hidden="1">binary</definedName>
    <definedName name="solver_rhs327" localSheetId="0" hidden="1">binary</definedName>
    <definedName name="solver_rhs3270" localSheetId="0" hidden="1">binary</definedName>
    <definedName name="solver_rhs3271" localSheetId="0" hidden="1">binary</definedName>
    <definedName name="solver_rhs3272" localSheetId="0" hidden="1">binary</definedName>
    <definedName name="solver_rhs3273" localSheetId="0" hidden="1">binary</definedName>
    <definedName name="solver_rhs3274" localSheetId="0" hidden="1">binary</definedName>
    <definedName name="solver_rhs3275" localSheetId="0" hidden="1">binary</definedName>
    <definedName name="solver_rhs3276" localSheetId="0" hidden="1">binary</definedName>
    <definedName name="solver_rhs3277" localSheetId="0" hidden="1">binary</definedName>
    <definedName name="solver_rhs3278" localSheetId="0" hidden="1">binary</definedName>
    <definedName name="solver_rhs3279" localSheetId="0" hidden="1">binary</definedName>
    <definedName name="solver_rhs328" localSheetId="0" hidden="1">binary</definedName>
    <definedName name="solver_rhs3280" localSheetId="0" hidden="1">binary</definedName>
    <definedName name="solver_rhs3281" localSheetId="0" hidden="1">binary</definedName>
    <definedName name="solver_rhs3282" localSheetId="0" hidden="1">binary</definedName>
    <definedName name="solver_rhs3283" localSheetId="0" hidden="1">binary</definedName>
    <definedName name="solver_rhs3284" localSheetId="0" hidden="1">binary</definedName>
    <definedName name="solver_rhs3285" localSheetId="0" hidden="1">binary</definedName>
    <definedName name="solver_rhs3286" localSheetId="0" hidden="1">binary</definedName>
    <definedName name="solver_rhs3287" localSheetId="0" hidden="1">binary</definedName>
    <definedName name="solver_rhs3288" localSheetId="0" hidden="1">binary</definedName>
    <definedName name="solver_rhs3289" localSheetId="0" hidden="1">binary</definedName>
    <definedName name="solver_rhs329" localSheetId="0" hidden="1">binary</definedName>
    <definedName name="solver_rhs3290" localSheetId="0" hidden="1">binary</definedName>
    <definedName name="solver_rhs3291" localSheetId="0" hidden="1">binary</definedName>
    <definedName name="solver_rhs3292" localSheetId="0" hidden="1">binary</definedName>
    <definedName name="solver_rhs3293" localSheetId="0" hidden="1">binary</definedName>
    <definedName name="solver_rhs3294" localSheetId="0" hidden="1">binary</definedName>
    <definedName name="solver_rhs3295" localSheetId="0" hidden="1">binary</definedName>
    <definedName name="solver_rhs3296" localSheetId="0" hidden="1">binary</definedName>
    <definedName name="solver_rhs3297" localSheetId="0" hidden="1">binary</definedName>
    <definedName name="solver_rhs3298" localSheetId="0" hidden="1">binary</definedName>
    <definedName name="solver_rhs3299" localSheetId="0" hidden="1">binary</definedName>
    <definedName name="solver_rhs33" localSheetId="0" hidden="1">binary</definedName>
    <definedName name="solver_rhs330" localSheetId="0" hidden="1">binary</definedName>
    <definedName name="solver_rhs3300" localSheetId="0" hidden="1">binary</definedName>
    <definedName name="solver_rhs3301" localSheetId="0" hidden="1">binary</definedName>
    <definedName name="solver_rhs3302" localSheetId="0" hidden="1">binary</definedName>
    <definedName name="solver_rhs3303" localSheetId="0" hidden="1">binary</definedName>
    <definedName name="solver_rhs3304" localSheetId="0" hidden="1">binary</definedName>
    <definedName name="solver_rhs3305" localSheetId="0" hidden="1">binary</definedName>
    <definedName name="solver_rhs3306" localSheetId="0" hidden="1">binary</definedName>
    <definedName name="solver_rhs3307" localSheetId="0" hidden="1">binary</definedName>
    <definedName name="solver_rhs3308" localSheetId="0" hidden="1">binary</definedName>
    <definedName name="solver_rhs3309" localSheetId="0" hidden="1">binary</definedName>
    <definedName name="solver_rhs331" localSheetId="0" hidden="1">binary</definedName>
    <definedName name="solver_rhs3310" localSheetId="0" hidden="1">binary</definedName>
    <definedName name="solver_rhs3311" localSheetId="0" hidden="1">binary</definedName>
    <definedName name="solver_rhs3312" localSheetId="0" hidden="1">binary</definedName>
    <definedName name="solver_rhs3313" localSheetId="0" hidden="1">binary</definedName>
    <definedName name="solver_rhs3314" localSheetId="0" hidden="1">binary</definedName>
    <definedName name="solver_rhs3315" localSheetId="0" hidden="1">binary</definedName>
    <definedName name="solver_rhs3316" localSheetId="0" hidden="1">binary</definedName>
    <definedName name="solver_rhs3317" localSheetId="0" hidden="1">binary</definedName>
    <definedName name="solver_rhs3318" localSheetId="0" hidden="1">binary</definedName>
    <definedName name="solver_rhs3319" localSheetId="0" hidden="1">binary</definedName>
    <definedName name="solver_rhs332" localSheetId="0" hidden="1">binary</definedName>
    <definedName name="solver_rhs3320" localSheetId="0" hidden="1">binary</definedName>
    <definedName name="solver_rhs3321" localSheetId="0" hidden="1">binary</definedName>
    <definedName name="solver_rhs3322" localSheetId="0" hidden="1">binary</definedName>
    <definedName name="solver_rhs3323" localSheetId="0" hidden="1">binary</definedName>
    <definedName name="solver_rhs3324" localSheetId="0" hidden="1">binary</definedName>
    <definedName name="solver_rhs3325" localSheetId="0" hidden="1">binary</definedName>
    <definedName name="solver_rhs3326" localSheetId="0" hidden="1">binary</definedName>
    <definedName name="solver_rhs3327" localSheetId="0" hidden="1">binary</definedName>
    <definedName name="solver_rhs3328" localSheetId="0" hidden="1">binary</definedName>
    <definedName name="solver_rhs3329" localSheetId="0" hidden="1">binary</definedName>
    <definedName name="solver_rhs333" localSheetId="0" hidden="1">binary</definedName>
    <definedName name="solver_rhs3330" localSheetId="0" hidden="1">binary</definedName>
    <definedName name="solver_rhs3331" localSheetId="0" hidden="1">binary</definedName>
    <definedName name="solver_rhs3332" localSheetId="0" hidden="1">binary</definedName>
    <definedName name="solver_rhs3333" localSheetId="0" hidden="1">binary</definedName>
    <definedName name="solver_rhs3334" localSheetId="0" hidden="1">binary</definedName>
    <definedName name="solver_rhs3335" localSheetId="0" hidden="1">binary</definedName>
    <definedName name="solver_rhs3336" localSheetId="0" hidden="1">binary</definedName>
    <definedName name="solver_rhs3337" localSheetId="0" hidden="1">binary</definedName>
    <definedName name="solver_rhs3338" localSheetId="0" hidden="1">binary</definedName>
    <definedName name="solver_rhs3339" localSheetId="0" hidden="1">binary</definedName>
    <definedName name="solver_rhs334" localSheetId="0" hidden="1">binary</definedName>
    <definedName name="solver_rhs3340" localSheetId="0" hidden="1">binary</definedName>
    <definedName name="solver_rhs3341" localSheetId="0" hidden="1">binary</definedName>
    <definedName name="solver_rhs3342" localSheetId="0" hidden="1">binary</definedName>
    <definedName name="solver_rhs3343" localSheetId="0" hidden="1">binary</definedName>
    <definedName name="solver_rhs3344" localSheetId="0" hidden="1">binary</definedName>
    <definedName name="solver_rhs3345" localSheetId="0" hidden="1">binary</definedName>
    <definedName name="solver_rhs3346" localSheetId="0" hidden="1">binary</definedName>
    <definedName name="solver_rhs3347" localSheetId="0" hidden="1">binary</definedName>
    <definedName name="solver_rhs3348" localSheetId="0" hidden="1">binary</definedName>
    <definedName name="solver_rhs3349" localSheetId="0" hidden="1">binary</definedName>
    <definedName name="solver_rhs335" localSheetId="0" hidden="1">binary</definedName>
    <definedName name="solver_rhs3350" localSheetId="0" hidden="1">binary</definedName>
    <definedName name="solver_rhs3351" localSheetId="0" hidden="1">binary</definedName>
    <definedName name="solver_rhs3352" localSheetId="0" hidden="1">binary</definedName>
    <definedName name="solver_rhs3353" localSheetId="0" hidden="1">binary</definedName>
    <definedName name="solver_rhs3354" localSheetId="0" hidden="1">binary</definedName>
    <definedName name="solver_rhs3355" localSheetId="0" hidden="1">binary</definedName>
    <definedName name="solver_rhs3356" localSheetId="0" hidden="1">binary</definedName>
    <definedName name="solver_rhs3357" localSheetId="0" hidden="1">binary</definedName>
    <definedName name="solver_rhs3358" localSheetId="0" hidden="1">binary</definedName>
    <definedName name="solver_rhs3359" localSheetId="0" hidden="1">binary</definedName>
    <definedName name="solver_rhs336" localSheetId="0" hidden="1">binary</definedName>
    <definedName name="solver_rhs3360" localSheetId="0" hidden="1">binary</definedName>
    <definedName name="solver_rhs3361" localSheetId="0" hidden="1">binary</definedName>
    <definedName name="solver_rhs3362" localSheetId="0" hidden="1">binary</definedName>
    <definedName name="solver_rhs3363" localSheetId="0" hidden="1">binary</definedName>
    <definedName name="solver_rhs3364" localSheetId="0" hidden="1">binary</definedName>
    <definedName name="solver_rhs3365" localSheetId="0" hidden="1">binary</definedName>
    <definedName name="solver_rhs3366" localSheetId="0" hidden="1">binary</definedName>
    <definedName name="solver_rhs3367" localSheetId="0" hidden="1">binary</definedName>
    <definedName name="solver_rhs3368" localSheetId="0" hidden="1">binary</definedName>
    <definedName name="solver_rhs3369" localSheetId="0" hidden="1">binary</definedName>
    <definedName name="solver_rhs337" localSheetId="0" hidden="1">binary</definedName>
    <definedName name="solver_rhs3370" localSheetId="0" hidden="1">binary</definedName>
    <definedName name="solver_rhs3371" localSheetId="0" hidden="1">binary</definedName>
    <definedName name="solver_rhs3372" localSheetId="0" hidden="1">binary</definedName>
    <definedName name="solver_rhs3373" localSheetId="0" hidden="1">binary</definedName>
    <definedName name="solver_rhs3374" localSheetId="0" hidden="1">binary</definedName>
    <definedName name="solver_rhs3375" localSheetId="0" hidden="1">binary</definedName>
    <definedName name="solver_rhs3376" localSheetId="0" hidden="1">binary</definedName>
    <definedName name="solver_rhs3377" localSheetId="0" hidden="1">binary</definedName>
    <definedName name="solver_rhs3378" localSheetId="0" hidden="1">binary</definedName>
    <definedName name="solver_rhs3379" localSheetId="0" hidden="1">binary</definedName>
    <definedName name="solver_rhs338" localSheetId="0" hidden="1">binary</definedName>
    <definedName name="solver_rhs3380" localSheetId="0" hidden="1">binary</definedName>
    <definedName name="solver_rhs3381" localSheetId="0" hidden="1">binary</definedName>
    <definedName name="solver_rhs3382" localSheetId="0" hidden="1">binary</definedName>
    <definedName name="solver_rhs3383" localSheetId="0" hidden="1">binary</definedName>
    <definedName name="solver_rhs3384" localSheetId="0" hidden="1">binary</definedName>
    <definedName name="solver_rhs3385" localSheetId="0" hidden="1">binary</definedName>
    <definedName name="solver_rhs3386" localSheetId="0" hidden="1">binary</definedName>
    <definedName name="solver_rhs3387" localSheetId="0" hidden="1">binary</definedName>
    <definedName name="solver_rhs3388" localSheetId="0" hidden="1">binary</definedName>
    <definedName name="solver_rhs3389" localSheetId="0" hidden="1">binary</definedName>
    <definedName name="solver_rhs339" localSheetId="0" hidden="1">binary</definedName>
    <definedName name="solver_rhs3390" localSheetId="0" hidden="1">binary</definedName>
    <definedName name="solver_rhs3391" localSheetId="0" hidden="1">binary</definedName>
    <definedName name="solver_rhs3392" localSheetId="0" hidden="1">binary</definedName>
    <definedName name="solver_rhs3393" localSheetId="0" hidden="1">binary</definedName>
    <definedName name="solver_rhs3394" localSheetId="0" hidden="1">binary</definedName>
    <definedName name="solver_rhs3395" localSheetId="0" hidden="1">binary</definedName>
    <definedName name="solver_rhs3396" localSheetId="0" hidden="1">binary</definedName>
    <definedName name="solver_rhs3397" localSheetId="0" hidden="1">binary</definedName>
    <definedName name="solver_rhs3398" localSheetId="0" hidden="1">binary</definedName>
    <definedName name="solver_rhs3399" localSheetId="0" hidden="1">binary</definedName>
    <definedName name="solver_rhs34" localSheetId="0" hidden="1">binary</definedName>
    <definedName name="solver_rhs340" localSheetId="0" hidden="1">binary</definedName>
    <definedName name="solver_rhs3400" localSheetId="0" hidden="1">binary</definedName>
    <definedName name="solver_rhs3401" localSheetId="0" hidden="1">binary</definedName>
    <definedName name="solver_rhs3402" localSheetId="0" hidden="1">binary</definedName>
    <definedName name="solver_rhs3403" localSheetId="0" hidden="1">binary</definedName>
    <definedName name="solver_rhs3404" localSheetId="0" hidden="1">binary</definedName>
    <definedName name="solver_rhs3405" localSheetId="0" hidden="1">binary</definedName>
    <definedName name="solver_rhs3406" localSheetId="0" hidden="1">binary</definedName>
    <definedName name="solver_rhs3407" localSheetId="0" hidden="1">binary</definedName>
    <definedName name="solver_rhs3408" localSheetId="0" hidden="1">binary</definedName>
    <definedName name="solver_rhs3409" localSheetId="0" hidden="1">binary</definedName>
    <definedName name="solver_rhs341" localSheetId="0" hidden="1">binary</definedName>
    <definedName name="solver_rhs3410" localSheetId="0" hidden="1">binary</definedName>
    <definedName name="solver_rhs3411" localSheetId="0" hidden="1">binary</definedName>
    <definedName name="solver_rhs3412" localSheetId="0" hidden="1">binary</definedName>
    <definedName name="solver_rhs3413" localSheetId="0" hidden="1">binary</definedName>
    <definedName name="solver_rhs3414" localSheetId="0" hidden="1">binary</definedName>
    <definedName name="solver_rhs3415" localSheetId="0" hidden="1">binary</definedName>
    <definedName name="solver_rhs3416" localSheetId="0" hidden="1">binary</definedName>
    <definedName name="solver_rhs3417" localSheetId="0" hidden="1">binary</definedName>
    <definedName name="solver_rhs3418" localSheetId="0" hidden="1">binary</definedName>
    <definedName name="solver_rhs3419" localSheetId="0" hidden="1">binary</definedName>
    <definedName name="solver_rhs342" localSheetId="0" hidden="1">binary</definedName>
    <definedName name="solver_rhs3420" localSheetId="0" hidden="1">binary</definedName>
    <definedName name="solver_rhs3421" localSheetId="0" hidden="1">binary</definedName>
    <definedName name="solver_rhs3422" localSheetId="0" hidden="1">binary</definedName>
    <definedName name="solver_rhs3423" localSheetId="0" hidden="1">binary</definedName>
    <definedName name="solver_rhs3424" localSheetId="0" hidden="1">binary</definedName>
    <definedName name="solver_rhs3425" localSheetId="0" hidden="1">binary</definedName>
    <definedName name="solver_rhs3426" localSheetId="0" hidden="1">binary</definedName>
    <definedName name="solver_rhs3427" localSheetId="0" hidden="1">binary</definedName>
    <definedName name="solver_rhs3428" localSheetId="0" hidden="1">binary</definedName>
    <definedName name="solver_rhs3429" localSheetId="0" hidden="1">binary</definedName>
    <definedName name="solver_rhs343" localSheetId="0" hidden="1">binary</definedName>
    <definedName name="solver_rhs3430" localSheetId="0" hidden="1">binary</definedName>
    <definedName name="solver_rhs3431" localSheetId="0" hidden="1">binary</definedName>
    <definedName name="solver_rhs3432" localSheetId="0" hidden="1">binary</definedName>
    <definedName name="solver_rhs3433" localSheetId="0" hidden="1">binary</definedName>
    <definedName name="solver_rhs3434" localSheetId="0" hidden="1">binary</definedName>
    <definedName name="solver_rhs3435" localSheetId="0" hidden="1">binary</definedName>
    <definedName name="solver_rhs3436" localSheetId="0" hidden="1">binary</definedName>
    <definedName name="solver_rhs3437" localSheetId="0" hidden="1">binary</definedName>
    <definedName name="solver_rhs3438" localSheetId="0" hidden="1">binary</definedName>
    <definedName name="solver_rhs3439" localSheetId="0" hidden="1">binary</definedName>
    <definedName name="solver_rhs344" localSheetId="0" hidden="1">binary</definedName>
    <definedName name="solver_rhs3440" localSheetId="0" hidden="1">binary</definedName>
    <definedName name="solver_rhs3441" localSheetId="0" hidden="1">binary</definedName>
    <definedName name="solver_rhs3442" localSheetId="0" hidden="1">binary</definedName>
    <definedName name="solver_rhs3443" localSheetId="0" hidden="1">binary</definedName>
    <definedName name="solver_rhs3444" localSheetId="0" hidden="1">binary</definedName>
    <definedName name="solver_rhs3445" localSheetId="0" hidden="1">binary</definedName>
    <definedName name="solver_rhs3446" localSheetId="0" hidden="1">binary</definedName>
    <definedName name="solver_rhs3447" localSheetId="0" hidden="1">binary</definedName>
    <definedName name="solver_rhs3448" localSheetId="0" hidden="1">binary</definedName>
    <definedName name="solver_rhs3449" localSheetId="0" hidden="1">binary</definedName>
    <definedName name="solver_rhs345" localSheetId="0" hidden="1">binary</definedName>
    <definedName name="solver_rhs3450" localSheetId="0" hidden="1">binary</definedName>
    <definedName name="solver_rhs3451" localSheetId="0" hidden="1">binary</definedName>
    <definedName name="solver_rhs3452" localSheetId="0" hidden="1">binary</definedName>
    <definedName name="solver_rhs3453" localSheetId="0" hidden="1">binary</definedName>
    <definedName name="solver_rhs3454" localSheetId="0" hidden="1">binary</definedName>
    <definedName name="solver_rhs3455" localSheetId="0" hidden="1">binary</definedName>
    <definedName name="solver_rhs3456" localSheetId="0" hidden="1">binary</definedName>
    <definedName name="solver_rhs3457" localSheetId="0" hidden="1">binary</definedName>
    <definedName name="solver_rhs3458" localSheetId="0" hidden="1">binary</definedName>
    <definedName name="solver_rhs3459" localSheetId="0" hidden="1">binary</definedName>
    <definedName name="solver_rhs346" localSheetId="0" hidden="1">binary</definedName>
    <definedName name="solver_rhs3460" localSheetId="0" hidden="1">binary</definedName>
    <definedName name="solver_rhs3461" localSheetId="0" hidden="1">binary</definedName>
    <definedName name="solver_rhs3462" localSheetId="0" hidden="1">binary</definedName>
    <definedName name="solver_rhs3463" localSheetId="0" hidden="1">binary</definedName>
    <definedName name="solver_rhs3464" localSheetId="0" hidden="1">binary</definedName>
    <definedName name="solver_rhs3465" localSheetId="0" hidden="1">binary</definedName>
    <definedName name="solver_rhs3466" localSheetId="0" hidden="1">binary</definedName>
    <definedName name="solver_rhs3467" localSheetId="0" hidden="1">binary</definedName>
    <definedName name="solver_rhs3468" localSheetId="0" hidden="1">binary</definedName>
    <definedName name="solver_rhs3469" localSheetId="0" hidden="1">binary</definedName>
    <definedName name="solver_rhs347" localSheetId="0" hidden="1">binary</definedName>
    <definedName name="solver_rhs3470" localSheetId="0" hidden="1">binary</definedName>
    <definedName name="solver_rhs3471" localSheetId="0" hidden="1">binary</definedName>
    <definedName name="solver_rhs3472" localSheetId="0" hidden="1">binary</definedName>
    <definedName name="solver_rhs3473" localSheetId="0" hidden="1">binary</definedName>
    <definedName name="solver_rhs3474" localSheetId="0" hidden="1">binary</definedName>
    <definedName name="solver_rhs3475" localSheetId="0" hidden="1">binary</definedName>
    <definedName name="solver_rhs3476" localSheetId="0" hidden="1">binary</definedName>
    <definedName name="solver_rhs3477" localSheetId="0" hidden="1">binary</definedName>
    <definedName name="solver_rhs3478" localSheetId="0" hidden="1">binary</definedName>
    <definedName name="solver_rhs3479" localSheetId="0" hidden="1">binary</definedName>
    <definedName name="solver_rhs348" localSheetId="0" hidden="1">binary</definedName>
    <definedName name="solver_rhs3480" localSheetId="0" hidden="1">binary</definedName>
    <definedName name="solver_rhs3481" localSheetId="0" hidden="1">binary</definedName>
    <definedName name="solver_rhs3482" localSheetId="0" hidden="1">binary</definedName>
    <definedName name="solver_rhs3483" localSheetId="0" hidden="1">binary</definedName>
    <definedName name="solver_rhs3484" localSheetId="0" hidden="1">binary</definedName>
    <definedName name="solver_rhs3485" localSheetId="0" hidden="1">binary</definedName>
    <definedName name="solver_rhs3486" localSheetId="0" hidden="1">binary</definedName>
    <definedName name="solver_rhs3487" localSheetId="0" hidden="1">binary</definedName>
    <definedName name="solver_rhs3488" localSheetId="0" hidden="1">binary</definedName>
    <definedName name="solver_rhs3489" localSheetId="0" hidden="1">binary</definedName>
    <definedName name="solver_rhs349" localSheetId="0" hidden="1">binary</definedName>
    <definedName name="solver_rhs3490" localSheetId="0" hidden="1">binary</definedName>
    <definedName name="solver_rhs3491" localSheetId="0" hidden="1">binary</definedName>
    <definedName name="solver_rhs35" localSheetId="0" hidden="1">binary</definedName>
    <definedName name="solver_rhs350" localSheetId="0" hidden="1">binary</definedName>
    <definedName name="solver_rhs351" localSheetId="0" hidden="1">binary</definedName>
    <definedName name="solver_rhs352" localSheetId="0" hidden="1">binary</definedName>
    <definedName name="solver_rhs353" localSheetId="0" hidden="1">binary</definedName>
    <definedName name="solver_rhs354" localSheetId="0" hidden="1">binary</definedName>
    <definedName name="solver_rhs355" localSheetId="0" hidden="1">binary</definedName>
    <definedName name="solver_rhs356" localSheetId="0" hidden="1">binary</definedName>
    <definedName name="solver_rhs357" localSheetId="0" hidden="1">binary</definedName>
    <definedName name="solver_rhs358" localSheetId="0" hidden="1">binary</definedName>
    <definedName name="solver_rhs359" localSheetId="0" hidden="1">binary</definedName>
    <definedName name="solver_rhs36" localSheetId="0" hidden="1">binary</definedName>
    <definedName name="solver_rhs360" localSheetId="0" hidden="1">binary</definedName>
    <definedName name="solver_rhs361" localSheetId="0" hidden="1">binary</definedName>
    <definedName name="solver_rhs362" localSheetId="0" hidden="1">binary</definedName>
    <definedName name="solver_rhs363" localSheetId="0" hidden="1">binary</definedName>
    <definedName name="solver_rhs364" localSheetId="0" hidden="1">binary</definedName>
    <definedName name="solver_rhs365" localSheetId="0" hidden="1">binary</definedName>
    <definedName name="solver_rhs366" localSheetId="0" hidden="1">binary</definedName>
    <definedName name="solver_rhs367" localSheetId="0" hidden="1">binary</definedName>
    <definedName name="solver_rhs368" localSheetId="0" hidden="1">binary</definedName>
    <definedName name="solver_rhs369" localSheetId="0" hidden="1">binary</definedName>
    <definedName name="solver_rhs37" localSheetId="0" hidden="1">binary</definedName>
    <definedName name="solver_rhs370" localSheetId="0" hidden="1">binary</definedName>
    <definedName name="solver_rhs371" localSheetId="0" hidden="1">binary</definedName>
    <definedName name="solver_rhs372" localSheetId="0" hidden="1">binary</definedName>
    <definedName name="solver_rhs373" localSheetId="0" hidden="1">binary</definedName>
    <definedName name="solver_rhs374" localSheetId="0" hidden="1">binary</definedName>
    <definedName name="solver_rhs375" localSheetId="0" hidden="1">binary</definedName>
    <definedName name="solver_rhs376" localSheetId="0" hidden="1">binary</definedName>
    <definedName name="solver_rhs377" localSheetId="0" hidden="1">binary</definedName>
    <definedName name="solver_rhs378" localSheetId="0" hidden="1">binary</definedName>
    <definedName name="solver_rhs379" localSheetId="0" hidden="1">binary</definedName>
    <definedName name="solver_rhs38" localSheetId="0" hidden="1">binary</definedName>
    <definedName name="solver_rhs380" localSheetId="0" hidden="1">binary</definedName>
    <definedName name="solver_rhs381" localSheetId="0" hidden="1">binary</definedName>
    <definedName name="solver_rhs382" localSheetId="0" hidden="1">binary</definedName>
    <definedName name="solver_rhs383" localSheetId="0" hidden="1">binary</definedName>
    <definedName name="solver_rhs384" localSheetId="0" hidden="1">binary</definedName>
    <definedName name="solver_rhs385" localSheetId="0" hidden="1">binary</definedName>
    <definedName name="solver_rhs386" localSheetId="0" hidden="1">binary</definedName>
    <definedName name="solver_rhs387" localSheetId="0" hidden="1">binary</definedName>
    <definedName name="solver_rhs388" localSheetId="0" hidden="1">binary</definedName>
    <definedName name="solver_rhs389" localSheetId="0" hidden="1">binary</definedName>
    <definedName name="solver_rhs39" localSheetId="0" hidden="1">binary</definedName>
    <definedName name="solver_rhs390" localSheetId="0" hidden="1">binary</definedName>
    <definedName name="solver_rhs391" localSheetId="0" hidden="1">binary</definedName>
    <definedName name="solver_rhs392" localSheetId="0" hidden="1">binary</definedName>
    <definedName name="solver_rhs393" localSheetId="0" hidden="1">binary</definedName>
    <definedName name="solver_rhs394" localSheetId="0" hidden="1">binary</definedName>
    <definedName name="solver_rhs395" localSheetId="0" hidden="1">binary</definedName>
    <definedName name="solver_rhs396" localSheetId="0" hidden="1">binary</definedName>
    <definedName name="solver_rhs397" localSheetId="0" hidden="1">binary</definedName>
    <definedName name="solver_rhs398" localSheetId="0" hidden="1">binary</definedName>
    <definedName name="solver_rhs399" localSheetId="0" hidden="1">binary</definedName>
    <definedName name="solver_rhs4" localSheetId="0" hidden="1">monday_model.lp!$C$1781:$EDE$1781</definedName>
    <definedName name="solver_rhs40" localSheetId="0" hidden="1">binary</definedName>
    <definedName name="solver_rhs400" localSheetId="0" hidden="1">binary</definedName>
    <definedName name="solver_rhs401" localSheetId="0" hidden="1">binary</definedName>
    <definedName name="solver_rhs402" localSheetId="0" hidden="1">binary</definedName>
    <definedName name="solver_rhs403" localSheetId="0" hidden="1">binary</definedName>
    <definedName name="solver_rhs404" localSheetId="0" hidden="1">binary</definedName>
    <definedName name="solver_rhs405" localSheetId="0" hidden="1">binary</definedName>
    <definedName name="solver_rhs406" localSheetId="0" hidden="1">binary</definedName>
    <definedName name="solver_rhs407" localSheetId="0" hidden="1">binary</definedName>
    <definedName name="solver_rhs408" localSheetId="0" hidden="1">binary</definedName>
    <definedName name="solver_rhs409" localSheetId="0" hidden="1">binary</definedName>
    <definedName name="solver_rhs41" localSheetId="0" hidden="1">binary</definedName>
    <definedName name="solver_rhs410" localSheetId="0" hidden="1">binary</definedName>
    <definedName name="solver_rhs411" localSheetId="0" hidden="1">binary</definedName>
    <definedName name="solver_rhs412" localSheetId="0" hidden="1">binary</definedName>
    <definedName name="solver_rhs413" localSheetId="0" hidden="1">binary</definedName>
    <definedName name="solver_rhs414" localSheetId="0" hidden="1">binary</definedName>
    <definedName name="solver_rhs415" localSheetId="0" hidden="1">binary</definedName>
    <definedName name="solver_rhs416" localSheetId="0" hidden="1">binary</definedName>
    <definedName name="solver_rhs417" localSheetId="0" hidden="1">binary</definedName>
    <definedName name="solver_rhs418" localSheetId="0" hidden="1">binary</definedName>
    <definedName name="solver_rhs419" localSheetId="0" hidden="1">binary</definedName>
    <definedName name="solver_rhs42" localSheetId="0" hidden="1">binary</definedName>
    <definedName name="solver_rhs420" localSheetId="0" hidden="1">binary</definedName>
    <definedName name="solver_rhs421" localSheetId="0" hidden="1">binary</definedName>
    <definedName name="solver_rhs422" localSheetId="0" hidden="1">binary</definedName>
    <definedName name="solver_rhs423" localSheetId="0" hidden="1">binary</definedName>
    <definedName name="solver_rhs424" localSheetId="0" hidden="1">binary</definedName>
    <definedName name="solver_rhs425" localSheetId="0" hidden="1">binary</definedName>
    <definedName name="solver_rhs426" localSheetId="0" hidden="1">binary</definedName>
    <definedName name="solver_rhs427" localSheetId="0" hidden="1">binary</definedName>
    <definedName name="solver_rhs428" localSheetId="0" hidden="1">binary</definedName>
    <definedName name="solver_rhs429" localSheetId="0" hidden="1">binary</definedName>
    <definedName name="solver_rhs43" localSheetId="0" hidden="1">binary</definedName>
    <definedName name="solver_rhs430" localSheetId="0" hidden="1">binary</definedName>
    <definedName name="solver_rhs431" localSheetId="0" hidden="1">binary</definedName>
    <definedName name="solver_rhs432" localSheetId="0" hidden="1">binary</definedName>
    <definedName name="solver_rhs433" localSheetId="0" hidden="1">binary</definedName>
    <definedName name="solver_rhs434" localSheetId="0" hidden="1">binary</definedName>
    <definedName name="solver_rhs435" localSheetId="0" hidden="1">binary</definedName>
    <definedName name="solver_rhs436" localSheetId="0" hidden="1">binary</definedName>
    <definedName name="solver_rhs437" localSheetId="0" hidden="1">binary</definedName>
    <definedName name="solver_rhs438" localSheetId="0" hidden="1">binary</definedName>
    <definedName name="solver_rhs439" localSheetId="0" hidden="1">binary</definedName>
    <definedName name="solver_rhs44" localSheetId="0" hidden="1">binary</definedName>
    <definedName name="solver_rhs440" localSheetId="0" hidden="1">binary</definedName>
    <definedName name="solver_rhs441" localSheetId="0" hidden="1">binary</definedName>
    <definedName name="solver_rhs442" localSheetId="0" hidden="1">binary</definedName>
    <definedName name="solver_rhs443" localSheetId="0" hidden="1">binary</definedName>
    <definedName name="solver_rhs444" localSheetId="0" hidden="1">binary</definedName>
    <definedName name="solver_rhs445" localSheetId="0" hidden="1">binary</definedName>
    <definedName name="solver_rhs446" localSheetId="0" hidden="1">binary</definedName>
    <definedName name="solver_rhs447" localSheetId="0" hidden="1">binary</definedName>
    <definedName name="solver_rhs448" localSheetId="0" hidden="1">binary</definedName>
    <definedName name="solver_rhs449" localSheetId="0" hidden="1">binary</definedName>
    <definedName name="solver_rhs45" localSheetId="0" hidden="1">binary</definedName>
    <definedName name="solver_rhs450" localSheetId="0" hidden="1">binary</definedName>
    <definedName name="solver_rhs451" localSheetId="0" hidden="1">binary</definedName>
    <definedName name="solver_rhs452" localSheetId="0" hidden="1">binary</definedName>
    <definedName name="solver_rhs453" localSheetId="0" hidden="1">binary</definedName>
    <definedName name="solver_rhs454" localSheetId="0" hidden="1">binary</definedName>
    <definedName name="solver_rhs455" localSheetId="0" hidden="1">binary</definedName>
    <definedName name="solver_rhs456" localSheetId="0" hidden="1">binary</definedName>
    <definedName name="solver_rhs457" localSheetId="0" hidden="1">binary</definedName>
    <definedName name="solver_rhs458" localSheetId="0" hidden="1">binary</definedName>
    <definedName name="solver_rhs459" localSheetId="0" hidden="1">binary</definedName>
    <definedName name="solver_rhs46" localSheetId="0" hidden="1">binary</definedName>
    <definedName name="solver_rhs460" localSheetId="0" hidden="1">binary</definedName>
    <definedName name="solver_rhs461" localSheetId="0" hidden="1">binary</definedName>
    <definedName name="solver_rhs462" localSheetId="0" hidden="1">binary</definedName>
    <definedName name="solver_rhs463" localSheetId="0" hidden="1">binary</definedName>
    <definedName name="solver_rhs464" localSheetId="0" hidden="1">binary</definedName>
    <definedName name="solver_rhs465" localSheetId="0" hidden="1">binary</definedName>
    <definedName name="solver_rhs466" localSheetId="0" hidden="1">binary</definedName>
    <definedName name="solver_rhs467" localSheetId="0" hidden="1">binary</definedName>
    <definedName name="solver_rhs468" localSheetId="0" hidden="1">binary</definedName>
    <definedName name="solver_rhs469" localSheetId="0" hidden="1">binary</definedName>
    <definedName name="solver_rhs47" localSheetId="0" hidden="1">binary</definedName>
    <definedName name="solver_rhs470" localSheetId="0" hidden="1">binary</definedName>
    <definedName name="solver_rhs471" localSheetId="0" hidden="1">binary</definedName>
    <definedName name="solver_rhs472" localSheetId="0" hidden="1">binary</definedName>
    <definedName name="solver_rhs473" localSheetId="0" hidden="1">binary</definedName>
    <definedName name="solver_rhs474" localSheetId="0" hidden="1">binary</definedName>
    <definedName name="solver_rhs475" localSheetId="0" hidden="1">binary</definedName>
    <definedName name="solver_rhs476" localSheetId="0" hidden="1">binary</definedName>
    <definedName name="solver_rhs477" localSheetId="0" hidden="1">binary</definedName>
    <definedName name="solver_rhs478" localSheetId="0" hidden="1">binary</definedName>
    <definedName name="solver_rhs479" localSheetId="0" hidden="1">binary</definedName>
    <definedName name="solver_rhs48" localSheetId="0" hidden="1">binary</definedName>
    <definedName name="solver_rhs480" localSheetId="0" hidden="1">binary</definedName>
    <definedName name="solver_rhs481" localSheetId="0" hidden="1">binary</definedName>
    <definedName name="solver_rhs482" localSheetId="0" hidden="1">binary</definedName>
    <definedName name="solver_rhs483" localSheetId="0" hidden="1">binary</definedName>
    <definedName name="solver_rhs484" localSheetId="0" hidden="1">binary</definedName>
    <definedName name="solver_rhs485" localSheetId="0" hidden="1">binary</definedName>
    <definedName name="solver_rhs486" localSheetId="0" hidden="1">binary</definedName>
    <definedName name="solver_rhs487" localSheetId="0" hidden="1">binary</definedName>
    <definedName name="solver_rhs488" localSheetId="0" hidden="1">binary</definedName>
    <definedName name="solver_rhs489" localSheetId="0" hidden="1">binary</definedName>
    <definedName name="solver_rhs49" localSheetId="0" hidden="1">binary</definedName>
    <definedName name="solver_rhs490" localSheetId="0" hidden="1">binary</definedName>
    <definedName name="solver_rhs491" localSheetId="0" hidden="1">binary</definedName>
    <definedName name="solver_rhs492" localSheetId="0" hidden="1">binary</definedName>
    <definedName name="solver_rhs493" localSheetId="0" hidden="1">binary</definedName>
    <definedName name="solver_rhs494" localSheetId="0" hidden="1">binary</definedName>
    <definedName name="solver_rhs495" localSheetId="0" hidden="1">binary</definedName>
    <definedName name="solver_rhs496" localSheetId="0" hidden="1">binary</definedName>
    <definedName name="solver_rhs497" localSheetId="0" hidden="1">binary</definedName>
    <definedName name="solver_rhs498" localSheetId="0" hidden="1">binary</definedName>
    <definedName name="solver_rhs499" localSheetId="0" hidden="1">binary</definedName>
    <definedName name="solver_rhs5" localSheetId="0" hidden="1">binary</definedName>
    <definedName name="solver_rhs50" localSheetId="0" hidden="1">binary</definedName>
    <definedName name="solver_rhs500" localSheetId="0" hidden="1">binary</definedName>
    <definedName name="solver_rhs501" localSheetId="0" hidden="1">binary</definedName>
    <definedName name="solver_rhs502" localSheetId="0" hidden="1">binary</definedName>
    <definedName name="solver_rhs503" localSheetId="0" hidden="1">binary</definedName>
    <definedName name="solver_rhs504" localSheetId="0" hidden="1">binary</definedName>
    <definedName name="solver_rhs505" localSheetId="0" hidden="1">binary</definedName>
    <definedName name="solver_rhs506" localSheetId="0" hidden="1">binary</definedName>
    <definedName name="solver_rhs507" localSheetId="0" hidden="1">binary</definedName>
    <definedName name="solver_rhs508" localSheetId="0" hidden="1">binary</definedName>
    <definedName name="solver_rhs509" localSheetId="0" hidden="1">binary</definedName>
    <definedName name="solver_rhs51" localSheetId="0" hidden="1">binary</definedName>
    <definedName name="solver_rhs510" localSheetId="0" hidden="1">binary</definedName>
    <definedName name="solver_rhs511" localSheetId="0" hidden="1">binary</definedName>
    <definedName name="solver_rhs512" localSheetId="0" hidden="1">binary</definedName>
    <definedName name="solver_rhs513" localSheetId="0" hidden="1">binary</definedName>
    <definedName name="solver_rhs514" localSheetId="0" hidden="1">binary</definedName>
    <definedName name="solver_rhs515" localSheetId="0" hidden="1">binary</definedName>
    <definedName name="solver_rhs516" localSheetId="0" hidden="1">binary</definedName>
    <definedName name="solver_rhs517" localSheetId="0" hidden="1">binary</definedName>
    <definedName name="solver_rhs518" localSheetId="0" hidden="1">binary</definedName>
    <definedName name="solver_rhs519" localSheetId="0" hidden="1">binary</definedName>
    <definedName name="solver_rhs52" localSheetId="0" hidden="1">binary</definedName>
    <definedName name="solver_rhs520" localSheetId="0" hidden="1">binary</definedName>
    <definedName name="solver_rhs521" localSheetId="0" hidden="1">binary</definedName>
    <definedName name="solver_rhs522" localSheetId="0" hidden="1">binary</definedName>
    <definedName name="solver_rhs523" localSheetId="0" hidden="1">binary</definedName>
    <definedName name="solver_rhs524" localSheetId="0" hidden="1">binary</definedName>
    <definedName name="solver_rhs525" localSheetId="0" hidden="1">binary</definedName>
    <definedName name="solver_rhs526" localSheetId="0" hidden="1">binary</definedName>
    <definedName name="solver_rhs527" localSheetId="0" hidden="1">binary</definedName>
    <definedName name="solver_rhs528" localSheetId="0" hidden="1">binary</definedName>
    <definedName name="solver_rhs529" localSheetId="0" hidden="1">binary</definedName>
    <definedName name="solver_rhs53" localSheetId="0" hidden="1">binary</definedName>
    <definedName name="solver_rhs530" localSheetId="0" hidden="1">binary</definedName>
    <definedName name="solver_rhs531" localSheetId="0" hidden="1">binary</definedName>
    <definedName name="solver_rhs532" localSheetId="0" hidden="1">binary</definedName>
    <definedName name="solver_rhs533" localSheetId="0" hidden="1">binary</definedName>
    <definedName name="solver_rhs534" localSheetId="0" hidden="1">binary</definedName>
    <definedName name="solver_rhs535" localSheetId="0" hidden="1">binary</definedName>
    <definedName name="solver_rhs536" localSheetId="0" hidden="1">binary</definedName>
    <definedName name="solver_rhs537" localSheetId="0" hidden="1">binary</definedName>
    <definedName name="solver_rhs538" localSheetId="0" hidden="1">binary</definedName>
    <definedName name="solver_rhs539" localSheetId="0" hidden="1">binary</definedName>
    <definedName name="solver_rhs54" localSheetId="0" hidden="1">binary</definedName>
    <definedName name="solver_rhs540" localSheetId="0" hidden="1">binary</definedName>
    <definedName name="solver_rhs541" localSheetId="0" hidden="1">binary</definedName>
    <definedName name="solver_rhs542" localSheetId="0" hidden="1">binary</definedName>
    <definedName name="solver_rhs543" localSheetId="0" hidden="1">binary</definedName>
    <definedName name="solver_rhs544" localSheetId="0" hidden="1">binary</definedName>
    <definedName name="solver_rhs545" localSheetId="0" hidden="1">binary</definedName>
    <definedName name="solver_rhs546" localSheetId="0" hidden="1">binary</definedName>
    <definedName name="solver_rhs547" localSheetId="0" hidden="1">binary</definedName>
    <definedName name="solver_rhs548" localSheetId="0" hidden="1">binary</definedName>
    <definedName name="solver_rhs549" localSheetId="0" hidden="1">binary</definedName>
    <definedName name="solver_rhs55" localSheetId="0" hidden="1">binary</definedName>
    <definedName name="solver_rhs550" localSheetId="0" hidden="1">binary</definedName>
    <definedName name="solver_rhs551" localSheetId="0" hidden="1">binary</definedName>
    <definedName name="solver_rhs552" localSheetId="0" hidden="1">binary</definedName>
    <definedName name="solver_rhs553" localSheetId="0" hidden="1">binary</definedName>
    <definedName name="solver_rhs554" localSheetId="0" hidden="1">binary</definedName>
    <definedName name="solver_rhs555" localSheetId="0" hidden="1">binary</definedName>
    <definedName name="solver_rhs556" localSheetId="0" hidden="1">binary</definedName>
    <definedName name="solver_rhs557" localSheetId="0" hidden="1">binary</definedName>
    <definedName name="solver_rhs558" localSheetId="0" hidden="1">binary</definedName>
    <definedName name="solver_rhs559" localSheetId="0" hidden="1">binary</definedName>
    <definedName name="solver_rhs56" localSheetId="0" hidden="1">binary</definedName>
    <definedName name="solver_rhs560" localSheetId="0" hidden="1">binary</definedName>
    <definedName name="solver_rhs561" localSheetId="0" hidden="1">binary</definedName>
    <definedName name="solver_rhs562" localSheetId="0" hidden="1">binary</definedName>
    <definedName name="solver_rhs563" localSheetId="0" hidden="1">binary</definedName>
    <definedName name="solver_rhs564" localSheetId="0" hidden="1">binary</definedName>
    <definedName name="solver_rhs565" localSheetId="0" hidden="1">binary</definedName>
    <definedName name="solver_rhs566" localSheetId="0" hidden="1">binary</definedName>
    <definedName name="solver_rhs567" localSheetId="0" hidden="1">binary</definedName>
    <definedName name="solver_rhs568" localSheetId="0" hidden="1">binary</definedName>
    <definedName name="solver_rhs569" localSheetId="0" hidden="1">binary</definedName>
    <definedName name="solver_rhs57" localSheetId="0" hidden="1">binary</definedName>
    <definedName name="solver_rhs570" localSheetId="0" hidden="1">binary</definedName>
    <definedName name="solver_rhs571" localSheetId="0" hidden="1">binary</definedName>
    <definedName name="solver_rhs572" localSheetId="0" hidden="1">binary</definedName>
    <definedName name="solver_rhs573" localSheetId="0" hidden="1">binary</definedName>
    <definedName name="solver_rhs574" localSheetId="0" hidden="1">binary</definedName>
    <definedName name="solver_rhs575" localSheetId="0" hidden="1">binary</definedName>
    <definedName name="solver_rhs576" localSheetId="0" hidden="1">binary</definedName>
    <definedName name="solver_rhs577" localSheetId="0" hidden="1">binary</definedName>
    <definedName name="solver_rhs578" localSheetId="0" hidden="1">binary</definedName>
    <definedName name="solver_rhs579" localSheetId="0" hidden="1">binary</definedName>
    <definedName name="solver_rhs58" localSheetId="0" hidden="1">binary</definedName>
    <definedName name="solver_rhs580" localSheetId="0" hidden="1">binary</definedName>
    <definedName name="solver_rhs581" localSheetId="0" hidden="1">binary</definedName>
    <definedName name="solver_rhs582" localSheetId="0" hidden="1">binary</definedName>
    <definedName name="solver_rhs583" localSheetId="0" hidden="1">binary</definedName>
    <definedName name="solver_rhs584" localSheetId="0" hidden="1">binary</definedName>
    <definedName name="solver_rhs585" localSheetId="0" hidden="1">binary</definedName>
    <definedName name="solver_rhs586" localSheetId="0" hidden="1">binary</definedName>
    <definedName name="solver_rhs587" localSheetId="0" hidden="1">binary</definedName>
    <definedName name="solver_rhs588" localSheetId="0" hidden="1">binary</definedName>
    <definedName name="solver_rhs589" localSheetId="0" hidden="1">binary</definedName>
    <definedName name="solver_rhs59" localSheetId="0" hidden="1">binary</definedName>
    <definedName name="solver_rhs590" localSheetId="0" hidden="1">binary</definedName>
    <definedName name="solver_rhs591" localSheetId="0" hidden="1">binary</definedName>
    <definedName name="solver_rhs592" localSheetId="0" hidden="1">binary</definedName>
    <definedName name="solver_rhs593" localSheetId="0" hidden="1">binary</definedName>
    <definedName name="solver_rhs594" localSheetId="0" hidden="1">binary</definedName>
    <definedName name="solver_rhs595" localSheetId="0" hidden="1">binary</definedName>
    <definedName name="solver_rhs596" localSheetId="0" hidden="1">binary</definedName>
    <definedName name="solver_rhs597" localSheetId="0" hidden="1">binary</definedName>
    <definedName name="solver_rhs598" localSheetId="0" hidden="1">binary</definedName>
    <definedName name="solver_rhs599" localSheetId="0" hidden="1">binary</definedName>
    <definedName name="solver_rhs6" localSheetId="0" hidden="1">binary</definedName>
    <definedName name="solver_rhs60" localSheetId="0" hidden="1">binary</definedName>
    <definedName name="solver_rhs600" localSheetId="0" hidden="1">binary</definedName>
    <definedName name="solver_rhs601" localSheetId="0" hidden="1">binary</definedName>
    <definedName name="solver_rhs602" localSheetId="0" hidden="1">binary</definedName>
    <definedName name="solver_rhs603" localSheetId="0" hidden="1">binary</definedName>
    <definedName name="solver_rhs604" localSheetId="0" hidden="1">binary</definedName>
    <definedName name="solver_rhs605" localSheetId="0" hidden="1">binary</definedName>
    <definedName name="solver_rhs606" localSheetId="0" hidden="1">binary</definedName>
    <definedName name="solver_rhs607" localSheetId="0" hidden="1">binary</definedName>
    <definedName name="solver_rhs608" localSheetId="0" hidden="1">binary</definedName>
    <definedName name="solver_rhs609" localSheetId="0" hidden="1">binary</definedName>
    <definedName name="solver_rhs61" localSheetId="0" hidden="1">binary</definedName>
    <definedName name="solver_rhs610" localSheetId="0" hidden="1">binary</definedName>
    <definedName name="solver_rhs611" localSheetId="0" hidden="1">binary</definedName>
    <definedName name="solver_rhs612" localSheetId="0" hidden="1">binary</definedName>
    <definedName name="solver_rhs613" localSheetId="0" hidden="1">binary</definedName>
    <definedName name="solver_rhs614" localSheetId="0" hidden="1">binary</definedName>
    <definedName name="solver_rhs615" localSheetId="0" hidden="1">binary</definedName>
    <definedName name="solver_rhs616" localSheetId="0" hidden="1">binary</definedName>
    <definedName name="solver_rhs617" localSheetId="0" hidden="1">binary</definedName>
    <definedName name="solver_rhs618" localSheetId="0" hidden="1">binary</definedName>
    <definedName name="solver_rhs619" localSheetId="0" hidden="1">binary</definedName>
    <definedName name="solver_rhs62" localSheetId="0" hidden="1">binary</definedName>
    <definedName name="solver_rhs620" localSheetId="0" hidden="1">binary</definedName>
    <definedName name="solver_rhs621" localSheetId="0" hidden="1">binary</definedName>
    <definedName name="solver_rhs622" localSheetId="0" hidden="1">binary</definedName>
    <definedName name="solver_rhs623" localSheetId="0" hidden="1">binary</definedName>
    <definedName name="solver_rhs624" localSheetId="0" hidden="1">binary</definedName>
    <definedName name="solver_rhs625" localSheetId="0" hidden="1">binary</definedName>
    <definedName name="solver_rhs626" localSheetId="0" hidden="1">binary</definedName>
    <definedName name="solver_rhs627" localSheetId="0" hidden="1">binary</definedName>
    <definedName name="solver_rhs628" localSheetId="0" hidden="1">binary</definedName>
    <definedName name="solver_rhs629" localSheetId="0" hidden="1">binary</definedName>
    <definedName name="solver_rhs63" localSheetId="0" hidden="1">binary</definedName>
    <definedName name="solver_rhs630" localSheetId="0" hidden="1">binary</definedName>
    <definedName name="solver_rhs631" localSheetId="0" hidden="1">binary</definedName>
    <definedName name="solver_rhs632" localSheetId="0" hidden="1">binary</definedName>
    <definedName name="solver_rhs633" localSheetId="0" hidden="1">binary</definedName>
    <definedName name="solver_rhs634" localSheetId="0" hidden="1">binary</definedName>
    <definedName name="solver_rhs635" localSheetId="0" hidden="1">binary</definedName>
    <definedName name="solver_rhs636" localSheetId="0" hidden="1">binary</definedName>
    <definedName name="solver_rhs637" localSheetId="0" hidden="1">binary</definedName>
    <definedName name="solver_rhs638" localSheetId="0" hidden="1">binary</definedName>
    <definedName name="solver_rhs639" localSheetId="0" hidden="1">binary</definedName>
    <definedName name="solver_rhs64" localSheetId="0" hidden="1">binary</definedName>
    <definedName name="solver_rhs640" localSheetId="0" hidden="1">binary</definedName>
    <definedName name="solver_rhs641" localSheetId="0" hidden="1">binary</definedName>
    <definedName name="solver_rhs642" localSheetId="0" hidden="1">binary</definedName>
    <definedName name="solver_rhs643" localSheetId="0" hidden="1">binary</definedName>
    <definedName name="solver_rhs644" localSheetId="0" hidden="1">binary</definedName>
    <definedName name="solver_rhs645" localSheetId="0" hidden="1">binary</definedName>
    <definedName name="solver_rhs646" localSheetId="0" hidden="1">binary</definedName>
    <definedName name="solver_rhs647" localSheetId="0" hidden="1">binary</definedName>
    <definedName name="solver_rhs648" localSheetId="0" hidden="1">binary</definedName>
    <definedName name="solver_rhs649" localSheetId="0" hidden="1">binary</definedName>
    <definedName name="solver_rhs65" localSheetId="0" hidden="1">binary</definedName>
    <definedName name="solver_rhs650" localSheetId="0" hidden="1">binary</definedName>
    <definedName name="solver_rhs651" localSheetId="0" hidden="1">binary</definedName>
    <definedName name="solver_rhs652" localSheetId="0" hidden="1">binary</definedName>
    <definedName name="solver_rhs653" localSheetId="0" hidden="1">binary</definedName>
    <definedName name="solver_rhs654" localSheetId="0" hidden="1">binary</definedName>
    <definedName name="solver_rhs655" localSheetId="0" hidden="1">binary</definedName>
    <definedName name="solver_rhs656" localSheetId="0" hidden="1">binary</definedName>
    <definedName name="solver_rhs657" localSheetId="0" hidden="1">binary</definedName>
    <definedName name="solver_rhs658" localSheetId="0" hidden="1">binary</definedName>
    <definedName name="solver_rhs659" localSheetId="0" hidden="1">binary</definedName>
    <definedName name="solver_rhs66" localSheetId="0" hidden="1">binary</definedName>
    <definedName name="solver_rhs660" localSheetId="0" hidden="1">binary</definedName>
    <definedName name="solver_rhs661" localSheetId="0" hidden="1">binary</definedName>
    <definedName name="solver_rhs662" localSheetId="0" hidden="1">binary</definedName>
    <definedName name="solver_rhs663" localSheetId="0" hidden="1">binary</definedName>
    <definedName name="solver_rhs664" localSheetId="0" hidden="1">binary</definedName>
    <definedName name="solver_rhs665" localSheetId="0" hidden="1">binary</definedName>
    <definedName name="solver_rhs666" localSheetId="0" hidden="1">binary</definedName>
    <definedName name="solver_rhs667" localSheetId="0" hidden="1">binary</definedName>
    <definedName name="solver_rhs668" localSheetId="0" hidden="1">binary</definedName>
    <definedName name="solver_rhs669" localSheetId="0" hidden="1">binary</definedName>
    <definedName name="solver_rhs67" localSheetId="0" hidden="1">binary</definedName>
    <definedName name="solver_rhs670" localSheetId="0" hidden="1">binary</definedName>
    <definedName name="solver_rhs671" localSheetId="0" hidden="1">binary</definedName>
    <definedName name="solver_rhs672" localSheetId="0" hidden="1">binary</definedName>
    <definedName name="solver_rhs673" localSheetId="0" hidden="1">binary</definedName>
    <definedName name="solver_rhs674" localSheetId="0" hidden="1">binary</definedName>
    <definedName name="solver_rhs675" localSheetId="0" hidden="1">binary</definedName>
    <definedName name="solver_rhs676" localSheetId="0" hidden="1">binary</definedName>
    <definedName name="solver_rhs677" localSheetId="0" hidden="1">binary</definedName>
    <definedName name="solver_rhs678" localSheetId="0" hidden="1">binary</definedName>
    <definedName name="solver_rhs679" localSheetId="0" hidden="1">binary</definedName>
    <definedName name="solver_rhs68" localSheetId="0" hidden="1">binary</definedName>
    <definedName name="solver_rhs680" localSheetId="0" hidden="1">binary</definedName>
    <definedName name="solver_rhs681" localSheetId="0" hidden="1">binary</definedName>
    <definedName name="solver_rhs682" localSheetId="0" hidden="1">binary</definedName>
    <definedName name="solver_rhs683" localSheetId="0" hidden="1">binary</definedName>
    <definedName name="solver_rhs684" localSheetId="0" hidden="1">binary</definedName>
    <definedName name="solver_rhs685" localSheetId="0" hidden="1">binary</definedName>
    <definedName name="solver_rhs686" localSheetId="0" hidden="1">binary</definedName>
    <definedName name="solver_rhs687" localSheetId="0" hidden="1">binary</definedName>
    <definedName name="solver_rhs688" localSheetId="0" hidden="1">binary</definedName>
    <definedName name="solver_rhs689" localSheetId="0" hidden="1">binary</definedName>
    <definedName name="solver_rhs69" localSheetId="0" hidden="1">binary</definedName>
    <definedName name="solver_rhs690" localSheetId="0" hidden="1">binary</definedName>
    <definedName name="solver_rhs691" localSheetId="0" hidden="1">binary</definedName>
    <definedName name="solver_rhs692" localSheetId="0" hidden="1">binary</definedName>
    <definedName name="solver_rhs693" localSheetId="0" hidden="1">binary</definedName>
    <definedName name="solver_rhs694" localSheetId="0" hidden="1">binary</definedName>
    <definedName name="solver_rhs695" localSheetId="0" hidden="1">binary</definedName>
    <definedName name="solver_rhs696" localSheetId="0" hidden="1">binary</definedName>
    <definedName name="solver_rhs697" localSheetId="0" hidden="1">binary</definedName>
    <definedName name="solver_rhs698" localSheetId="0" hidden="1">binary</definedName>
    <definedName name="solver_rhs699" localSheetId="0" hidden="1">binary</definedName>
    <definedName name="solver_rhs7" localSheetId="0" hidden="1">binary</definedName>
    <definedName name="solver_rhs70" localSheetId="0" hidden="1">binary</definedName>
    <definedName name="solver_rhs700" localSheetId="0" hidden="1">binary</definedName>
    <definedName name="solver_rhs701" localSheetId="0" hidden="1">binary</definedName>
    <definedName name="solver_rhs702" localSheetId="0" hidden="1">binary</definedName>
    <definedName name="solver_rhs703" localSheetId="0" hidden="1">binary</definedName>
    <definedName name="solver_rhs704" localSheetId="0" hidden="1">binary</definedName>
    <definedName name="solver_rhs705" localSheetId="0" hidden="1">binary</definedName>
    <definedName name="solver_rhs706" localSheetId="0" hidden="1">binary</definedName>
    <definedName name="solver_rhs707" localSheetId="0" hidden="1">binary</definedName>
    <definedName name="solver_rhs708" localSheetId="0" hidden="1">binary</definedName>
    <definedName name="solver_rhs709" localSheetId="0" hidden="1">binary</definedName>
    <definedName name="solver_rhs71" localSheetId="0" hidden="1">binary</definedName>
    <definedName name="solver_rhs710" localSheetId="0" hidden="1">binary</definedName>
    <definedName name="solver_rhs711" localSheetId="0" hidden="1">binary</definedName>
    <definedName name="solver_rhs712" localSheetId="0" hidden="1">binary</definedName>
    <definedName name="solver_rhs713" localSheetId="0" hidden="1">binary</definedName>
    <definedName name="solver_rhs714" localSheetId="0" hidden="1">binary</definedName>
    <definedName name="solver_rhs715" localSheetId="0" hidden="1">binary</definedName>
    <definedName name="solver_rhs716" localSheetId="0" hidden="1">binary</definedName>
    <definedName name="solver_rhs717" localSheetId="0" hidden="1">binary</definedName>
    <definedName name="solver_rhs718" localSheetId="0" hidden="1">binary</definedName>
    <definedName name="solver_rhs719" localSheetId="0" hidden="1">binary</definedName>
    <definedName name="solver_rhs72" localSheetId="0" hidden="1">binary</definedName>
    <definedName name="solver_rhs720" localSheetId="0" hidden="1">binary</definedName>
    <definedName name="solver_rhs721" localSheetId="0" hidden="1">binary</definedName>
    <definedName name="solver_rhs722" localSheetId="0" hidden="1">binary</definedName>
    <definedName name="solver_rhs723" localSheetId="0" hidden="1">binary</definedName>
    <definedName name="solver_rhs724" localSheetId="0" hidden="1">binary</definedName>
    <definedName name="solver_rhs725" localSheetId="0" hidden="1">binary</definedName>
    <definedName name="solver_rhs726" localSheetId="0" hidden="1">binary</definedName>
    <definedName name="solver_rhs727" localSheetId="0" hidden="1">binary</definedName>
    <definedName name="solver_rhs728" localSheetId="0" hidden="1">binary</definedName>
    <definedName name="solver_rhs729" localSheetId="0" hidden="1">binary</definedName>
    <definedName name="solver_rhs73" localSheetId="0" hidden="1">binary</definedName>
    <definedName name="solver_rhs730" localSheetId="0" hidden="1">binary</definedName>
    <definedName name="solver_rhs731" localSheetId="0" hidden="1">binary</definedName>
    <definedName name="solver_rhs732" localSheetId="0" hidden="1">binary</definedName>
    <definedName name="solver_rhs733" localSheetId="0" hidden="1">binary</definedName>
    <definedName name="solver_rhs734" localSheetId="0" hidden="1">binary</definedName>
    <definedName name="solver_rhs735" localSheetId="0" hidden="1">binary</definedName>
    <definedName name="solver_rhs736" localSheetId="0" hidden="1">binary</definedName>
    <definedName name="solver_rhs737" localSheetId="0" hidden="1">binary</definedName>
    <definedName name="solver_rhs738" localSheetId="0" hidden="1">binary</definedName>
    <definedName name="solver_rhs739" localSheetId="0" hidden="1">binary</definedName>
    <definedName name="solver_rhs74" localSheetId="0" hidden="1">binary</definedName>
    <definedName name="solver_rhs740" localSheetId="0" hidden="1">binary</definedName>
    <definedName name="solver_rhs741" localSheetId="0" hidden="1">binary</definedName>
    <definedName name="solver_rhs742" localSheetId="0" hidden="1">binary</definedName>
    <definedName name="solver_rhs743" localSheetId="0" hidden="1">binary</definedName>
    <definedName name="solver_rhs744" localSheetId="0" hidden="1">binary</definedName>
    <definedName name="solver_rhs745" localSheetId="0" hidden="1">binary</definedName>
    <definedName name="solver_rhs746" localSheetId="0" hidden="1">binary</definedName>
    <definedName name="solver_rhs747" localSheetId="0" hidden="1">binary</definedName>
    <definedName name="solver_rhs748" localSheetId="0" hidden="1">binary</definedName>
    <definedName name="solver_rhs749" localSheetId="0" hidden="1">binary</definedName>
    <definedName name="solver_rhs75" localSheetId="0" hidden="1">binary</definedName>
    <definedName name="solver_rhs750" localSheetId="0" hidden="1">binary</definedName>
    <definedName name="solver_rhs751" localSheetId="0" hidden="1">binary</definedName>
    <definedName name="solver_rhs752" localSheetId="0" hidden="1">binary</definedName>
    <definedName name="solver_rhs753" localSheetId="0" hidden="1">binary</definedName>
    <definedName name="solver_rhs754" localSheetId="0" hidden="1">binary</definedName>
    <definedName name="solver_rhs755" localSheetId="0" hidden="1">binary</definedName>
    <definedName name="solver_rhs756" localSheetId="0" hidden="1">binary</definedName>
    <definedName name="solver_rhs757" localSheetId="0" hidden="1">binary</definedName>
    <definedName name="solver_rhs758" localSheetId="0" hidden="1">binary</definedName>
    <definedName name="solver_rhs759" localSheetId="0" hidden="1">binary</definedName>
    <definedName name="solver_rhs76" localSheetId="0" hidden="1">binary</definedName>
    <definedName name="solver_rhs760" localSheetId="0" hidden="1">binary</definedName>
    <definedName name="solver_rhs761" localSheetId="0" hidden="1">binary</definedName>
    <definedName name="solver_rhs762" localSheetId="0" hidden="1">binary</definedName>
    <definedName name="solver_rhs763" localSheetId="0" hidden="1">binary</definedName>
    <definedName name="solver_rhs764" localSheetId="0" hidden="1">binary</definedName>
    <definedName name="solver_rhs765" localSheetId="0" hidden="1">binary</definedName>
    <definedName name="solver_rhs766" localSheetId="0" hidden="1">binary</definedName>
    <definedName name="solver_rhs767" localSheetId="0" hidden="1">binary</definedName>
    <definedName name="solver_rhs768" localSheetId="0" hidden="1">binary</definedName>
    <definedName name="solver_rhs769" localSheetId="0" hidden="1">binary</definedName>
    <definedName name="solver_rhs77" localSheetId="0" hidden="1">binary</definedName>
    <definedName name="solver_rhs770" localSheetId="0" hidden="1">binary</definedName>
    <definedName name="solver_rhs771" localSheetId="0" hidden="1">binary</definedName>
    <definedName name="solver_rhs772" localSheetId="0" hidden="1">binary</definedName>
    <definedName name="solver_rhs773" localSheetId="0" hidden="1">binary</definedName>
    <definedName name="solver_rhs774" localSheetId="0" hidden="1">binary</definedName>
    <definedName name="solver_rhs775" localSheetId="0" hidden="1">binary</definedName>
    <definedName name="solver_rhs776" localSheetId="0" hidden="1">binary</definedName>
    <definedName name="solver_rhs777" localSheetId="0" hidden="1">binary</definedName>
    <definedName name="solver_rhs778" localSheetId="0" hidden="1">binary</definedName>
    <definedName name="solver_rhs779" localSheetId="0" hidden="1">binary</definedName>
    <definedName name="solver_rhs78" localSheetId="0" hidden="1">binary</definedName>
    <definedName name="solver_rhs780" localSheetId="0" hidden="1">binary</definedName>
    <definedName name="solver_rhs781" localSheetId="0" hidden="1">binary</definedName>
    <definedName name="solver_rhs782" localSheetId="0" hidden="1">binary</definedName>
    <definedName name="solver_rhs783" localSheetId="0" hidden="1">binary</definedName>
    <definedName name="solver_rhs784" localSheetId="0" hidden="1">binary</definedName>
    <definedName name="solver_rhs785" localSheetId="0" hidden="1">binary</definedName>
    <definedName name="solver_rhs786" localSheetId="0" hidden="1">binary</definedName>
    <definedName name="solver_rhs787" localSheetId="0" hidden="1">binary</definedName>
    <definedName name="solver_rhs788" localSheetId="0" hidden="1">binary</definedName>
    <definedName name="solver_rhs789" localSheetId="0" hidden="1">binary</definedName>
    <definedName name="solver_rhs79" localSheetId="0" hidden="1">binary</definedName>
    <definedName name="solver_rhs790" localSheetId="0" hidden="1">binary</definedName>
    <definedName name="solver_rhs791" localSheetId="0" hidden="1">binary</definedName>
    <definedName name="solver_rhs792" localSheetId="0" hidden="1">binary</definedName>
    <definedName name="solver_rhs793" localSheetId="0" hidden="1">binary</definedName>
    <definedName name="solver_rhs794" localSheetId="0" hidden="1">binary</definedName>
    <definedName name="solver_rhs795" localSheetId="0" hidden="1">binary</definedName>
    <definedName name="solver_rhs796" localSheetId="0" hidden="1">binary</definedName>
    <definedName name="solver_rhs797" localSheetId="0" hidden="1">binary</definedName>
    <definedName name="solver_rhs798" localSheetId="0" hidden="1">binary</definedName>
    <definedName name="solver_rhs799" localSheetId="0" hidden="1">binary</definedName>
    <definedName name="solver_rhs8" localSheetId="0" hidden="1">binary</definedName>
    <definedName name="solver_rhs80" localSheetId="0" hidden="1">binary</definedName>
    <definedName name="solver_rhs800" localSheetId="0" hidden="1">binary</definedName>
    <definedName name="solver_rhs801" localSheetId="0" hidden="1">binary</definedName>
    <definedName name="solver_rhs802" localSheetId="0" hidden="1">binary</definedName>
    <definedName name="solver_rhs803" localSheetId="0" hidden="1">binary</definedName>
    <definedName name="solver_rhs804" localSheetId="0" hidden="1">binary</definedName>
    <definedName name="solver_rhs805" localSheetId="0" hidden="1">binary</definedName>
    <definedName name="solver_rhs806" localSheetId="0" hidden="1">binary</definedName>
    <definedName name="solver_rhs807" localSheetId="0" hidden="1">binary</definedName>
    <definedName name="solver_rhs808" localSheetId="0" hidden="1">binary</definedName>
    <definedName name="solver_rhs809" localSheetId="0" hidden="1">binary</definedName>
    <definedName name="solver_rhs81" localSheetId="0" hidden="1">binary</definedName>
    <definedName name="solver_rhs810" localSheetId="0" hidden="1">binary</definedName>
    <definedName name="solver_rhs811" localSheetId="0" hidden="1">binary</definedName>
    <definedName name="solver_rhs812" localSheetId="0" hidden="1">binary</definedName>
    <definedName name="solver_rhs813" localSheetId="0" hidden="1">binary</definedName>
    <definedName name="solver_rhs814" localSheetId="0" hidden="1">binary</definedName>
    <definedName name="solver_rhs815" localSheetId="0" hidden="1">binary</definedName>
    <definedName name="solver_rhs816" localSheetId="0" hidden="1">binary</definedName>
    <definedName name="solver_rhs817" localSheetId="0" hidden="1">binary</definedName>
    <definedName name="solver_rhs818" localSheetId="0" hidden="1">binary</definedName>
    <definedName name="solver_rhs819" localSheetId="0" hidden="1">binary</definedName>
    <definedName name="solver_rhs82" localSheetId="0" hidden="1">binary</definedName>
    <definedName name="solver_rhs820" localSheetId="0" hidden="1">binary</definedName>
    <definedName name="solver_rhs821" localSheetId="0" hidden="1">binary</definedName>
    <definedName name="solver_rhs822" localSheetId="0" hidden="1">binary</definedName>
    <definedName name="solver_rhs823" localSheetId="0" hidden="1">binary</definedName>
    <definedName name="solver_rhs824" localSheetId="0" hidden="1">binary</definedName>
    <definedName name="solver_rhs825" localSheetId="0" hidden="1">binary</definedName>
    <definedName name="solver_rhs826" localSheetId="0" hidden="1">binary</definedName>
    <definedName name="solver_rhs827" localSheetId="0" hidden="1">binary</definedName>
    <definedName name="solver_rhs828" localSheetId="0" hidden="1">binary</definedName>
    <definedName name="solver_rhs829" localSheetId="0" hidden="1">binary</definedName>
    <definedName name="solver_rhs83" localSheetId="0" hidden="1">binary</definedName>
    <definedName name="solver_rhs830" localSheetId="0" hidden="1">binary</definedName>
    <definedName name="solver_rhs831" localSheetId="0" hidden="1">binary</definedName>
    <definedName name="solver_rhs832" localSheetId="0" hidden="1">binary</definedName>
    <definedName name="solver_rhs833" localSheetId="0" hidden="1">binary</definedName>
    <definedName name="solver_rhs834" localSheetId="0" hidden="1">binary</definedName>
    <definedName name="solver_rhs835" localSheetId="0" hidden="1">binary</definedName>
    <definedName name="solver_rhs836" localSheetId="0" hidden="1">binary</definedName>
    <definedName name="solver_rhs837" localSheetId="0" hidden="1">binary</definedName>
    <definedName name="solver_rhs838" localSheetId="0" hidden="1">binary</definedName>
    <definedName name="solver_rhs839" localSheetId="0" hidden="1">binary</definedName>
    <definedName name="solver_rhs84" localSheetId="0" hidden="1">binary</definedName>
    <definedName name="solver_rhs840" localSheetId="0" hidden="1">binary</definedName>
    <definedName name="solver_rhs841" localSheetId="0" hidden="1">binary</definedName>
    <definedName name="solver_rhs842" localSheetId="0" hidden="1">binary</definedName>
    <definedName name="solver_rhs843" localSheetId="0" hidden="1">binary</definedName>
    <definedName name="solver_rhs844" localSheetId="0" hidden="1">binary</definedName>
    <definedName name="solver_rhs845" localSheetId="0" hidden="1">binary</definedName>
    <definedName name="solver_rhs846" localSheetId="0" hidden="1">binary</definedName>
    <definedName name="solver_rhs847" localSheetId="0" hidden="1">binary</definedName>
    <definedName name="solver_rhs848" localSheetId="0" hidden="1">binary</definedName>
    <definedName name="solver_rhs849" localSheetId="0" hidden="1">binary</definedName>
    <definedName name="solver_rhs85" localSheetId="0" hidden="1">binary</definedName>
    <definedName name="solver_rhs850" localSheetId="0" hidden="1">binary</definedName>
    <definedName name="solver_rhs851" localSheetId="0" hidden="1">binary</definedName>
    <definedName name="solver_rhs852" localSheetId="0" hidden="1">binary</definedName>
    <definedName name="solver_rhs853" localSheetId="0" hidden="1">binary</definedName>
    <definedName name="solver_rhs854" localSheetId="0" hidden="1">binary</definedName>
    <definedName name="solver_rhs855" localSheetId="0" hidden="1">binary</definedName>
    <definedName name="solver_rhs856" localSheetId="0" hidden="1">binary</definedName>
    <definedName name="solver_rhs857" localSheetId="0" hidden="1">binary</definedName>
    <definedName name="solver_rhs858" localSheetId="0" hidden="1">binary</definedName>
    <definedName name="solver_rhs859" localSheetId="0" hidden="1">binary</definedName>
    <definedName name="solver_rhs86" localSheetId="0" hidden="1">binary</definedName>
    <definedName name="solver_rhs860" localSheetId="0" hidden="1">binary</definedName>
    <definedName name="solver_rhs861" localSheetId="0" hidden="1">binary</definedName>
    <definedName name="solver_rhs862" localSheetId="0" hidden="1">binary</definedName>
    <definedName name="solver_rhs863" localSheetId="0" hidden="1">binary</definedName>
    <definedName name="solver_rhs864" localSheetId="0" hidden="1">binary</definedName>
    <definedName name="solver_rhs865" localSheetId="0" hidden="1">binary</definedName>
    <definedName name="solver_rhs866" localSheetId="0" hidden="1">binary</definedName>
    <definedName name="solver_rhs867" localSheetId="0" hidden="1">binary</definedName>
    <definedName name="solver_rhs868" localSheetId="0" hidden="1">binary</definedName>
    <definedName name="solver_rhs869" localSheetId="0" hidden="1">binary</definedName>
    <definedName name="solver_rhs87" localSheetId="0" hidden="1">binary</definedName>
    <definedName name="solver_rhs870" localSheetId="0" hidden="1">binary</definedName>
    <definedName name="solver_rhs871" localSheetId="0" hidden="1">binary</definedName>
    <definedName name="solver_rhs872" localSheetId="0" hidden="1">binary</definedName>
    <definedName name="solver_rhs873" localSheetId="0" hidden="1">binary</definedName>
    <definedName name="solver_rhs874" localSheetId="0" hidden="1">binary</definedName>
    <definedName name="solver_rhs875" localSheetId="0" hidden="1">binary</definedName>
    <definedName name="solver_rhs876" localSheetId="0" hidden="1">binary</definedName>
    <definedName name="solver_rhs877" localSheetId="0" hidden="1">binary</definedName>
    <definedName name="solver_rhs878" localSheetId="0" hidden="1">binary</definedName>
    <definedName name="solver_rhs879" localSheetId="0" hidden="1">binary</definedName>
    <definedName name="solver_rhs88" localSheetId="0" hidden="1">binary</definedName>
    <definedName name="solver_rhs880" localSheetId="0" hidden="1">binary</definedName>
    <definedName name="solver_rhs881" localSheetId="0" hidden="1">binary</definedName>
    <definedName name="solver_rhs882" localSheetId="0" hidden="1">binary</definedName>
    <definedName name="solver_rhs883" localSheetId="0" hidden="1">binary</definedName>
    <definedName name="solver_rhs884" localSheetId="0" hidden="1">binary</definedName>
    <definedName name="solver_rhs885" localSheetId="0" hidden="1">binary</definedName>
    <definedName name="solver_rhs886" localSheetId="0" hidden="1">binary</definedName>
    <definedName name="solver_rhs887" localSheetId="0" hidden="1">binary</definedName>
    <definedName name="solver_rhs888" localSheetId="0" hidden="1">binary</definedName>
    <definedName name="solver_rhs889" localSheetId="0" hidden="1">binary</definedName>
    <definedName name="solver_rhs89" localSheetId="0" hidden="1">binary</definedName>
    <definedName name="solver_rhs890" localSheetId="0" hidden="1">binary</definedName>
    <definedName name="solver_rhs891" localSheetId="0" hidden="1">binary</definedName>
    <definedName name="solver_rhs892" localSheetId="0" hidden="1">binary</definedName>
    <definedName name="solver_rhs893" localSheetId="0" hidden="1">binary</definedName>
    <definedName name="solver_rhs894" localSheetId="0" hidden="1">binary</definedName>
    <definedName name="solver_rhs895" localSheetId="0" hidden="1">binary</definedName>
    <definedName name="solver_rhs896" localSheetId="0" hidden="1">binary</definedName>
    <definedName name="solver_rhs897" localSheetId="0" hidden="1">binary</definedName>
    <definedName name="solver_rhs898" localSheetId="0" hidden="1">binary</definedName>
    <definedName name="solver_rhs899" localSheetId="0" hidden="1">binary</definedName>
    <definedName name="solver_rhs9" localSheetId="0" hidden="1">binary</definedName>
    <definedName name="solver_rhs90" localSheetId="0" hidden="1">binary</definedName>
    <definedName name="solver_rhs900" localSheetId="0" hidden="1">binary</definedName>
    <definedName name="solver_rhs901" localSheetId="0" hidden="1">binary</definedName>
    <definedName name="solver_rhs902" localSheetId="0" hidden="1">binary</definedName>
    <definedName name="solver_rhs903" localSheetId="0" hidden="1">binary</definedName>
    <definedName name="solver_rhs904" localSheetId="0" hidden="1">binary</definedName>
    <definedName name="solver_rhs905" localSheetId="0" hidden="1">binary</definedName>
    <definedName name="solver_rhs906" localSheetId="0" hidden="1">binary</definedName>
    <definedName name="solver_rhs907" localSheetId="0" hidden="1">binary</definedName>
    <definedName name="solver_rhs908" localSheetId="0" hidden="1">binary</definedName>
    <definedName name="solver_rhs909" localSheetId="0" hidden="1">binary</definedName>
    <definedName name="solver_rhs91" localSheetId="0" hidden="1">binary</definedName>
    <definedName name="solver_rhs910" localSheetId="0" hidden="1">binary</definedName>
    <definedName name="solver_rhs911" localSheetId="0" hidden="1">binary</definedName>
    <definedName name="solver_rhs912" localSheetId="0" hidden="1">binary</definedName>
    <definedName name="solver_rhs913" localSheetId="0" hidden="1">binary</definedName>
    <definedName name="solver_rhs914" localSheetId="0" hidden="1">binary</definedName>
    <definedName name="solver_rhs915" localSheetId="0" hidden="1">binary</definedName>
    <definedName name="solver_rhs916" localSheetId="0" hidden="1">binary</definedName>
    <definedName name="solver_rhs917" localSheetId="0" hidden="1">binary</definedName>
    <definedName name="solver_rhs918" localSheetId="0" hidden="1">binary</definedName>
    <definedName name="solver_rhs919" localSheetId="0" hidden="1">binary</definedName>
    <definedName name="solver_rhs92" localSheetId="0" hidden="1">binary</definedName>
    <definedName name="solver_rhs920" localSheetId="0" hidden="1">binary</definedName>
    <definedName name="solver_rhs921" localSheetId="0" hidden="1">binary</definedName>
    <definedName name="solver_rhs922" localSheetId="0" hidden="1">binary</definedName>
    <definedName name="solver_rhs923" localSheetId="0" hidden="1">binary</definedName>
    <definedName name="solver_rhs924" localSheetId="0" hidden="1">binary</definedName>
    <definedName name="solver_rhs925" localSheetId="0" hidden="1">binary</definedName>
    <definedName name="solver_rhs926" localSheetId="0" hidden="1">binary</definedName>
    <definedName name="solver_rhs927" localSheetId="0" hidden="1">binary</definedName>
    <definedName name="solver_rhs928" localSheetId="0" hidden="1">binary</definedName>
    <definedName name="solver_rhs929" localSheetId="0" hidden="1">binary</definedName>
    <definedName name="solver_rhs93" localSheetId="0" hidden="1">binary</definedName>
    <definedName name="solver_rhs930" localSheetId="0" hidden="1">binary</definedName>
    <definedName name="solver_rhs931" localSheetId="0" hidden="1">binary</definedName>
    <definedName name="solver_rhs932" localSheetId="0" hidden="1">binary</definedName>
    <definedName name="solver_rhs933" localSheetId="0" hidden="1">binary</definedName>
    <definedName name="solver_rhs934" localSheetId="0" hidden="1">binary</definedName>
    <definedName name="solver_rhs935" localSheetId="0" hidden="1">binary</definedName>
    <definedName name="solver_rhs936" localSheetId="0" hidden="1">binary</definedName>
    <definedName name="solver_rhs937" localSheetId="0" hidden="1">binary</definedName>
    <definedName name="solver_rhs938" localSheetId="0" hidden="1">binary</definedName>
    <definedName name="solver_rhs939" localSheetId="0" hidden="1">binary</definedName>
    <definedName name="solver_rhs94" localSheetId="0" hidden="1">binary</definedName>
    <definedName name="solver_rhs940" localSheetId="0" hidden="1">binary</definedName>
    <definedName name="solver_rhs941" localSheetId="0" hidden="1">binary</definedName>
    <definedName name="solver_rhs942" localSheetId="0" hidden="1">binary</definedName>
    <definedName name="solver_rhs943" localSheetId="0" hidden="1">binary</definedName>
    <definedName name="solver_rhs944" localSheetId="0" hidden="1">binary</definedName>
    <definedName name="solver_rhs945" localSheetId="0" hidden="1">binary</definedName>
    <definedName name="solver_rhs946" localSheetId="0" hidden="1">binary</definedName>
    <definedName name="solver_rhs947" localSheetId="0" hidden="1">binary</definedName>
    <definedName name="solver_rhs948" localSheetId="0" hidden="1">binary</definedName>
    <definedName name="solver_rhs949" localSheetId="0" hidden="1">binary</definedName>
    <definedName name="solver_rhs95" localSheetId="0" hidden="1">binary</definedName>
    <definedName name="solver_rhs950" localSheetId="0" hidden="1">binary</definedName>
    <definedName name="solver_rhs951" localSheetId="0" hidden="1">binary</definedName>
    <definedName name="solver_rhs952" localSheetId="0" hidden="1">binary</definedName>
    <definedName name="solver_rhs953" localSheetId="0" hidden="1">binary</definedName>
    <definedName name="solver_rhs954" localSheetId="0" hidden="1">binary</definedName>
    <definedName name="solver_rhs955" localSheetId="0" hidden="1">binary</definedName>
    <definedName name="solver_rhs956" localSheetId="0" hidden="1">binary</definedName>
    <definedName name="solver_rhs957" localSheetId="0" hidden="1">binary</definedName>
    <definedName name="solver_rhs958" localSheetId="0" hidden="1">binary</definedName>
    <definedName name="solver_rhs959" localSheetId="0" hidden="1">binary</definedName>
    <definedName name="solver_rhs96" localSheetId="0" hidden="1">binary</definedName>
    <definedName name="solver_rhs960" localSheetId="0" hidden="1">binary</definedName>
    <definedName name="solver_rhs961" localSheetId="0" hidden="1">binary</definedName>
    <definedName name="solver_rhs962" localSheetId="0" hidden="1">binary</definedName>
    <definedName name="solver_rhs963" localSheetId="0" hidden="1">binary</definedName>
    <definedName name="solver_rhs964" localSheetId="0" hidden="1">binary</definedName>
    <definedName name="solver_rhs965" localSheetId="0" hidden="1">binary</definedName>
    <definedName name="solver_rhs966" localSheetId="0" hidden="1">binary</definedName>
    <definedName name="solver_rhs967" localSheetId="0" hidden="1">binary</definedName>
    <definedName name="solver_rhs968" localSheetId="0" hidden="1">binary</definedName>
    <definedName name="solver_rhs969" localSheetId="0" hidden="1">binary</definedName>
    <definedName name="solver_rhs97" localSheetId="0" hidden="1">binary</definedName>
    <definedName name="solver_rhs970" localSheetId="0" hidden="1">binary</definedName>
    <definedName name="solver_rhs971" localSheetId="0" hidden="1">binary</definedName>
    <definedName name="solver_rhs972" localSheetId="0" hidden="1">binary</definedName>
    <definedName name="solver_rhs973" localSheetId="0" hidden="1">binary</definedName>
    <definedName name="solver_rhs974" localSheetId="0" hidden="1">binary</definedName>
    <definedName name="solver_rhs975" localSheetId="0" hidden="1">binary</definedName>
    <definedName name="solver_rhs976" localSheetId="0" hidden="1">binary</definedName>
    <definedName name="solver_rhs977" localSheetId="0" hidden="1">binary</definedName>
    <definedName name="solver_rhs978" localSheetId="0" hidden="1">binary</definedName>
    <definedName name="solver_rhs979" localSheetId="0" hidden="1">binary</definedName>
    <definedName name="solver_rhs98" localSheetId="0" hidden="1">binary</definedName>
    <definedName name="solver_rhs980" localSheetId="0" hidden="1">binary</definedName>
    <definedName name="solver_rhs981" localSheetId="0" hidden="1">binary</definedName>
    <definedName name="solver_rhs982" localSheetId="0" hidden="1">binary</definedName>
    <definedName name="solver_rhs983" localSheetId="0" hidden="1">binary</definedName>
    <definedName name="solver_rhs984" localSheetId="0" hidden="1">binary</definedName>
    <definedName name="solver_rhs985" localSheetId="0" hidden="1">binary</definedName>
    <definedName name="solver_rhs986" localSheetId="0" hidden="1">binary</definedName>
    <definedName name="solver_rhs987" localSheetId="0" hidden="1">binary</definedName>
    <definedName name="solver_rhs988" localSheetId="0" hidden="1">binary</definedName>
    <definedName name="solver_rhs989" localSheetId="0" hidden="1">binary</definedName>
    <definedName name="solver_rhs99" localSheetId="0" hidden="1">binary</definedName>
    <definedName name="solver_rhs990" localSheetId="0" hidden="1">binary</definedName>
    <definedName name="solver_rhs991" localSheetId="0" hidden="1">binary</definedName>
    <definedName name="solver_rhs992" localSheetId="0" hidden="1">binary</definedName>
    <definedName name="solver_rhs993" localSheetId="0" hidden="1">binary</definedName>
    <definedName name="solver_rhs994" localSheetId="0" hidden="1">binary</definedName>
    <definedName name="solver_rhs995" localSheetId="0" hidden="1">binary</definedName>
    <definedName name="solver_rhs996" localSheetId="0" hidden="1">binary</definedName>
    <definedName name="solver_rhs997" localSheetId="0" hidden="1">binary</definedName>
    <definedName name="solver_rhs998" localSheetId="0" hidden="1">binary</definedName>
    <definedName name="solver_rhs999" localSheetId="0" hidden="1">binary</definedName>
    <definedName name="solver_rlx" localSheetId="0" hidden="1">0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2</definedName>
    <definedName name="solver_val" localSheetId="0" hidden="1">0</definedName>
    <definedName name="Upper_bounds" localSheetId="0" hidden="1">monday_model.lp!$C$1781:$EDE$1781</definedName>
    <definedName name="Variable_lease_Mon_00001" localSheetId="0" hidden="1">monday_model.lp!$C$2</definedName>
    <definedName name="Variable_lease_Mon_00001_Type" localSheetId="0" hidden="1">monday_model.lp!$C$1782</definedName>
    <definedName name="Variable_lease_Mon_00002" localSheetId="0" hidden="1">monday_model.lp!$D$2</definedName>
    <definedName name="Variable_lease_Mon_00002_Type" localSheetId="0" hidden="1">monday_model.lp!$D$1782</definedName>
    <definedName name="Variable_lease_Mon_00003" localSheetId="0" hidden="1">monday_model.lp!$E$2</definedName>
    <definedName name="Variable_lease_Mon_00003_Type" localSheetId="0" hidden="1">monday_model.lp!$E$1782</definedName>
    <definedName name="Variable_lease_Mon_00004" localSheetId="0" hidden="1">monday_model.lp!$F$2</definedName>
    <definedName name="Variable_lease_Mon_00004_Type" localSheetId="0" hidden="1">monday_model.lp!$F$1782</definedName>
    <definedName name="Variable_lease_Mon_00005" localSheetId="0" hidden="1">monday_model.lp!$G$2</definedName>
    <definedName name="Variable_lease_Mon_00005_Type" localSheetId="0" hidden="1">monday_model.lp!$G$1782</definedName>
    <definedName name="Variable_lease_Mon_00006" localSheetId="0" hidden="1">monday_model.lp!$H$2</definedName>
    <definedName name="Variable_lease_Mon_00006_Type" localSheetId="0" hidden="1">monday_model.lp!$H$1782</definedName>
    <definedName name="Variable_lease_Mon_00007" localSheetId="0" hidden="1">monday_model.lp!$I$2</definedName>
    <definedName name="Variable_lease_Mon_00007_Type" localSheetId="0" hidden="1">monday_model.lp!$I$1782</definedName>
    <definedName name="Variable_lease_Mon_00008" localSheetId="0" hidden="1">monday_model.lp!$J$2</definedName>
    <definedName name="Variable_lease_Mon_00008_Type" localSheetId="0" hidden="1">monday_model.lp!$J$1782</definedName>
    <definedName name="Variable_lease_Mon_00009" localSheetId="0" hidden="1">monday_model.lp!$K$2</definedName>
    <definedName name="Variable_lease_Mon_00009_Type" localSheetId="0" hidden="1">monday_model.lp!$K$1782</definedName>
    <definedName name="Variable_lease_Mon_00010" localSheetId="0" hidden="1">monday_model.lp!$L$2</definedName>
    <definedName name="Variable_lease_Mon_00010_Type" localSheetId="0" hidden="1">monday_model.lp!$L$1782</definedName>
    <definedName name="Variable_lease_Mon_00011" localSheetId="0" hidden="1">monday_model.lp!$M$2</definedName>
    <definedName name="Variable_lease_Mon_00011_Type" localSheetId="0" hidden="1">monday_model.lp!$M$1782</definedName>
    <definedName name="Variable_lease_Mon_00012" localSheetId="0" hidden="1">monday_model.lp!$N$2</definedName>
    <definedName name="Variable_lease_Mon_00012_Type" localSheetId="0" hidden="1">monday_model.lp!$N$1782</definedName>
    <definedName name="Variable_lease_Mon_00013" localSheetId="0" hidden="1">monday_model.lp!$O$2</definedName>
    <definedName name="Variable_lease_Mon_00013_Type" localSheetId="0" hidden="1">monday_model.lp!$O$1782</definedName>
    <definedName name="Variable_lease_Mon_00014" localSheetId="0" hidden="1">monday_model.lp!$P$2</definedName>
    <definedName name="Variable_lease_Mon_00014_Type" localSheetId="0" hidden="1">monday_model.lp!$P$1782</definedName>
    <definedName name="Variable_lease_Mon_00015" localSheetId="0" hidden="1">monday_model.lp!$Q$2</definedName>
    <definedName name="Variable_lease_Mon_00015_Type" localSheetId="0" hidden="1">monday_model.lp!$Q$1782</definedName>
    <definedName name="Variable_lease_Mon_00016" localSheetId="0" hidden="1">monday_model.lp!$R$2</definedName>
    <definedName name="Variable_lease_Mon_00016_Type" localSheetId="0" hidden="1">monday_model.lp!$R$1782</definedName>
    <definedName name="Variable_lease_Mon_00017" localSheetId="0" hidden="1">monday_model.lp!$S$2</definedName>
    <definedName name="Variable_lease_Mon_00017_Type" localSheetId="0" hidden="1">monday_model.lp!$S$1782</definedName>
    <definedName name="Variable_lease_Mon_00018" localSheetId="0" hidden="1">monday_model.lp!$T$2</definedName>
    <definedName name="Variable_lease_Mon_00018_Type" localSheetId="0" hidden="1">monday_model.lp!$T$1782</definedName>
    <definedName name="Variable_lease_Mon_00019" localSheetId="0" hidden="1">monday_model.lp!$U$2</definedName>
    <definedName name="Variable_lease_Mon_00019_Type" localSheetId="0" hidden="1">monday_model.lp!$U$1782</definedName>
    <definedName name="Variable_lease_Mon_00020" localSheetId="0" hidden="1">monday_model.lp!$V$2</definedName>
    <definedName name="Variable_lease_Mon_00020_Type" localSheetId="0" hidden="1">monday_model.lp!$V$1782</definedName>
    <definedName name="Variable_lease_Mon_00021" localSheetId="0" hidden="1">monday_model.lp!$W$2</definedName>
    <definedName name="Variable_lease_Mon_00021_Type" localSheetId="0" hidden="1">monday_model.lp!$W$1782</definedName>
    <definedName name="Variable_lease_Mon_00022" localSheetId="0" hidden="1">monday_model.lp!$X$2</definedName>
    <definedName name="Variable_lease_Mon_00022_Type" localSheetId="0" hidden="1">monday_model.lp!$X$1782</definedName>
    <definedName name="Variable_lease_Mon_00023" localSheetId="0" hidden="1">monday_model.lp!$Y$2</definedName>
    <definedName name="Variable_lease_Mon_00023_Type" localSheetId="0" hidden="1">monday_model.lp!$Y$1782</definedName>
    <definedName name="Variable_lease_Mon_00024" localSheetId="0" hidden="1">monday_model.lp!$Z$2</definedName>
    <definedName name="Variable_lease_Mon_00024_Type" localSheetId="0" hidden="1">monday_model.lp!$Z$1782</definedName>
    <definedName name="Variable_lease_Mon_00025" localSheetId="0" hidden="1">monday_model.lp!$AA$2</definedName>
    <definedName name="Variable_lease_Mon_00025_Type" localSheetId="0" hidden="1">monday_model.lp!$AA$1782</definedName>
    <definedName name="Variable_lease_Mon_00026" localSheetId="0" hidden="1">monday_model.lp!$AB$2</definedName>
    <definedName name="Variable_lease_Mon_00026_Type" localSheetId="0" hidden="1">monday_model.lp!$AB$1782</definedName>
    <definedName name="Variable_lease_Mon_00027" localSheetId="0" hidden="1">monday_model.lp!$AC$2</definedName>
    <definedName name="Variable_lease_Mon_00027_Type" localSheetId="0" hidden="1">monday_model.lp!$AC$1782</definedName>
    <definedName name="Variable_lease_Mon_00028" localSheetId="0" hidden="1">monday_model.lp!$AD$2</definedName>
    <definedName name="Variable_lease_Mon_00028_Type" localSheetId="0" hidden="1">monday_model.lp!$AD$1782</definedName>
    <definedName name="Variable_lease_Mon_00029" localSheetId="0" hidden="1">monday_model.lp!$AE$2</definedName>
    <definedName name="Variable_lease_Mon_00029_Type" localSheetId="0" hidden="1">monday_model.lp!$AE$1782</definedName>
    <definedName name="Variable_lease_Mon_00030" localSheetId="0" hidden="1">monday_model.lp!$AF$2</definedName>
    <definedName name="Variable_lease_Mon_00030_Type" localSheetId="0" hidden="1">monday_model.lp!$AF$1782</definedName>
    <definedName name="Variable_lease_Mon_00031" localSheetId="0" hidden="1">monday_model.lp!$AG$2</definedName>
    <definedName name="Variable_lease_Mon_00031_Type" localSheetId="0" hidden="1">monday_model.lp!$AG$1782</definedName>
    <definedName name="Variable_lease_Mon_00032" localSheetId="0" hidden="1">monday_model.lp!$AH$2</definedName>
    <definedName name="Variable_lease_Mon_00032_Type" localSheetId="0" hidden="1">monday_model.lp!$AH$1782</definedName>
    <definedName name="Variable_lease_Mon_00033" localSheetId="0" hidden="1">monday_model.lp!$AI$2</definedName>
    <definedName name="Variable_lease_Mon_00033_Type" localSheetId="0" hidden="1">monday_model.lp!$AI$1782</definedName>
    <definedName name="Variable_lease_Mon_00034" localSheetId="0" hidden="1">monday_model.lp!$AJ$2</definedName>
    <definedName name="Variable_lease_Mon_00034_Type" localSheetId="0" hidden="1">monday_model.lp!$AJ$1782</definedName>
    <definedName name="Variable_lease_Mon_00035" localSheetId="0" hidden="1">monday_model.lp!$AK$2</definedName>
    <definedName name="Variable_lease_Mon_00035_Type" localSheetId="0" hidden="1">monday_model.lp!$AK$1782</definedName>
    <definedName name="Variable_lease_Mon_00036" localSheetId="0" hidden="1">monday_model.lp!$AL$2</definedName>
    <definedName name="Variable_lease_Mon_00036_Type" localSheetId="0" hidden="1">monday_model.lp!$AL$1782</definedName>
    <definedName name="Variable_lease_Mon_00037" localSheetId="0" hidden="1">monday_model.lp!$AM$2</definedName>
    <definedName name="Variable_lease_Mon_00037_Type" localSheetId="0" hidden="1">monday_model.lp!$AM$1782</definedName>
    <definedName name="Variable_lease_Mon_00038" localSheetId="0" hidden="1">monday_model.lp!$AN$2</definedName>
    <definedName name="Variable_lease_Mon_00038_Type" localSheetId="0" hidden="1">monday_model.lp!$AN$1782</definedName>
    <definedName name="Variable_lease_Mon_00039" localSheetId="0" hidden="1">monday_model.lp!$AO$2</definedName>
    <definedName name="Variable_lease_Mon_00039_Type" localSheetId="0" hidden="1">monday_model.lp!$AO$1782</definedName>
    <definedName name="Variable_lease_Mon_00040" localSheetId="0" hidden="1">monday_model.lp!$AP$2</definedName>
    <definedName name="Variable_lease_Mon_00040_Type" localSheetId="0" hidden="1">monday_model.lp!$AP$1782</definedName>
    <definedName name="Variable_lease_Mon_00041" localSheetId="0" hidden="1">monday_model.lp!$AQ$2</definedName>
    <definedName name="Variable_lease_Mon_00041_Type" localSheetId="0" hidden="1">monday_model.lp!$AQ$1782</definedName>
    <definedName name="Variable_lease_Mon_00042" localSheetId="0" hidden="1">monday_model.lp!$AR$2</definedName>
    <definedName name="Variable_lease_Mon_00042_Type" localSheetId="0" hidden="1">monday_model.lp!$AR$1782</definedName>
    <definedName name="Variable_lease_Mon_00043" localSheetId="0" hidden="1">monday_model.lp!$AS$2</definedName>
    <definedName name="Variable_lease_Mon_00043_Type" localSheetId="0" hidden="1">monday_model.lp!$AS$1782</definedName>
    <definedName name="Variable_lease_Mon_00044" localSheetId="0" hidden="1">monday_model.lp!$AT$2</definedName>
    <definedName name="Variable_lease_Mon_00044_Type" localSheetId="0" hidden="1">monday_model.lp!$AT$1782</definedName>
    <definedName name="Variable_lease_Mon_00045" localSheetId="0" hidden="1">monday_model.lp!$AU$2</definedName>
    <definedName name="Variable_lease_Mon_00045_Type" localSheetId="0" hidden="1">monday_model.lp!$AU$1782</definedName>
    <definedName name="Variable_lease_Mon_00046" localSheetId="0" hidden="1">monday_model.lp!$AV$2</definedName>
    <definedName name="Variable_lease_Mon_00046_Type" localSheetId="0" hidden="1">monday_model.lp!$AV$1782</definedName>
    <definedName name="Variable_lease_Mon_00047" localSheetId="0" hidden="1">monday_model.lp!$AW$2</definedName>
    <definedName name="Variable_lease_Mon_00047_Type" localSheetId="0" hidden="1">monday_model.lp!$AW$1782</definedName>
    <definedName name="Variable_lease_Mon_00048" localSheetId="0" hidden="1">monday_model.lp!$AX$2</definedName>
    <definedName name="Variable_lease_Mon_00048_Type" localSheetId="0" hidden="1">monday_model.lp!$AX$1782</definedName>
    <definedName name="Variable_lease_Mon_00049" localSheetId="0" hidden="1">monday_model.lp!$AY$2</definedName>
    <definedName name="Variable_lease_Mon_00049_Type" localSheetId="0" hidden="1">monday_model.lp!$AY$1782</definedName>
    <definedName name="Variable_lease_Mon_00050" localSheetId="0" hidden="1">monday_model.lp!$AZ$2</definedName>
    <definedName name="Variable_lease_Mon_00050_Type" localSheetId="0" hidden="1">monday_model.lp!$AZ$1782</definedName>
    <definedName name="Variable_lease_Mon_00051" localSheetId="0" hidden="1">monday_model.lp!$BA$2</definedName>
    <definedName name="Variable_lease_Mon_00051_Type" localSheetId="0" hidden="1">monday_model.lp!$BA$1782</definedName>
    <definedName name="Variable_lease_Mon_00052" localSheetId="0" hidden="1">monday_model.lp!$BB$2</definedName>
    <definedName name="Variable_lease_Mon_00052_Type" localSheetId="0" hidden="1">monday_model.lp!$BB$1782</definedName>
    <definedName name="Variable_lease_Mon_00053" localSheetId="0" hidden="1">monday_model.lp!$BC$2</definedName>
    <definedName name="Variable_lease_Mon_00053_Type" localSheetId="0" hidden="1">monday_model.lp!$BC$1782</definedName>
    <definedName name="Variable_lease_Mon_00054" localSheetId="0" hidden="1">monday_model.lp!$BD$2</definedName>
    <definedName name="Variable_lease_Mon_00054_Type" localSheetId="0" hidden="1">monday_model.lp!$BD$1782</definedName>
    <definedName name="Variable_lease_Mon_00055" localSheetId="0" hidden="1">monday_model.lp!$BE$2</definedName>
    <definedName name="Variable_lease_Mon_00055_Type" localSheetId="0" hidden="1">monday_model.lp!$BE$1782</definedName>
    <definedName name="Variable_lease_Mon_00056" localSheetId="0" hidden="1">monday_model.lp!$BF$2</definedName>
    <definedName name="Variable_lease_Mon_00056_Type" localSheetId="0" hidden="1">monday_model.lp!$BF$1782</definedName>
    <definedName name="Variable_lease_Mon_00057" localSheetId="0" hidden="1">monday_model.lp!$BG$2</definedName>
    <definedName name="Variable_lease_Mon_00057_Type" localSheetId="0" hidden="1">monday_model.lp!$BG$1782</definedName>
    <definedName name="Variable_lease_Mon_00058" localSheetId="0" hidden="1">monday_model.lp!$BH$2</definedName>
    <definedName name="Variable_lease_Mon_00058_Type" localSheetId="0" hidden="1">monday_model.lp!$BH$1782</definedName>
    <definedName name="Variable_lease_Mon_00059" localSheetId="0" hidden="1">monday_model.lp!$BI$2</definedName>
    <definedName name="Variable_lease_Mon_00059_Type" localSheetId="0" hidden="1">monday_model.lp!$BI$1782</definedName>
    <definedName name="Variable_lease_Mon_00060" localSheetId="0" hidden="1">monday_model.lp!$BJ$2</definedName>
    <definedName name="Variable_lease_Mon_00060_Type" localSheetId="0" hidden="1">monday_model.lp!$BJ$1782</definedName>
    <definedName name="Variable_lease_Mon_00061" localSheetId="0" hidden="1">monday_model.lp!$BK$2</definedName>
    <definedName name="Variable_lease_Mon_00061_Type" localSheetId="0" hidden="1">monday_model.lp!$BK$1782</definedName>
    <definedName name="Variable_lease_Mon_00062" localSheetId="0" hidden="1">monday_model.lp!$BL$2</definedName>
    <definedName name="Variable_lease_Mon_00062_Type" localSheetId="0" hidden="1">monday_model.lp!$BL$1782</definedName>
    <definedName name="Variable_lease_Mon_00063" localSheetId="0" hidden="1">monday_model.lp!$BM$2</definedName>
    <definedName name="Variable_lease_Mon_00063_Type" localSheetId="0" hidden="1">monday_model.lp!$BM$1782</definedName>
    <definedName name="Variable_lease_Mon_00064" localSheetId="0" hidden="1">monday_model.lp!$BN$2</definedName>
    <definedName name="Variable_lease_Mon_00064_Type" localSheetId="0" hidden="1">monday_model.lp!$BN$1782</definedName>
    <definedName name="Variable_lease_Mon_00065" localSheetId="0" hidden="1">monday_model.lp!$BO$2</definedName>
    <definedName name="Variable_lease_Mon_00065_Type" localSheetId="0" hidden="1">monday_model.lp!$BO$1782</definedName>
    <definedName name="Variable_lease_Mon_00066" localSheetId="0" hidden="1">monday_model.lp!$BP$2</definedName>
    <definedName name="Variable_lease_Mon_00066_Type" localSheetId="0" hidden="1">monday_model.lp!$BP$1782</definedName>
    <definedName name="Variable_lease_Mon_00067" localSheetId="0" hidden="1">monday_model.lp!$BQ$2</definedName>
    <definedName name="Variable_lease_Mon_00067_Type" localSheetId="0" hidden="1">monday_model.lp!$BQ$1782</definedName>
    <definedName name="Variable_lease_Mon_00068" localSheetId="0" hidden="1">monday_model.lp!$BR$2</definedName>
    <definedName name="Variable_lease_Mon_00068_Type" localSheetId="0" hidden="1">monday_model.lp!$BR$1782</definedName>
    <definedName name="Variable_lease_Mon_00069" localSheetId="0" hidden="1">monday_model.lp!$BS$2</definedName>
    <definedName name="Variable_lease_Mon_00069_Type" localSheetId="0" hidden="1">monday_model.lp!$BS$1782</definedName>
    <definedName name="Variable_lease_Mon_00070" localSheetId="0" hidden="1">monday_model.lp!$BT$2</definedName>
    <definedName name="Variable_lease_Mon_00070_Type" localSheetId="0" hidden="1">monday_model.lp!$BT$1782</definedName>
    <definedName name="Variable_lease_Mon_00071" localSheetId="0" hidden="1">monday_model.lp!$BU$2</definedName>
    <definedName name="Variable_lease_Mon_00071_Type" localSheetId="0" hidden="1">monday_model.lp!$BU$1782</definedName>
    <definedName name="Variable_lease_Mon_00072" localSheetId="0" hidden="1">monday_model.lp!$BV$2</definedName>
    <definedName name="Variable_lease_Mon_00072_Type" localSheetId="0" hidden="1">monday_model.lp!$BV$1782</definedName>
    <definedName name="Variable_lease_Mon_00073" localSheetId="0" hidden="1">monday_model.lp!$BW$2</definedName>
    <definedName name="Variable_lease_Mon_00073_Type" localSheetId="0" hidden="1">monday_model.lp!$BW$1782</definedName>
    <definedName name="Variable_lease_Mon_00074" localSheetId="0" hidden="1">monday_model.lp!$BX$2</definedName>
    <definedName name="Variable_lease_Mon_00074_Type" localSheetId="0" hidden="1">monday_model.lp!$BX$1782</definedName>
    <definedName name="Variable_lease_Mon_00075" localSheetId="0" hidden="1">monday_model.lp!$BY$2</definedName>
    <definedName name="Variable_lease_Mon_00075_Type" localSheetId="0" hidden="1">monday_model.lp!$BY$1782</definedName>
    <definedName name="Variable_lease_Mon_00076" localSheetId="0" hidden="1">monday_model.lp!$BZ$2</definedName>
    <definedName name="Variable_lease_Mon_00076_Type" localSheetId="0" hidden="1">monday_model.lp!$BZ$1782</definedName>
    <definedName name="Variable_lease_Mon_00077" localSheetId="0" hidden="1">monday_model.lp!$CA$2</definedName>
    <definedName name="Variable_lease_Mon_00077_Type" localSheetId="0" hidden="1">monday_model.lp!$CA$1782</definedName>
    <definedName name="Variable_lease_Mon_00078" localSheetId="0" hidden="1">monday_model.lp!$CB$2</definedName>
    <definedName name="Variable_lease_Mon_00078_Type" localSheetId="0" hidden="1">monday_model.lp!$CB$1782</definedName>
    <definedName name="Variable_lease_Mon_00079" localSheetId="0" hidden="1">monday_model.lp!$CC$2</definedName>
    <definedName name="Variable_lease_Mon_00079_Type" localSheetId="0" hidden="1">monday_model.lp!$CC$1782</definedName>
    <definedName name="Variable_lease_Mon_00080" localSheetId="0" hidden="1">monday_model.lp!$CD$2</definedName>
    <definedName name="Variable_lease_Mon_00080_Type" localSheetId="0" hidden="1">monday_model.lp!$CD$1782</definedName>
    <definedName name="Variable_lease_Mon_00081" localSheetId="0" hidden="1">monday_model.lp!$CE$2</definedName>
    <definedName name="Variable_lease_Mon_00081_Type" localSheetId="0" hidden="1">monday_model.lp!$CE$1782</definedName>
    <definedName name="Variable_lease_Mon_00082" localSheetId="0" hidden="1">monday_model.lp!$CF$2</definedName>
    <definedName name="Variable_lease_Mon_00082_Type" localSheetId="0" hidden="1">monday_model.lp!$CF$1782</definedName>
    <definedName name="Variable_lease_Mon_00083" localSheetId="0" hidden="1">monday_model.lp!$CG$2</definedName>
    <definedName name="Variable_lease_Mon_00083_Type" localSheetId="0" hidden="1">monday_model.lp!$CG$1782</definedName>
    <definedName name="Variable_lease_Mon_00084" localSheetId="0" hidden="1">monday_model.lp!$CH$2</definedName>
    <definedName name="Variable_lease_Mon_00084_Type" localSheetId="0" hidden="1">monday_model.lp!$CH$1782</definedName>
    <definedName name="Variable_lease_Mon_00085" localSheetId="0" hidden="1">monday_model.lp!$CI$2</definedName>
    <definedName name="Variable_lease_Mon_00085_Type" localSheetId="0" hidden="1">monday_model.lp!$CI$1782</definedName>
    <definedName name="Variable_lease_Mon_00086" localSheetId="0" hidden="1">monday_model.lp!$CJ$2</definedName>
    <definedName name="Variable_lease_Mon_00086_Type" localSheetId="0" hidden="1">monday_model.lp!$CJ$1782</definedName>
    <definedName name="Variable_lease_Mon_00087" localSheetId="0" hidden="1">monday_model.lp!$CK$2</definedName>
    <definedName name="Variable_lease_Mon_00087_Type" localSheetId="0" hidden="1">monday_model.lp!$CK$1782</definedName>
    <definedName name="Variable_lease_Mon_00088" localSheetId="0" hidden="1">monday_model.lp!$CL$2</definedName>
    <definedName name="Variable_lease_Mon_00088_Type" localSheetId="0" hidden="1">monday_model.lp!$CL$1782</definedName>
    <definedName name="Variable_lease_Mon_00089" localSheetId="0" hidden="1">monday_model.lp!$CM$2</definedName>
    <definedName name="Variable_lease_Mon_00089_Type" localSheetId="0" hidden="1">monday_model.lp!$CM$1782</definedName>
    <definedName name="Variable_lease_Mon_00090" localSheetId="0" hidden="1">monday_model.lp!$CN$2</definedName>
    <definedName name="Variable_lease_Mon_00090_Type" localSheetId="0" hidden="1">monday_model.lp!$CN$1782</definedName>
    <definedName name="Variable_lease_Mon_00091" localSheetId="0" hidden="1">monday_model.lp!$CO$2</definedName>
    <definedName name="Variable_lease_Mon_00091_Type" localSheetId="0" hidden="1">monday_model.lp!$CO$1782</definedName>
    <definedName name="Variable_lease_Mon_00092" localSheetId="0" hidden="1">monday_model.lp!$CP$2</definedName>
    <definedName name="Variable_lease_Mon_00092_Type" localSheetId="0" hidden="1">monday_model.lp!$CP$1782</definedName>
    <definedName name="Variable_lease_Mon_00093" localSheetId="0" hidden="1">monday_model.lp!$CQ$2</definedName>
    <definedName name="Variable_lease_Mon_00093_Type" localSheetId="0" hidden="1">monday_model.lp!$CQ$1782</definedName>
    <definedName name="Variable_lease_Mon_00094" localSheetId="0" hidden="1">monday_model.lp!$CR$2</definedName>
    <definedName name="Variable_lease_Mon_00094_Type" localSheetId="0" hidden="1">monday_model.lp!$CR$1782</definedName>
    <definedName name="Variable_lease_Mon_00095" localSheetId="0" hidden="1">monday_model.lp!$CS$2</definedName>
    <definedName name="Variable_lease_Mon_00095_Type" localSheetId="0" hidden="1">monday_model.lp!$CS$1782</definedName>
    <definedName name="Variable_lease_Mon_00096" localSheetId="0" hidden="1">monday_model.lp!$CT$2</definedName>
    <definedName name="Variable_lease_Mon_00096_Type" localSheetId="0" hidden="1">monday_model.lp!$CT$1782</definedName>
    <definedName name="Variable_lease_Mon_00097" localSheetId="0" hidden="1">monday_model.lp!$CU$2</definedName>
    <definedName name="Variable_lease_Mon_00097_Type" localSheetId="0" hidden="1">monday_model.lp!$CU$1782</definedName>
    <definedName name="Variable_lease_Mon_00098" localSheetId="0" hidden="1">monday_model.lp!$CV$2</definedName>
    <definedName name="Variable_lease_Mon_00098_Type" localSheetId="0" hidden="1">monday_model.lp!$CV$1782</definedName>
    <definedName name="Variable_lease_Mon_00099" localSheetId="0" hidden="1">monday_model.lp!$CW$2</definedName>
    <definedName name="Variable_lease_Mon_00099_Type" localSheetId="0" hidden="1">monday_model.lp!$CW$1782</definedName>
    <definedName name="Variable_lease_Mon_00100" localSheetId="0" hidden="1">monday_model.lp!$CX$2</definedName>
    <definedName name="Variable_lease_Mon_00100_Type" localSheetId="0" hidden="1">monday_model.lp!$CX$1782</definedName>
    <definedName name="Variable_lease_Mon_00101" localSheetId="0" hidden="1">monday_model.lp!$CY$2</definedName>
    <definedName name="Variable_lease_Mon_00101_Type" localSheetId="0" hidden="1">monday_model.lp!$CY$1782</definedName>
    <definedName name="Variable_lease_Mon_00102" localSheetId="0" hidden="1">monday_model.lp!$CZ$2</definedName>
    <definedName name="Variable_lease_Mon_00102_Type" localSheetId="0" hidden="1">monday_model.lp!$CZ$1782</definedName>
    <definedName name="Variable_lease_Mon_00103" localSheetId="0" hidden="1">monday_model.lp!$DA$2</definedName>
    <definedName name="Variable_lease_Mon_00103_Type" localSheetId="0" hidden="1">monday_model.lp!$DA$1782</definedName>
    <definedName name="Variable_lease_Mon_00104" localSheetId="0" hidden="1">monday_model.lp!$DB$2</definedName>
    <definedName name="Variable_lease_Mon_00104_Type" localSheetId="0" hidden="1">monday_model.lp!$DB$1782</definedName>
    <definedName name="Variable_lease_Mon_00105" localSheetId="0" hidden="1">monday_model.lp!$DC$2</definedName>
    <definedName name="Variable_lease_Mon_00105_Type" localSheetId="0" hidden="1">monday_model.lp!$DC$1782</definedName>
    <definedName name="Variable_lease_Mon_00106" localSheetId="0" hidden="1">monday_model.lp!$DD$2</definedName>
    <definedName name="Variable_lease_Mon_00106_Type" localSheetId="0" hidden="1">monday_model.lp!$DD$1782</definedName>
    <definedName name="Variable_lease_Mon_00107" localSheetId="0" hidden="1">monday_model.lp!$DE$2</definedName>
    <definedName name="Variable_lease_Mon_00107_Type" localSheetId="0" hidden="1">monday_model.lp!$DE$1782</definedName>
    <definedName name="Variable_lease_Mon_00108" localSheetId="0" hidden="1">monday_model.lp!$DF$2</definedName>
    <definedName name="Variable_lease_Mon_00108_Type" localSheetId="0" hidden="1">monday_model.lp!$DF$1782</definedName>
    <definedName name="Variable_lease_Mon_00109" localSheetId="0" hidden="1">monday_model.lp!$DG$2</definedName>
    <definedName name="Variable_lease_Mon_00109_Type" localSheetId="0" hidden="1">monday_model.lp!$DG$1782</definedName>
    <definedName name="Variable_lease_Mon_00110" localSheetId="0" hidden="1">monday_model.lp!$DH$2</definedName>
    <definedName name="Variable_lease_Mon_00110_Type" localSheetId="0" hidden="1">monday_model.lp!$DH$1782</definedName>
    <definedName name="Variable_lease_Mon_00111" localSheetId="0" hidden="1">monday_model.lp!$DI$2</definedName>
    <definedName name="Variable_lease_Mon_00111_Type" localSheetId="0" hidden="1">monday_model.lp!$DI$1782</definedName>
    <definedName name="Variable_lease_Mon_00112" localSheetId="0" hidden="1">monday_model.lp!$DJ$2</definedName>
    <definedName name="Variable_lease_Mon_00112_Type" localSheetId="0" hidden="1">monday_model.lp!$DJ$1782</definedName>
    <definedName name="Variable_lease_Mon_00113" localSheetId="0" hidden="1">monday_model.lp!$DK$2</definedName>
    <definedName name="Variable_lease_Mon_00113_Type" localSheetId="0" hidden="1">monday_model.lp!$DK$1782</definedName>
    <definedName name="Variable_lease_Mon_00114" localSheetId="0" hidden="1">monday_model.lp!$DL$2</definedName>
    <definedName name="Variable_lease_Mon_00114_Type" localSheetId="0" hidden="1">monday_model.lp!$DL$1782</definedName>
    <definedName name="Variable_lease_Mon_00115" localSheetId="0" hidden="1">monday_model.lp!$DM$2</definedName>
    <definedName name="Variable_lease_Mon_00115_Type" localSheetId="0" hidden="1">monday_model.lp!$DM$1782</definedName>
    <definedName name="Variable_lease_Mon_00116" localSheetId="0" hidden="1">monday_model.lp!$DN$2</definedName>
    <definedName name="Variable_lease_Mon_00116_Type" localSheetId="0" hidden="1">monday_model.lp!$DN$1782</definedName>
    <definedName name="Variable_lease_Mon_00117" localSheetId="0" hidden="1">monday_model.lp!$DO$2</definedName>
    <definedName name="Variable_lease_Mon_00117_Type" localSheetId="0" hidden="1">monday_model.lp!$DO$1782</definedName>
    <definedName name="Variable_lease_Mon_00118" localSheetId="0" hidden="1">monday_model.lp!$DP$2</definedName>
    <definedName name="Variable_lease_Mon_00118_Type" localSheetId="0" hidden="1">monday_model.lp!$DP$1782</definedName>
    <definedName name="Variable_lease_Mon_00119" localSheetId="0" hidden="1">monday_model.lp!$DQ$2</definedName>
    <definedName name="Variable_lease_Mon_00119_Type" localSheetId="0" hidden="1">monday_model.lp!$DQ$1782</definedName>
    <definedName name="Variable_lease_Mon_00120" localSheetId="0" hidden="1">monday_model.lp!$DR$2</definedName>
    <definedName name="Variable_lease_Mon_00120_Type" localSheetId="0" hidden="1">monday_model.lp!$DR$1782</definedName>
    <definedName name="Variable_lease_Mon_00121" localSheetId="0" hidden="1">monday_model.lp!$DS$2</definedName>
    <definedName name="Variable_lease_Mon_00121_Type" localSheetId="0" hidden="1">monday_model.lp!$DS$1782</definedName>
    <definedName name="Variable_lease_Mon_00122" localSheetId="0" hidden="1">monday_model.lp!$DT$2</definedName>
    <definedName name="Variable_lease_Mon_00122_Type" localSheetId="0" hidden="1">monday_model.lp!$DT$1782</definedName>
    <definedName name="Variable_lease_Mon_00123" localSheetId="0" hidden="1">monday_model.lp!$DU$2</definedName>
    <definedName name="Variable_lease_Mon_00123_Type" localSheetId="0" hidden="1">monday_model.lp!$DU$1782</definedName>
    <definedName name="Variable_lease_Mon_00124" localSheetId="0" hidden="1">monday_model.lp!$DV$2</definedName>
    <definedName name="Variable_lease_Mon_00124_Type" localSheetId="0" hidden="1">monday_model.lp!$DV$1782</definedName>
    <definedName name="Variable_lease_Mon_00125" localSheetId="0" hidden="1">monday_model.lp!$DW$2</definedName>
    <definedName name="Variable_lease_Mon_00125_Type" localSheetId="0" hidden="1">monday_model.lp!$DW$1782</definedName>
    <definedName name="Variable_lease_Mon_00126" localSheetId="0" hidden="1">monday_model.lp!$DX$2</definedName>
    <definedName name="Variable_lease_Mon_00126_Type" localSheetId="0" hidden="1">monday_model.lp!$DX$1782</definedName>
    <definedName name="Variable_lease_Mon_00127" localSheetId="0" hidden="1">monday_model.lp!$DY$2</definedName>
    <definedName name="Variable_lease_Mon_00127_Type" localSheetId="0" hidden="1">monday_model.lp!$DY$1782</definedName>
    <definedName name="Variable_lease_Mon_00128" localSheetId="0" hidden="1">monday_model.lp!$DZ$2</definedName>
    <definedName name="Variable_lease_Mon_00128_Type" localSheetId="0" hidden="1">monday_model.lp!$DZ$1782</definedName>
    <definedName name="Variable_lease_Mon_00129" localSheetId="0" hidden="1">monday_model.lp!$EA$2</definedName>
    <definedName name="Variable_lease_Mon_00129_Type" localSheetId="0" hidden="1">monday_model.lp!$EA$1782</definedName>
    <definedName name="Variable_lease_Mon_00130" localSheetId="0" hidden="1">monday_model.lp!$EB$2</definedName>
    <definedName name="Variable_lease_Mon_00130_Type" localSheetId="0" hidden="1">monday_model.lp!$EB$1782</definedName>
    <definedName name="Variable_lease_Mon_00131" localSheetId="0" hidden="1">monday_model.lp!$EC$2</definedName>
    <definedName name="Variable_lease_Mon_00131_Type" localSheetId="0" hidden="1">monday_model.lp!$EC$1782</definedName>
    <definedName name="Variable_lease_Mon_00132" localSheetId="0" hidden="1">monday_model.lp!$ED$2</definedName>
    <definedName name="Variable_lease_Mon_00132_Type" localSheetId="0" hidden="1">monday_model.lp!$ED$1782</definedName>
    <definedName name="Variable_lease_Mon_00133" localSheetId="0" hidden="1">monday_model.lp!$EE$2</definedName>
    <definedName name="Variable_lease_Mon_00133_Type" localSheetId="0" hidden="1">monday_model.lp!$EE$1782</definedName>
    <definedName name="Variable_lease_Mon_00134" localSheetId="0" hidden="1">monday_model.lp!$EF$2</definedName>
    <definedName name="Variable_lease_Mon_00134_Type" localSheetId="0" hidden="1">monday_model.lp!$EF$1782</definedName>
    <definedName name="Variable_lease_Mon_00135" localSheetId="0" hidden="1">monday_model.lp!$EG$2</definedName>
    <definedName name="Variable_lease_Mon_00135_Type" localSheetId="0" hidden="1">monday_model.lp!$EG$1782</definedName>
    <definedName name="Variable_lease_Mon_00136" localSheetId="0" hidden="1">monday_model.lp!$EH$2</definedName>
    <definedName name="Variable_lease_Mon_00136_Type" localSheetId="0" hidden="1">monday_model.lp!$EH$1782</definedName>
    <definedName name="Variable_lease_Mon_00137" localSheetId="0" hidden="1">monday_model.lp!$EI$2</definedName>
    <definedName name="Variable_lease_Mon_00137_Type" localSheetId="0" hidden="1">monday_model.lp!$EI$1782</definedName>
    <definedName name="Variable_lease_Mon_00138" localSheetId="0" hidden="1">monday_model.lp!$EJ$2</definedName>
    <definedName name="Variable_lease_Mon_00138_Type" localSheetId="0" hidden="1">monday_model.lp!$EJ$1782</definedName>
    <definedName name="Variable_lease_Mon_00139" localSheetId="0" hidden="1">monday_model.lp!$EK$2</definedName>
    <definedName name="Variable_lease_Mon_00139_Type" localSheetId="0" hidden="1">monday_model.lp!$EK$1782</definedName>
    <definedName name="Variable_lease_Mon_00140" localSheetId="0" hidden="1">monday_model.lp!$EL$2</definedName>
    <definedName name="Variable_lease_Mon_00140_Type" localSheetId="0" hidden="1">monday_model.lp!$EL$1782</definedName>
    <definedName name="Variable_lease_Mon_00141" localSheetId="0" hidden="1">monday_model.lp!$EM$2</definedName>
    <definedName name="Variable_lease_Mon_00141_Type" localSheetId="0" hidden="1">monday_model.lp!$EM$1782</definedName>
    <definedName name="Variable_lease_Mon_00142" localSheetId="0" hidden="1">monday_model.lp!$EN$2</definedName>
    <definedName name="Variable_lease_Mon_00142_Type" localSheetId="0" hidden="1">monday_model.lp!$EN$1782</definedName>
    <definedName name="Variable_lease_Mon_00143" localSheetId="0" hidden="1">monday_model.lp!$EO$2</definedName>
    <definedName name="Variable_lease_Mon_00143_Type" localSheetId="0" hidden="1">monday_model.lp!$EO$1782</definedName>
    <definedName name="Variable_lease_Mon_00144" localSheetId="0" hidden="1">monday_model.lp!$EP$2</definedName>
    <definedName name="Variable_lease_Mon_00144_Type" localSheetId="0" hidden="1">monday_model.lp!$EP$1782</definedName>
    <definedName name="Variable_lease_Mon_00145" localSheetId="0" hidden="1">monday_model.lp!$EQ$2</definedName>
    <definedName name="Variable_lease_Mon_00145_Type" localSheetId="0" hidden="1">monday_model.lp!$EQ$1782</definedName>
    <definedName name="Variable_lease_Mon_00146" localSheetId="0" hidden="1">monday_model.lp!$ER$2</definedName>
    <definedName name="Variable_lease_Mon_00146_Type" localSheetId="0" hidden="1">monday_model.lp!$ER$1782</definedName>
    <definedName name="Variable_lease_Mon_00147" localSheetId="0" hidden="1">monday_model.lp!$ES$2</definedName>
    <definedName name="Variable_lease_Mon_00147_Type" localSheetId="0" hidden="1">monday_model.lp!$ES$1782</definedName>
    <definedName name="Variable_lease_Mon_00148" localSheetId="0" hidden="1">monday_model.lp!$ET$2</definedName>
    <definedName name="Variable_lease_Mon_00148_Type" localSheetId="0" hidden="1">monday_model.lp!$ET$1782</definedName>
    <definedName name="Variable_lease_Mon_00149" localSheetId="0" hidden="1">monday_model.lp!$EU$2</definedName>
    <definedName name="Variable_lease_Mon_00149_Type" localSheetId="0" hidden="1">monday_model.lp!$EU$1782</definedName>
    <definedName name="Variable_lease_Mon_00150" localSheetId="0" hidden="1">monday_model.lp!$EV$2</definedName>
    <definedName name="Variable_lease_Mon_00150_Type" localSheetId="0" hidden="1">monday_model.lp!$EV$1782</definedName>
    <definedName name="Variable_lease_Mon_00151" localSheetId="0" hidden="1">monday_model.lp!$EW$2</definedName>
    <definedName name="Variable_lease_Mon_00151_Type" localSheetId="0" hidden="1">monday_model.lp!$EW$1782</definedName>
    <definedName name="Variable_lease_Mon_00152" localSheetId="0" hidden="1">monday_model.lp!$EX$2</definedName>
    <definedName name="Variable_lease_Mon_00152_Type" localSheetId="0" hidden="1">monday_model.lp!$EX$1782</definedName>
    <definedName name="Variable_lease_Mon_00153" localSheetId="0" hidden="1">monday_model.lp!$EY$2</definedName>
    <definedName name="Variable_lease_Mon_00153_Type" localSheetId="0" hidden="1">monday_model.lp!$EY$1782</definedName>
    <definedName name="Variable_lease_Mon_00154" localSheetId="0" hidden="1">monday_model.lp!$EZ$2</definedName>
    <definedName name="Variable_lease_Mon_00154_Type" localSheetId="0" hidden="1">monday_model.lp!$EZ$1782</definedName>
    <definedName name="Variable_lease_Mon_00155" localSheetId="0" hidden="1">monday_model.lp!$FA$2</definedName>
    <definedName name="Variable_lease_Mon_00155_Type" localSheetId="0" hidden="1">monday_model.lp!$FA$1782</definedName>
    <definedName name="Variable_lease_Mon_00156" localSheetId="0" hidden="1">monday_model.lp!$FB$2</definedName>
    <definedName name="Variable_lease_Mon_00156_Type" localSheetId="0" hidden="1">monday_model.lp!$FB$1782</definedName>
    <definedName name="Variable_lease_Mon_00157" localSheetId="0" hidden="1">monday_model.lp!$FC$2</definedName>
    <definedName name="Variable_lease_Mon_00157_Type" localSheetId="0" hidden="1">monday_model.lp!$FC$1782</definedName>
    <definedName name="Variable_lease_Mon_00158" localSheetId="0" hidden="1">monday_model.lp!$FD$2</definedName>
    <definedName name="Variable_lease_Mon_00158_Type" localSheetId="0" hidden="1">monday_model.lp!$FD$1782</definedName>
    <definedName name="Variable_lease_Mon_00159" localSheetId="0" hidden="1">monday_model.lp!$FE$2</definedName>
    <definedName name="Variable_lease_Mon_00159_Type" localSheetId="0" hidden="1">monday_model.lp!$FE$1782</definedName>
    <definedName name="Variable_lease_Mon_00160" localSheetId="0" hidden="1">monday_model.lp!$FF$2</definedName>
    <definedName name="Variable_lease_Mon_00160_Type" localSheetId="0" hidden="1">monday_model.lp!$FF$1782</definedName>
    <definedName name="Variable_lease_Mon_00161" localSheetId="0" hidden="1">monday_model.lp!$FG$2</definedName>
    <definedName name="Variable_lease_Mon_00161_Type" localSheetId="0" hidden="1">monday_model.lp!$FG$1782</definedName>
    <definedName name="Variable_lease_Mon_00162" localSheetId="0" hidden="1">monday_model.lp!$FH$2</definedName>
    <definedName name="Variable_lease_Mon_00162_Type" localSheetId="0" hidden="1">monday_model.lp!$FH$1782</definedName>
    <definedName name="Variable_lease_Mon_00163" localSheetId="0" hidden="1">monday_model.lp!$FI$2</definedName>
    <definedName name="Variable_lease_Mon_00163_Type" localSheetId="0" hidden="1">monday_model.lp!$FI$1782</definedName>
    <definedName name="Variable_lease_Mon_00164" localSheetId="0" hidden="1">monday_model.lp!$FJ$2</definedName>
    <definedName name="Variable_lease_Mon_00164_Type" localSheetId="0" hidden="1">monday_model.lp!$FJ$1782</definedName>
    <definedName name="Variable_lease_Mon_00165" localSheetId="0" hidden="1">monday_model.lp!$FK$2</definedName>
    <definedName name="Variable_lease_Mon_00165_Type" localSheetId="0" hidden="1">monday_model.lp!$FK$1782</definedName>
    <definedName name="Variable_lease_Mon_00166" localSheetId="0" hidden="1">monday_model.lp!$FL$2</definedName>
    <definedName name="Variable_lease_Mon_00166_Type" localSheetId="0" hidden="1">monday_model.lp!$FL$1782</definedName>
    <definedName name="Variable_lease_Mon_00167" localSheetId="0" hidden="1">monday_model.lp!$FM$2</definedName>
    <definedName name="Variable_lease_Mon_00167_Type" localSheetId="0" hidden="1">monday_model.lp!$FM$1782</definedName>
    <definedName name="Variable_lease_Mon_00168" localSheetId="0" hidden="1">monday_model.lp!$FN$2</definedName>
    <definedName name="Variable_lease_Mon_00168_Type" localSheetId="0" hidden="1">monday_model.lp!$FN$1782</definedName>
    <definedName name="Variable_lease_Mon_00169" localSheetId="0" hidden="1">monday_model.lp!$FO$2</definedName>
    <definedName name="Variable_lease_Mon_00169_Type" localSheetId="0" hidden="1">monday_model.lp!$FO$1782</definedName>
    <definedName name="Variable_lease_Mon_00170" localSheetId="0" hidden="1">monday_model.lp!$FP$2</definedName>
    <definedName name="Variable_lease_Mon_00170_Type" localSheetId="0" hidden="1">monday_model.lp!$FP$1782</definedName>
    <definedName name="Variable_lease_Mon_00171" localSheetId="0" hidden="1">monday_model.lp!$FQ$2</definedName>
    <definedName name="Variable_lease_Mon_00171_Type" localSheetId="0" hidden="1">monday_model.lp!$FQ$1782</definedName>
    <definedName name="Variable_lease_Mon_00172" localSheetId="0" hidden="1">monday_model.lp!$FR$2</definedName>
    <definedName name="Variable_lease_Mon_00172_Type" localSheetId="0" hidden="1">monday_model.lp!$FR$1782</definedName>
    <definedName name="Variable_lease_Mon_00173" localSheetId="0" hidden="1">monday_model.lp!$FS$2</definedName>
    <definedName name="Variable_lease_Mon_00173_Type" localSheetId="0" hidden="1">monday_model.lp!$FS$1782</definedName>
    <definedName name="Variable_lease_Mon_00174" localSheetId="0" hidden="1">monday_model.lp!$FT$2</definedName>
    <definedName name="Variable_lease_Mon_00174_Type" localSheetId="0" hidden="1">monday_model.lp!$FT$1782</definedName>
    <definedName name="Variable_lease_Mon_00175" localSheetId="0" hidden="1">monday_model.lp!$FU$2</definedName>
    <definedName name="Variable_lease_Mon_00175_Type" localSheetId="0" hidden="1">monday_model.lp!$FU$1782</definedName>
    <definedName name="Variable_lease_Mon_00176" localSheetId="0" hidden="1">monday_model.lp!$FV$2</definedName>
    <definedName name="Variable_lease_Mon_00176_Type" localSheetId="0" hidden="1">monday_model.lp!$FV$1782</definedName>
    <definedName name="Variable_lease_Mon_00177" localSheetId="0" hidden="1">monday_model.lp!$FW$2</definedName>
    <definedName name="Variable_lease_Mon_00177_Type" localSheetId="0" hidden="1">monday_model.lp!$FW$1782</definedName>
    <definedName name="Variable_lease_Mon_00178" localSheetId="0" hidden="1">monday_model.lp!$FX$2</definedName>
    <definedName name="Variable_lease_Mon_00178_Type" localSheetId="0" hidden="1">monday_model.lp!$FX$1782</definedName>
    <definedName name="Variable_lease_Mon_00179" localSheetId="0" hidden="1">monday_model.lp!$FY$2</definedName>
    <definedName name="Variable_lease_Mon_00179_Type" localSheetId="0" hidden="1">monday_model.lp!$FY$1782</definedName>
    <definedName name="Variable_lease_Mon_00180" localSheetId="0" hidden="1">monday_model.lp!$FZ$2</definedName>
    <definedName name="Variable_lease_Mon_00180_Type" localSheetId="0" hidden="1">monday_model.lp!$FZ$1782</definedName>
    <definedName name="Variable_lease_Mon_00181" localSheetId="0" hidden="1">monday_model.lp!$GA$2</definedName>
    <definedName name="Variable_lease_Mon_00181_Type" localSheetId="0" hidden="1">monday_model.lp!$GA$1782</definedName>
    <definedName name="Variable_lease_Mon_00182" localSheetId="0" hidden="1">monday_model.lp!$GB$2</definedName>
    <definedName name="Variable_lease_Mon_00182_Type" localSheetId="0" hidden="1">monday_model.lp!$GB$1782</definedName>
    <definedName name="Variable_lease_Mon_00183" localSheetId="0" hidden="1">monday_model.lp!$GC$2</definedName>
    <definedName name="Variable_lease_Mon_00183_Type" localSheetId="0" hidden="1">monday_model.lp!$GC$1782</definedName>
    <definedName name="Variable_lease_Mon_00184" localSheetId="0" hidden="1">monday_model.lp!$GD$2</definedName>
    <definedName name="Variable_lease_Mon_00184_Type" localSheetId="0" hidden="1">monday_model.lp!$GD$1782</definedName>
    <definedName name="Variable_lease_Mon_00185" localSheetId="0" hidden="1">monday_model.lp!$GE$2</definedName>
    <definedName name="Variable_lease_Mon_00185_Type" localSheetId="0" hidden="1">monday_model.lp!$GE$1782</definedName>
    <definedName name="Variable_lease_Mon_00186" localSheetId="0" hidden="1">monday_model.lp!$GF$2</definedName>
    <definedName name="Variable_lease_Mon_00186_Type" localSheetId="0" hidden="1">monday_model.lp!$GF$1782</definedName>
    <definedName name="Variable_lease_Mon_00187" localSheetId="0" hidden="1">monday_model.lp!$GG$2</definedName>
    <definedName name="Variable_lease_Mon_00187_Type" localSheetId="0" hidden="1">monday_model.lp!$GG$1782</definedName>
    <definedName name="Variable_lease_Mon_00188" localSheetId="0" hidden="1">monday_model.lp!$GH$2</definedName>
    <definedName name="Variable_lease_Mon_00188_Type" localSheetId="0" hidden="1">monday_model.lp!$GH$1782</definedName>
    <definedName name="Variable_lease_Mon_00189" localSheetId="0" hidden="1">monday_model.lp!$GI$2</definedName>
    <definedName name="Variable_lease_Mon_00189_Type" localSheetId="0" hidden="1">monday_model.lp!$GI$1782</definedName>
    <definedName name="Variable_lease_Mon_00190" localSheetId="0" hidden="1">monday_model.lp!$GJ$2</definedName>
    <definedName name="Variable_lease_Mon_00190_Type" localSheetId="0" hidden="1">monday_model.lp!$GJ$1782</definedName>
    <definedName name="Variable_lease_Mon_00191" localSheetId="0" hidden="1">monday_model.lp!$GK$2</definedName>
    <definedName name="Variable_lease_Mon_00191_Type" localSheetId="0" hidden="1">monday_model.lp!$GK$1782</definedName>
    <definedName name="Variable_lease_Mon_00192" localSheetId="0" hidden="1">monday_model.lp!$GL$2</definedName>
    <definedName name="Variable_lease_Mon_00192_Type" localSheetId="0" hidden="1">monday_model.lp!$GL$1782</definedName>
    <definedName name="Variable_lease_Mon_00193" localSheetId="0" hidden="1">monday_model.lp!$GM$2</definedName>
    <definedName name="Variable_lease_Mon_00193_Type" localSheetId="0" hidden="1">monday_model.lp!$GM$1782</definedName>
    <definedName name="Variable_lease_Mon_00194" localSheetId="0" hidden="1">monday_model.lp!$GN$2</definedName>
    <definedName name="Variable_lease_Mon_00194_Type" localSheetId="0" hidden="1">monday_model.lp!$GN$1782</definedName>
    <definedName name="Variable_lease_Mon_00195" localSheetId="0" hidden="1">monday_model.lp!$GO$2</definedName>
    <definedName name="Variable_lease_Mon_00195_Type" localSheetId="0" hidden="1">monday_model.lp!$GO$1782</definedName>
    <definedName name="Variable_lease_Mon_00196" localSheetId="0" hidden="1">monday_model.lp!$GP$2</definedName>
    <definedName name="Variable_lease_Mon_00196_Type" localSheetId="0" hidden="1">monday_model.lp!$GP$1782</definedName>
    <definedName name="Variable_lease_Mon_00197" localSheetId="0" hidden="1">monday_model.lp!$GQ$2</definedName>
    <definedName name="Variable_lease_Mon_00197_Type" localSheetId="0" hidden="1">monday_model.lp!$GQ$1782</definedName>
    <definedName name="Variable_lease_Mon_00198" localSheetId="0" hidden="1">monday_model.lp!$GR$2</definedName>
    <definedName name="Variable_lease_Mon_00198_Type" localSheetId="0" hidden="1">monday_model.lp!$GR$1782</definedName>
    <definedName name="Variable_lease_Mon_00199" localSheetId="0" hidden="1">monday_model.lp!$GS$2</definedName>
    <definedName name="Variable_lease_Mon_00199_Type" localSheetId="0" hidden="1">monday_model.lp!$GS$1782</definedName>
    <definedName name="Variable_lease_Mon_00200" localSheetId="0" hidden="1">monday_model.lp!$GT$2</definedName>
    <definedName name="Variable_lease_Mon_00200_Type" localSheetId="0" hidden="1">monday_model.lp!$GT$1782</definedName>
    <definedName name="Variable_lease_Mon_00201" localSheetId="0" hidden="1">monday_model.lp!$GU$2</definedName>
    <definedName name="Variable_lease_Mon_00201_Type" localSheetId="0" hidden="1">monday_model.lp!$GU$1782</definedName>
    <definedName name="Variable_lease_Mon_00202" localSheetId="0" hidden="1">monday_model.lp!$GV$2</definedName>
    <definedName name="Variable_lease_Mon_00202_Type" localSheetId="0" hidden="1">monday_model.lp!$GV$1782</definedName>
    <definedName name="Variable_lease_Mon_00203" localSheetId="0" hidden="1">monday_model.lp!$GW$2</definedName>
    <definedName name="Variable_lease_Mon_00203_Type" localSheetId="0" hidden="1">monday_model.lp!$GW$1782</definedName>
    <definedName name="Variable_lease_Mon_00204" localSheetId="0" hidden="1">monday_model.lp!$GX$2</definedName>
    <definedName name="Variable_lease_Mon_00204_Type" localSheetId="0" hidden="1">monday_model.lp!$GX$1782</definedName>
    <definedName name="Variable_lease_Mon_00205" localSheetId="0" hidden="1">monday_model.lp!$GY$2</definedName>
    <definedName name="Variable_lease_Mon_00205_Type" localSheetId="0" hidden="1">monday_model.lp!$GY$1782</definedName>
    <definedName name="Variable_lease_Mon_00206" localSheetId="0" hidden="1">monday_model.lp!$GZ$2</definedName>
    <definedName name="Variable_lease_Mon_00206_Type" localSheetId="0" hidden="1">monday_model.lp!$GZ$1782</definedName>
    <definedName name="Variable_lease_Mon_00207" localSheetId="0" hidden="1">monday_model.lp!$HA$2</definedName>
    <definedName name="Variable_lease_Mon_00207_Type" localSheetId="0" hidden="1">monday_model.lp!$HA$1782</definedName>
    <definedName name="Variable_lease_Mon_00208" localSheetId="0" hidden="1">monday_model.lp!$HB$2</definedName>
    <definedName name="Variable_lease_Mon_00208_Type" localSheetId="0" hidden="1">monday_model.lp!$HB$1782</definedName>
    <definedName name="Variable_lease_Mon_00209" localSheetId="0" hidden="1">monday_model.lp!$HC$2</definedName>
    <definedName name="Variable_lease_Mon_00209_Type" localSheetId="0" hidden="1">monday_model.lp!$HC$1782</definedName>
    <definedName name="Variable_lease_Mon_00210" localSheetId="0" hidden="1">monday_model.lp!$HD$2</definedName>
    <definedName name="Variable_lease_Mon_00210_Type" localSheetId="0" hidden="1">monday_model.lp!$HD$1782</definedName>
    <definedName name="Variable_lease_Mon_00211" localSheetId="0" hidden="1">monday_model.lp!$HE$2</definedName>
    <definedName name="Variable_lease_Mon_00211_Type" localSheetId="0" hidden="1">monday_model.lp!$HE$1782</definedName>
    <definedName name="Variable_lease_Mon_00212" localSheetId="0" hidden="1">monday_model.lp!$HF$2</definedName>
    <definedName name="Variable_lease_Mon_00212_Type" localSheetId="0" hidden="1">monday_model.lp!$HF$1782</definedName>
    <definedName name="Variable_lease_Mon_00213" localSheetId="0" hidden="1">monday_model.lp!$HG$2</definedName>
    <definedName name="Variable_lease_Mon_00213_Type" localSheetId="0" hidden="1">monday_model.lp!$HG$1782</definedName>
    <definedName name="Variable_lease_Mon_00214" localSheetId="0" hidden="1">monday_model.lp!$HH$2</definedName>
    <definedName name="Variable_lease_Mon_00214_Type" localSheetId="0" hidden="1">monday_model.lp!$HH$1782</definedName>
    <definedName name="Variable_lease_Mon_00215" localSheetId="0" hidden="1">monday_model.lp!$HI$2</definedName>
    <definedName name="Variable_lease_Mon_00215_Type" localSheetId="0" hidden="1">monday_model.lp!$HI$1782</definedName>
    <definedName name="Variable_lease_Mon_00216" localSheetId="0" hidden="1">monday_model.lp!$HJ$2</definedName>
    <definedName name="Variable_lease_Mon_00216_Type" localSheetId="0" hidden="1">monday_model.lp!$HJ$1782</definedName>
    <definedName name="Variable_lease_Mon_00217" localSheetId="0" hidden="1">monday_model.lp!$HK$2</definedName>
    <definedName name="Variable_lease_Mon_00217_Type" localSheetId="0" hidden="1">monday_model.lp!$HK$1782</definedName>
    <definedName name="Variable_lease_Mon_00218" localSheetId="0" hidden="1">monday_model.lp!$HL$2</definedName>
    <definedName name="Variable_lease_Mon_00218_Type" localSheetId="0" hidden="1">monday_model.lp!$HL$1782</definedName>
    <definedName name="Variable_lease_Mon_00219" localSheetId="0" hidden="1">monday_model.lp!$HM$2</definedName>
    <definedName name="Variable_lease_Mon_00219_Type" localSheetId="0" hidden="1">monday_model.lp!$HM$1782</definedName>
    <definedName name="Variable_lease_Mon_00220" localSheetId="0" hidden="1">monday_model.lp!$HN$2</definedName>
    <definedName name="Variable_lease_Mon_00220_Type" localSheetId="0" hidden="1">monday_model.lp!$HN$1782</definedName>
    <definedName name="Variable_lease_Mon_00221" localSheetId="0" hidden="1">monday_model.lp!$HO$2</definedName>
    <definedName name="Variable_lease_Mon_00221_Type" localSheetId="0" hidden="1">monday_model.lp!$HO$1782</definedName>
    <definedName name="Variable_lease_Mon_00222" localSheetId="0" hidden="1">monday_model.lp!$HP$2</definedName>
    <definedName name="Variable_lease_Mon_00222_Type" localSheetId="0" hidden="1">monday_model.lp!$HP$1782</definedName>
    <definedName name="Variable_lease_Mon_00223" localSheetId="0" hidden="1">monday_model.lp!$HQ$2</definedName>
    <definedName name="Variable_lease_Mon_00223_Type" localSheetId="0" hidden="1">monday_model.lp!$HQ$1782</definedName>
    <definedName name="Variable_lease_Mon_00224" localSheetId="0" hidden="1">monday_model.lp!$HR$2</definedName>
    <definedName name="Variable_lease_Mon_00224_Type" localSheetId="0" hidden="1">monday_model.lp!$HR$1782</definedName>
    <definedName name="Variable_lease_Mon_00225" localSheetId="0" hidden="1">monday_model.lp!$HS$2</definedName>
    <definedName name="Variable_lease_Mon_00225_Type" localSheetId="0" hidden="1">monday_model.lp!$HS$1782</definedName>
    <definedName name="Variable_lease_Mon_00226" localSheetId="0" hidden="1">monday_model.lp!$HT$2</definedName>
    <definedName name="Variable_lease_Mon_00226_Type" localSheetId="0" hidden="1">monday_model.lp!$HT$1782</definedName>
    <definedName name="Variable_lease_Mon_00227" localSheetId="0" hidden="1">monday_model.lp!$HU$2</definedName>
    <definedName name="Variable_lease_Mon_00227_Type" localSheetId="0" hidden="1">monday_model.lp!$HU$1782</definedName>
    <definedName name="Variable_lease_Mon_00228" localSheetId="0" hidden="1">monday_model.lp!$HV$2</definedName>
    <definedName name="Variable_lease_Mon_00228_Type" localSheetId="0" hidden="1">monday_model.lp!$HV$1782</definedName>
    <definedName name="Variable_lease_Mon_00229" localSheetId="0" hidden="1">monday_model.lp!$HW$2</definedName>
    <definedName name="Variable_lease_Mon_00229_Type" localSheetId="0" hidden="1">monday_model.lp!$HW$1782</definedName>
    <definedName name="Variable_lease_Mon_00230" localSheetId="0" hidden="1">monday_model.lp!$HX$2</definedName>
    <definedName name="Variable_lease_Mon_00230_Type" localSheetId="0" hidden="1">monday_model.lp!$HX$1782</definedName>
    <definedName name="Variable_lease_Mon_00231" localSheetId="0" hidden="1">monday_model.lp!$HY$2</definedName>
    <definedName name="Variable_lease_Mon_00231_Type" localSheetId="0" hidden="1">monday_model.lp!$HY$1782</definedName>
    <definedName name="Variable_lease_Mon_00232" localSheetId="0" hidden="1">monday_model.lp!$HZ$2</definedName>
    <definedName name="Variable_lease_Mon_00232_Type" localSheetId="0" hidden="1">monday_model.lp!$HZ$1782</definedName>
    <definedName name="Variable_lease_Mon_00233" localSheetId="0" hidden="1">monday_model.lp!$IA$2</definedName>
    <definedName name="Variable_lease_Mon_00233_Type" localSheetId="0" hidden="1">monday_model.lp!$IA$1782</definedName>
    <definedName name="Variable_lease_Mon_00234" localSheetId="0" hidden="1">monday_model.lp!$IB$2</definedName>
    <definedName name="Variable_lease_Mon_00234_Type" localSheetId="0" hidden="1">monday_model.lp!$IB$1782</definedName>
    <definedName name="Variable_lease_Mon_00235" localSheetId="0" hidden="1">monday_model.lp!$IC$2</definedName>
    <definedName name="Variable_lease_Mon_00235_Type" localSheetId="0" hidden="1">monday_model.lp!$IC$1782</definedName>
    <definedName name="Variable_lease_Mon_00236" localSheetId="0" hidden="1">monday_model.lp!$ID$2</definedName>
    <definedName name="Variable_lease_Mon_00236_Type" localSheetId="0" hidden="1">monday_model.lp!$ID$1782</definedName>
    <definedName name="Variable_lease_Mon_00237" localSheetId="0" hidden="1">monday_model.lp!$IE$2</definedName>
    <definedName name="Variable_lease_Mon_00237_Type" localSheetId="0" hidden="1">monday_model.lp!$IE$1782</definedName>
    <definedName name="Variable_lease_Mon_00238" localSheetId="0" hidden="1">monday_model.lp!$IF$2</definedName>
    <definedName name="Variable_lease_Mon_00238_Type" localSheetId="0" hidden="1">monday_model.lp!$IF$1782</definedName>
    <definedName name="Variable_lease_Mon_00239" localSheetId="0" hidden="1">monday_model.lp!$IG$2</definedName>
    <definedName name="Variable_lease_Mon_00239_Type" localSheetId="0" hidden="1">monday_model.lp!$IG$1782</definedName>
    <definedName name="Variable_lease_Mon_00240" localSheetId="0" hidden="1">monday_model.lp!$IH$2</definedName>
    <definedName name="Variable_lease_Mon_00240_Type" localSheetId="0" hidden="1">monday_model.lp!$IH$1782</definedName>
    <definedName name="Variable_lease_Mon_00241" localSheetId="0" hidden="1">monday_model.lp!$II$2</definedName>
    <definedName name="Variable_lease_Mon_00241_Type" localSheetId="0" hidden="1">monday_model.lp!$II$1782</definedName>
    <definedName name="Variable_lease_Mon_00242" localSheetId="0" hidden="1">monday_model.lp!$IJ$2</definedName>
    <definedName name="Variable_lease_Mon_00242_Type" localSheetId="0" hidden="1">monday_model.lp!$IJ$1782</definedName>
    <definedName name="Variable_lease_Mon_00243" localSheetId="0" hidden="1">monday_model.lp!$IK$2</definedName>
    <definedName name="Variable_lease_Mon_00243_Type" localSheetId="0" hidden="1">monday_model.lp!$IK$1782</definedName>
    <definedName name="Variable_lease_Mon_00244" localSheetId="0" hidden="1">monday_model.lp!$IL$2</definedName>
    <definedName name="Variable_lease_Mon_00244_Type" localSheetId="0" hidden="1">monday_model.lp!$IL$1782</definedName>
    <definedName name="Variable_lease_Mon_00245" localSheetId="0" hidden="1">monday_model.lp!$IM$2</definedName>
    <definedName name="Variable_lease_Mon_00245_Type" localSheetId="0" hidden="1">monday_model.lp!$IM$1782</definedName>
    <definedName name="Variable_lease_Mon_00246" localSheetId="0" hidden="1">monday_model.lp!$IN$2</definedName>
    <definedName name="Variable_lease_Mon_00246_Type" localSheetId="0" hidden="1">monday_model.lp!$IN$1782</definedName>
    <definedName name="Variable_lease_Mon_00247" localSheetId="0" hidden="1">monday_model.lp!$IO$2</definedName>
    <definedName name="Variable_lease_Mon_00247_Type" localSheetId="0" hidden="1">monday_model.lp!$IO$1782</definedName>
    <definedName name="Variable_lease_Mon_00248" localSheetId="0" hidden="1">monday_model.lp!$IP$2</definedName>
    <definedName name="Variable_lease_Mon_00248_Type" localSheetId="0" hidden="1">monday_model.lp!$IP$1782</definedName>
    <definedName name="Variable_lease_Mon_00249" localSheetId="0" hidden="1">monday_model.lp!$IQ$2</definedName>
    <definedName name="Variable_lease_Mon_00249_Type" localSheetId="0" hidden="1">monday_model.lp!$IQ$1782</definedName>
    <definedName name="Variable_lease_Mon_00250" localSheetId="0" hidden="1">monday_model.lp!$IR$2</definedName>
    <definedName name="Variable_lease_Mon_00250_Type" localSheetId="0" hidden="1">monday_model.lp!$IR$1782</definedName>
    <definedName name="Variable_lease_Mon_00251" localSheetId="0" hidden="1">monday_model.lp!$IS$2</definedName>
    <definedName name="Variable_lease_Mon_00251_Type" localSheetId="0" hidden="1">monday_model.lp!$IS$1782</definedName>
    <definedName name="Variable_lease_Mon_00252" localSheetId="0" hidden="1">monday_model.lp!$IT$2</definedName>
    <definedName name="Variable_lease_Mon_00252_Type" localSheetId="0" hidden="1">monday_model.lp!$IT$1782</definedName>
    <definedName name="Variable_lease_Mon_00253" localSheetId="0" hidden="1">monday_model.lp!$IU$2</definedName>
    <definedName name="Variable_lease_Mon_00253_Type" localSheetId="0" hidden="1">monday_model.lp!$IU$1782</definedName>
    <definedName name="Variable_lease_Mon_00254" localSheetId="0" hidden="1">monday_model.lp!$IV$2</definedName>
    <definedName name="Variable_lease_Mon_00254_Type" localSheetId="0" hidden="1">monday_model.lp!$IV$1782</definedName>
    <definedName name="Variable_lease_Mon_00255" localSheetId="0" hidden="1">monday_model.lp!$IW$2</definedName>
    <definedName name="Variable_lease_Mon_00255_Type" localSheetId="0" hidden="1">monday_model.lp!$IW$1782</definedName>
    <definedName name="Variable_lease_Mon_00256" localSheetId="0" hidden="1">monday_model.lp!$IX$2</definedName>
    <definedName name="Variable_lease_Mon_00256_Type" localSheetId="0" hidden="1">monday_model.lp!$IX$1782</definedName>
    <definedName name="Variable_lease_Mon_00257" localSheetId="0" hidden="1">monday_model.lp!$IY$2</definedName>
    <definedName name="Variable_lease_Mon_00257_Type" localSheetId="0" hidden="1">monday_model.lp!$IY$1782</definedName>
    <definedName name="Variable_lease_Mon_00258" localSheetId="0" hidden="1">monday_model.lp!$IZ$2</definedName>
    <definedName name="Variable_lease_Mon_00258_Type" localSheetId="0" hidden="1">monday_model.lp!$IZ$1782</definedName>
    <definedName name="Variable_lease_Mon_00259" localSheetId="0" hidden="1">monday_model.lp!$JA$2</definedName>
    <definedName name="Variable_lease_Mon_00259_Type" localSheetId="0" hidden="1">monday_model.lp!$JA$1782</definedName>
    <definedName name="Variable_lease_Mon_00260" localSheetId="0" hidden="1">monday_model.lp!$JB$2</definedName>
    <definedName name="Variable_lease_Mon_00260_Type" localSheetId="0" hidden="1">monday_model.lp!$JB$1782</definedName>
    <definedName name="Variable_lease_Mon_00261" localSheetId="0" hidden="1">monday_model.lp!$JC$2</definedName>
    <definedName name="Variable_lease_Mon_00261_Type" localSheetId="0" hidden="1">monday_model.lp!$JC$1782</definedName>
    <definedName name="Variable_lease_Mon_00262" localSheetId="0" hidden="1">monday_model.lp!$JD$2</definedName>
    <definedName name="Variable_lease_Mon_00262_Type" localSheetId="0" hidden="1">monday_model.lp!$JD$1782</definedName>
    <definedName name="Variable_lease_Mon_00263" localSheetId="0" hidden="1">monday_model.lp!$JE$2</definedName>
    <definedName name="Variable_lease_Mon_00263_Type" localSheetId="0" hidden="1">monday_model.lp!$JE$1782</definedName>
    <definedName name="Variable_lease_Mon_00264" localSheetId="0" hidden="1">monday_model.lp!$JF$2</definedName>
    <definedName name="Variable_lease_Mon_00264_Type" localSheetId="0" hidden="1">monday_model.lp!$JF$1782</definedName>
    <definedName name="Variable_lease_Mon_00265" localSheetId="0" hidden="1">monday_model.lp!$JG$2</definedName>
    <definedName name="Variable_lease_Mon_00265_Type" localSheetId="0" hidden="1">monday_model.lp!$JG$1782</definedName>
    <definedName name="Variable_lease_Mon_00266" localSheetId="0" hidden="1">monday_model.lp!$JH$2</definedName>
    <definedName name="Variable_lease_Mon_00266_Type" localSheetId="0" hidden="1">monday_model.lp!$JH$1782</definedName>
    <definedName name="Variable_lease_Mon_00267" localSheetId="0" hidden="1">monday_model.lp!$JI$2</definedName>
    <definedName name="Variable_lease_Mon_00267_Type" localSheetId="0" hidden="1">monday_model.lp!$JI$1782</definedName>
    <definedName name="Variable_lease_Mon_00268" localSheetId="0" hidden="1">monday_model.lp!$JJ$2</definedName>
    <definedName name="Variable_lease_Mon_00268_Type" localSheetId="0" hidden="1">monday_model.lp!$JJ$1782</definedName>
    <definedName name="Variable_lease_Mon_00269" localSheetId="0" hidden="1">monday_model.lp!$JK$2</definedName>
    <definedName name="Variable_lease_Mon_00269_Type" localSheetId="0" hidden="1">monday_model.lp!$JK$1782</definedName>
    <definedName name="Variable_lease_Mon_00270" localSheetId="0" hidden="1">monday_model.lp!$JL$2</definedName>
    <definedName name="Variable_lease_Mon_00270_Type" localSheetId="0" hidden="1">monday_model.lp!$JL$1782</definedName>
    <definedName name="Variable_lease_Mon_00271" localSheetId="0" hidden="1">monday_model.lp!$JM$2</definedName>
    <definedName name="Variable_lease_Mon_00271_Type" localSheetId="0" hidden="1">monday_model.lp!$JM$1782</definedName>
    <definedName name="Variable_lease_Mon_00272" localSheetId="0" hidden="1">monday_model.lp!$JN$2</definedName>
    <definedName name="Variable_lease_Mon_00272_Type" localSheetId="0" hidden="1">monday_model.lp!$JN$1782</definedName>
    <definedName name="Variable_lease_Mon_00273" localSheetId="0" hidden="1">monday_model.lp!$JO$2</definedName>
    <definedName name="Variable_lease_Mon_00273_Type" localSheetId="0" hidden="1">monday_model.lp!$JO$1782</definedName>
    <definedName name="Variable_lease_Mon_00274" localSheetId="0" hidden="1">monday_model.lp!$JP$2</definedName>
    <definedName name="Variable_lease_Mon_00274_Type" localSheetId="0" hidden="1">monday_model.lp!$JP$1782</definedName>
    <definedName name="Variable_lease_Mon_00275" localSheetId="0" hidden="1">monday_model.lp!$JQ$2</definedName>
    <definedName name="Variable_lease_Mon_00275_Type" localSheetId="0" hidden="1">monday_model.lp!$JQ$1782</definedName>
    <definedName name="Variable_lease_Mon_00276" localSheetId="0" hidden="1">monday_model.lp!$JR$2</definedName>
    <definedName name="Variable_lease_Mon_00276_Type" localSheetId="0" hidden="1">monday_model.lp!$JR$1782</definedName>
    <definedName name="Variable_lease_Mon_00277" localSheetId="0" hidden="1">monday_model.lp!$JS$2</definedName>
    <definedName name="Variable_lease_Mon_00277_Type" localSheetId="0" hidden="1">monday_model.lp!$JS$1782</definedName>
    <definedName name="Variable_lease_Mon_00278" localSheetId="0" hidden="1">monday_model.lp!$JT$2</definedName>
    <definedName name="Variable_lease_Mon_00278_Type" localSheetId="0" hidden="1">monday_model.lp!$JT$1782</definedName>
    <definedName name="Variable_lease_Mon_00279" localSheetId="0" hidden="1">monday_model.lp!$JU$2</definedName>
    <definedName name="Variable_lease_Mon_00279_Type" localSheetId="0" hidden="1">monday_model.lp!$JU$1782</definedName>
    <definedName name="Variable_lease_Mon_00280" localSheetId="0" hidden="1">monday_model.lp!$JV$2</definedName>
    <definedName name="Variable_lease_Mon_00280_Type" localSheetId="0" hidden="1">monday_model.lp!$JV$1782</definedName>
    <definedName name="Variable_lease_Mon_00281" localSheetId="0" hidden="1">monday_model.lp!$JW$2</definedName>
    <definedName name="Variable_lease_Mon_00281_Type" localSheetId="0" hidden="1">monday_model.lp!$JW$1782</definedName>
    <definedName name="Variable_lease_Mon_00282" localSheetId="0" hidden="1">monday_model.lp!$JX$2</definedName>
    <definedName name="Variable_lease_Mon_00282_Type" localSheetId="0" hidden="1">monday_model.lp!$JX$1782</definedName>
    <definedName name="Variable_lease_Mon_00283" localSheetId="0" hidden="1">monday_model.lp!$JY$2</definedName>
    <definedName name="Variable_lease_Mon_00283_Type" localSheetId="0" hidden="1">monday_model.lp!$JY$1782</definedName>
    <definedName name="Variable_lease_Mon_00284" localSheetId="0" hidden="1">monday_model.lp!$JZ$2</definedName>
    <definedName name="Variable_lease_Mon_00284_Type" localSheetId="0" hidden="1">monday_model.lp!$JZ$1782</definedName>
    <definedName name="Variable_lease_Mon_00285" localSheetId="0" hidden="1">monday_model.lp!$KA$2</definedName>
    <definedName name="Variable_lease_Mon_00285_Type" localSheetId="0" hidden="1">monday_model.lp!$KA$1782</definedName>
    <definedName name="Variable_lease_Mon_00286" localSheetId="0" hidden="1">monday_model.lp!$KB$2</definedName>
    <definedName name="Variable_lease_Mon_00286_Type" localSheetId="0" hidden="1">monday_model.lp!$KB$1782</definedName>
    <definedName name="Variable_lease_Mon_00287" localSheetId="0" hidden="1">monday_model.lp!$KC$2</definedName>
    <definedName name="Variable_lease_Mon_00287_Type" localSheetId="0" hidden="1">monday_model.lp!$KC$1782</definedName>
    <definedName name="Variable_lease_Mon_00288" localSheetId="0" hidden="1">monday_model.lp!$KD$2</definedName>
    <definedName name="Variable_lease_Mon_00288_Type" localSheetId="0" hidden="1">monday_model.lp!$KD$1782</definedName>
    <definedName name="Variable_lease_Mon_00289" localSheetId="0" hidden="1">monday_model.lp!$KE$2</definedName>
    <definedName name="Variable_lease_Mon_00289_Type" localSheetId="0" hidden="1">monday_model.lp!$KE$1782</definedName>
    <definedName name="Variable_lease_Mon_00290" localSheetId="0" hidden="1">monday_model.lp!$KF$2</definedName>
    <definedName name="Variable_lease_Mon_00290_Type" localSheetId="0" hidden="1">monday_model.lp!$KF$1782</definedName>
    <definedName name="Variable_lease_Mon_00291" localSheetId="0" hidden="1">monday_model.lp!$KG$2</definedName>
    <definedName name="Variable_lease_Mon_00291_Type" localSheetId="0" hidden="1">monday_model.lp!$KG$1782</definedName>
    <definedName name="Variable_lease_Mon_00292" localSheetId="0" hidden="1">monday_model.lp!$KH$2</definedName>
    <definedName name="Variable_lease_Mon_00292_Type" localSheetId="0" hidden="1">monday_model.lp!$KH$1782</definedName>
    <definedName name="Variable_lease_Mon_00293" localSheetId="0" hidden="1">monday_model.lp!$KI$2</definedName>
    <definedName name="Variable_lease_Mon_00293_Type" localSheetId="0" hidden="1">monday_model.lp!$KI$1782</definedName>
    <definedName name="Variable_lease_Mon_00294" localSheetId="0" hidden="1">monday_model.lp!$KJ$2</definedName>
    <definedName name="Variable_lease_Mon_00294_Type" localSheetId="0" hidden="1">monday_model.lp!$KJ$1782</definedName>
    <definedName name="Variable_lease_Mon_00295" localSheetId="0" hidden="1">monday_model.lp!$KK$2</definedName>
    <definedName name="Variable_lease_Mon_00295_Type" localSheetId="0" hidden="1">monday_model.lp!$KK$1782</definedName>
    <definedName name="Variable_lease_Mon_00296" localSheetId="0" hidden="1">monday_model.lp!$KL$2</definedName>
    <definedName name="Variable_lease_Mon_00296_Type" localSheetId="0" hidden="1">monday_model.lp!$KL$1782</definedName>
    <definedName name="Variable_lease_Mon_00297" localSheetId="0" hidden="1">monday_model.lp!$KM$2</definedName>
    <definedName name="Variable_lease_Mon_00297_Type" localSheetId="0" hidden="1">monday_model.lp!$KM$1782</definedName>
    <definedName name="Variable_lease_Mon_00298" localSheetId="0" hidden="1">monday_model.lp!$KN$2</definedName>
    <definedName name="Variable_lease_Mon_00298_Type" localSheetId="0" hidden="1">monday_model.lp!$KN$1782</definedName>
    <definedName name="Variable_lease_Mon_00299" localSheetId="0" hidden="1">monday_model.lp!$KO$2</definedName>
    <definedName name="Variable_lease_Mon_00299_Type" localSheetId="0" hidden="1">monday_model.lp!$KO$1782</definedName>
    <definedName name="Variable_lease_Mon_00300" localSheetId="0" hidden="1">monday_model.lp!$KP$2</definedName>
    <definedName name="Variable_lease_Mon_00300_Type" localSheetId="0" hidden="1">monday_model.lp!$KP$1782</definedName>
    <definedName name="Variable_lease_Mon_00301" localSheetId="0" hidden="1">monday_model.lp!$KQ$2</definedName>
    <definedName name="Variable_lease_Mon_00301_Type" localSheetId="0" hidden="1">monday_model.lp!$KQ$1782</definedName>
    <definedName name="Variable_lease_Mon_00302" localSheetId="0" hidden="1">monday_model.lp!$KR$2</definedName>
    <definedName name="Variable_lease_Mon_00302_Type" localSheetId="0" hidden="1">monday_model.lp!$KR$1782</definedName>
    <definedName name="Variable_lease_Mon_00303" localSheetId="0" hidden="1">monday_model.lp!$KS$2</definedName>
    <definedName name="Variable_lease_Mon_00303_Type" localSheetId="0" hidden="1">monday_model.lp!$KS$1782</definedName>
    <definedName name="Variable_lease_Mon_00304" localSheetId="0" hidden="1">monday_model.lp!$KT$2</definedName>
    <definedName name="Variable_lease_Mon_00304_Type" localSheetId="0" hidden="1">monday_model.lp!$KT$1782</definedName>
    <definedName name="Variable_lease_Mon_00305" localSheetId="0" hidden="1">monday_model.lp!$KU$2</definedName>
    <definedName name="Variable_lease_Mon_00305_Type" localSheetId="0" hidden="1">monday_model.lp!$KU$1782</definedName>
    <definedName name="Variable_lease_Mon_00306" localSheetId="0" hidden="1">monday_model.lp!$KV$2</definedName>
    <definedName name="Variable_lease_Mon_00306_Type" localSheetId="0" hidden="1">monday_model.lp!$KV$1782</definedName>
    <definedName name="Variable_lease_Mon_00307" localSheetId="0" hidden="1">monday_model.lp!$KW$2</definedName>
    <definedName name="Variable_lease_Mon_00307_Type" localSheetId="0" hidden="1">monday_model.lp!$KW$1782</definedName>
    <definedName name="Variable_lease_Mon_00308" localSheetId="0" hidden="1">monday_model.lp!$KX$2</definedName>
    <definedName name="Variable_lease_Mon_00308_Type" localSheetId="0" hidden="1">monday_model.lp!$KX$1782</definedName>
    <definedName name="Variable_lease_Mon_00309" localSheetId="0" hidden="1">monday_model.lp!$KY$2</definedName>
    <definedName name="Variable_lease_Mon_00309_Type" localSheetId="0" hidden="1">monday_model.lp!$KY$1782</definedName>
    <definedName name="Variable_lease_Mon_00310" localSheetId="0" hidden="1">monday_model.lp!$KZ$2</definedName>
    <definedName name="Variable_lease_Mon_00310_Type" localSheetId="0" hidden="1">monday_model.lp!$KZ$1782</definedName>
    <definedName name="Variable_lease_Mon_00311" localSheetId="0" hidden="1">monday_model.lp!$LA$2</definedName>
    <definedName name="Variable_lease_Mon_00311_Type" localSheetId="0" hidden="1">monday_model.lp!$LA$1782</definedName>
    <definedName name="Variable_lease_Mon_00312" localSheetId="0" hidden="1">monday_model.lp!$LB$2</definedName>
    <definedName name="Variable_lease_Mon_00312_Type" localSheetId="0" hidden="1">monday_model.lp!$LB$1782</definedName>
    <definedName name="Variable_lease_Mon_00313" localSheetId="0" hidden="1">monday_model.lp!$LC$2</definedName>
    <definedName name="Variable_lease_Mon_00313_Type" localSheetId="0" hidden="1">monday_model.lp!$LC$1782</definedName>
    <definedName name="Variable_lease_Mon_00314" localSheetId="0" hidden="1">monday_model.lp!$LD$2</definedName>
    <definedName name="Variable_lease_Mon_00314_Type" localSheetId="0" hidden="1">monday_model.lp!$LD$1782</definedName>
    <definedName name="Variable_lease_Mon_00315" localSheetId="0" hidden="1">monday_model.lp!$LE$2</definedName>
    <definedName name="Variable_lease_Mon_00315_Type" localSheetId="0" hidden="1">monday_model.lp!$LE$1782</definedName>
    <definedName name="Variable_lease_Mon_00316" localSheetId="0" hidden="1">monday_model.lp!$LF$2</definedName>
    <definedName name="Variable_lease_Mon_00316_Type" localSheetId="0" hidden="1">monday_model.lp!$LF$1782</definedName>
    <definedName name="Variable_lease_Mon_00317" localSheetId="0" hidden="1">monday_model.lp!$LG$2</definedName>
    <definedName name="Variable_lease_Mon_00317_Type" localSheetId="0" hidden="1">monday_model.lp!$LG$1782</definedName>
    <definedName name="Variable_lease_Mon_00318" localSheetId="0" hidden="1">monday_model.lp!$LH$2</definedName>
    <definedName name="Variable_lease_Mon_00318_Type" localSheetId="0" hidden="1">monday_model.lp!$LH$1782</definedName>
    <definedName name="Variable_lease_Mon_00319" localSheetId="0" hidden="1">monday_model.lp!$LI$2</definedName>
    <definedName name="Variable_lease_Mon_00319_Type" localSheetId="0" hidden="1">monday_model.lp!$LI$1782</definedName>
    <definedName name="Variable_lease_Mon_00320" localSheetId="0" hidden="1">monday_model.lp!$LJ$2</definedName>
    <definedName name="Variable_lease_Mon_00320_Type" localSheetId="0" hidden="1">monday_model.lp!$LJ$1782</definedName>
    <definedName name="Variable_lease_Mon_00321" localSheetId="0" hidden="1">monday_model.lp!$LK$2</definedName>
    <definedName name="Variable_lease_Mon_00321_Type" localSheetId="0" hidden="1">monday_model.lp!$LK$1782</definedName>
    <definedName name="Variable_lease_Mon_00322" localSheetId="0" hidden="1">monday_model.lp!$LL$2</definedName>
    <definedName name="Variable_lease_Mon_00322_Type" localSheetId="0" hidden="1">monday_model.lp!$LL$1782</definedName>
    <definedName name="Variable_lease_Mon_00323" localSheetId="0" hidden="1">monday_model.lp!$LM$2</definedName>
    <definedName name="Variable_lease_Mon_00323_Type" localSheetId="0" hidden="1">monday_model.lp!$LM$1782</definedName>
    <definedName name="Variable_lease_Mon_00324" localSheetId="0" hidden="1">monday_model.lp!$LN$2</definedName>
    <definedName name="Variable_lease_Mon_00324_Type" localSheetId="0" hidden="1">monday_model.lp!$LN$1782</definedName>
    <definedName name="Variable_lease_Mon_00325" localSheetId="0" hidden="1">monday_model.lp!$LO$2</definedName>
    <definedName name="Variable_lease_Mon_00325_Type" localSheetId="0" hidden="1">monday_model.lp!$LO$1782</definedName>
    <definedName name="Variable_lease_Mon_00326" localSheetId="0" hidden="1">monday_model.lp!$LP$2</definedName>
    <definedName name="Variable_lease_Mon_00326_Type" localSheetId="0" hidden="1">monday_model.lp!$LP$1782</definedName>
    <definedName name="Variable_lease_Mon_00327" localSheetId="0" hidden="1">monday_model.lp!$LQ$2</definedName>
    <definedName name="Variable_lease_Mon_00327_Type" localSheetId="0" hidden="1">monday_model.lp!$LQ$1782</definedName>
    <definedName name="Variable_lease_Mon_00328" localSheetId="0" hidden="1">monday_model.lp!$LR$2</definedName>
    <definedName name="Variable_lease_Mon_00328_Type" localSheetId="0" hidden="1">monday_model.lp!$LR$1782</definedName>
    <definedName name="Variable_lease_Mon_00329" localSheetId="0" hidden="1">monday_model.lp!$LS$2</definedName>
    <definedName name="Variable_lease_Mon_00329_Type" localSheetId="0" hidden="1">monday_model.lp!$LS$1782</definedName>
    <definedName name="Variable_lease_Mon_00330" localSheetId="0" hidden="1">monday_model.lp!$LT$2</definedName>
    <definedName name="Variable_lease_Mon_00330_Type" localSheetId="0" hidden="1">monday_model.lp!$LT$1782</definedName>
    <definedName name="Variable_lease_Mon_00331" localSheetId="0" hidden="1">monday_model.lp!$LU$2</definedName>
    <definedName name="Variable_lease_Mon_00331_Type" localSheetId="0" hidden="1">monday_model.lp!$LU$1782</definedName>
    <definedName name="Variable_lease_Mon_00332" localSheetId="0" hidden="1">monday_model.lp!$LV$2</definedName>
    <definedName name="Variable_lease_Mon_00332_Type" localSheetId="0" hidden="1">monday_model.lp!$LV$1782</definedName>
    <definedName name="Variable_lease_Mon_00333" localSheetId="0" hidden="1">monday_model.lp!$LW$2</definedName>
    <definedName name="Variable_lease_Mon_00333_Type" localSheetId="0" hidden="1">monday_model.lp!$LW$1782</definedName>
    <definedName name="Variable_lease_Mon_00334" localSheetId="0" hidden="1">monday_model.lp!$LX$2</definedName>
    <definedName name="Variable_lease_Mon_00334_Type" localSheetId="0" hidden="1">monday_model.lp!$LX$1782</definedName>
    <definedName name="Variable_lease_Mon_00335" localSheetId="0" hidden="1">monday_model.lp!$LY$2</definedName>
    <definedName name="Variable_lease_Mon_00335_Type" localSheetId="0" hidden="1">monday_model.lp!$LY$1782</definedName>
    <definedName name="Variable_lease_Mon_00336" localSheetId="0" hidden="1">monday_model.lp!$LZ$2</definedName>
    <definedName name="Variable_lease_Mon_00336_Type" localSheetId="0" hidden="1">monday_model.lp!$LZ$1782</definedName>
    <definedName name="Variable_lease_Mon_00337" localSheetId="0" hidden="1">monday_model.lp!$MA$2</definedName>
    <definedName name="Variable_lease_Mon_00337_Type" localSheetId="0" hidden="1">monday_model.lp!$MA$1782</definedName>
    <definedName name="Variable_lease_Mon_00338" localSheetId="0" hidden="1">monday_model.lp!$MB$2</definedName>
    <definedName name="Variable_lease_Mon_00338_Type" localSheetId="0" hidden="1">monday_model.lp!$MB$1782</definedName>
    <definedName name="Variable_lease_Mon_00339" localSheetId="0" hidden="1">monday_model.lp!$MC$2</definedName>
    <definedName name="Variable_lease_Mon_00339_Type" localSheetId="0" hidden="1">monday_model.lp!$MC$1782</definedName>
    <definedName name="Variable_lease_Mon_00340" localSheetId="0" hidden="1">monday_model.lp!$MD$2</definedName>
    <definedName name="Variable_lease_Mon_00340_Type" localSheetId="0" hidden="1">monday_model.lp!$MD$1782</definedName>
    <definedName name="Variable_lease_Mon_00341" localSheetId="0" hidden="1">monday_model.lp!$ME$2</definedName>
    <definedName name="Variable_lease_Mon_00341_Type" localSheetId="0" hidden="1">monday_model.lp!$ME$1782</definedName>
    <definedName name="Variable_lease_Mon_00342" localSheetId="0" hidden="1">monday_model.lp!$MF$2</definedName>
    <definedName name="Variable_lease_Mon_00342_Type" localSheetId="0" hidden="1">monday_model.lp!$MF$1782</definedName>
    <definedName name="Variable_lease_Mon_00343" localSheetId="0" hidden="1">monday_model.lp!$MG$2</definedName>
    <definedName name="Variable_lease_Mon_00343_Type" localSheetId="0" hidden="1">monday_model.lp!$MG$1782</definedName>
    <definedName name="Variable_lease_Mon_00344" localSheetId="0" hidden="1">monday_model.lp!$MH$2</definedName>
    <definedName name="Variable_lease_Mon_00344_Type" localSheetId="0" hidden="1">monday_model.lp!$MH$1782</definedName>
    <definedName name="Variable_lease_Mon_00345" localSheetId="0" hidden="1">monday_model.lp!$MI$2</definedName>
    <definedName name="Variable_lease_Mon_00345_Type" localSheetId="0" hidden="1">monday_model.lp!$MI$1782</definedName>
    <definedName name="Variable_lease_Mon_00346" localSheetId="0" hidden="1">monday_model.lp!$MJ$2</definedName>
    <definedName name="Variable_lease_Mon_00346_Type" localSheetId="0" hidden="1">monday_model.lp!$MJ$1782</definedName>
    <definedName name="Variable_lease_Mon_00347" localSheetId="0" hidden="1">monday_model.lp!$MK$2</definedName>
    <definedName name="Variable_lease_Mon_00347_Type" localSheetId="0" hidden="1">monday_model.lp!$MK$1782</definedName>
    <definedName name="Variable_lease_Mon_00348" localSheetId="0" hidden="1">monday_model.lp!$ML$2</definedName>
    <definedName name="Variable_lease_Mon_00348_Type" localSheetId="0" hidden="1">monday_model.lp!$ML$1782</definedName>
    <definedName name="Variable_lease_Mon_00349" localSheetId="0" hidden="1">monday_model.lp!$MM$2</definedName>
    <definedName name="Variable_lease_Mon_00349_Type" localSheetId="0" hidden="1">monday_model.lp!$MM$1782</definedName>
    <definedName name="Variable_lease_Mon_00350" localSheetId="0" hidden="1">monday_model.lp!$MN$2</definedName>
    <definedName name="Variable_lease_Mon_00350_Type" localSheetId="0" hidden="1">monday_model.lp!$MN$1782</definedName>
    <definedName name="Variable_lease_Mon_00351" localSheetId="0" hidden="1">monday_model.lp!$MO$2</definedName>
    <definedName name="Variable_lease_Mon_00351_Type" localSheetId="0" hidden="1">monday_model.lp!$MO$1782</definedName>
    <definedName name="Variable_lease_Mon_00352" localSheetId="0" hidden="1">monday_model.lp!$MP$2</definedName>
    <definedName name="Variable_lease_Mon_00352_Type" localSheetId="0" hidden="1">monday_model.lp!$MP$1782</definedName>
    <definedName name="Variable_lease_Mon_00353" localSheetId="0" hidden="1">monday_model.lp!$MQ$2</definedName>
    <definedName name="Variable_lease_Mon_00353_Type" localSheetId="0" hidden="1">monday_model.lp!$MQ$1782</definedName>
    <definedName name="Variable_lease_Mon_00354" localSheetId="0" hidden="1">monday_model.lp!$MR$2</definedName>
    <definedName name="Variable_lease_Mon_00354_Type" localSheetId="0" hidden="1">monday_model.lp!$MR$1782</definedName>
    <definedName name="Variable_lease_Mon_00355" localSheetId="0" hidden="1">monday_model.lp!$MS$2</definedName>
    <definedName name="Variable_lease_Mon_00355_Type" localSheetId="0" hidden="1">monday_model.lp!$MS$1782</definedName>
    <definedName name="Variable_lease_Mon_00356" localSheetId="0" hidden="1">monday_model.lp!$MT$2</definedName>
    <definedName name="Variable_lease_Mon_00356_Type" localSheetId="0" hidden="1">monday_model.lp!$MT$1782</definedName>
    <definedName name="Variable_lease_Mon_00357" localSheetId="0" hidden="1">monday_model.lp!$MU$2</definedName>
    <definedName name="Variable_lease_Mon_00357_Type" localSheetId="0" hidden="1">monday_model.lp!$MU$1782</definedName>
    <definedName name="Variable_lease_Mon_00358" localSheetId="0" hidden="1">monday_model.lp!$MV$2</definedName>
    <definedName name="Variable_lease_Mon_00358_Type" localSheetId="0" hidden="1">monday_model.lp!$MV$1782</definedName>
    <definedName name="Variable_lease_Mon_00359" localSheetId="0" hidden="1">monday_model.lp!$MW$2</definedName>
    <definedName name="Variable_lease_Mon_00359_Type" localSheetId="0" hidden="1">monday_model.lp!$MW$1782</definedName>
    <definedName name="Variable_lease_Mon_00360" localSheetId="0" hidden="1">monday_model.lp!$MX$2</definedName>
    <definedName name="Variable_lease_Mon_00360_Type" localSheetId="0" hidden="1">monday_model.lp!$MX$1782</definedName>
    <definedName name="Variable_lease_Mon_00361" localSheetId="0" hidden="1">monday_model.lp!$MY$2</definedName>
    <definedName name="Variable_lease_Mon_00361_Type" localSheetId="0" hidden="1">monday_model.lp!$MY$1782</definedName>
    <definedName name="Variable_lease_Mon_00362" localSheetId="0" hidden="1">monday_model.lp!$MZ$2</definedName>
    <definedName name="Variable_lease_Mon_00362_Type" localSheetId="0" hidden="1">monday_model.lp!$MZ$1782</definedName>
    <definedName name="Variable_lease_Mon_00363" localSheetId="0" hidden="1">monday_model.lp!$NA$2</definedName>
    <definedName name="Variable_lease_Mon_00363_Type" localSheetId="0" hidden="1">monday_model.lp!$NA$1782</definedName>
    <definedName name="Variable_lease_Mon_00364" localSheetId="0" hidden="1">monday_model.lp!$NB$2</definedName>
    <definedName name="Variable_lease_Mon_00364_Type" localSheetId="0" hidden="1">monday_model.lp!$NB$1782</definedName>
    <definedName name="Variable_lease_Mon_00365" localSheetId="0" hidden="1">monday_model.lp!$NC$2</definedName>
    <definedName name="Variable_lease_Mon_00365_Type" localSheetId="0" hidden="1">monday_model.lp!$NC$1782</definedName>
    <definedName name="Variable_lease_Mon_00366" localSheetId="0" hidden="1">monday_model.lp!$ND$2</definedName>
    <definedName name="Variable_lease_Mon_00366_Type" localSheetId="0" hidden="1">monday_model.lp!$ND$1782</definedName>
    <definedName name="Variable_lease_Mon_00367" localSheetId="0" hidden="1">monday_model.lp!$NE$2</definedName>
    <definedName name="Variable_lease_Mon_00367_Type" localSheetId="0" hidden="1">monday_model.lp!$NE$1782</definedName>
    <definedName name="Variable_lease_Mon_00368" localSheetId="0" hidden="1">monday_model.lp!$NF$2</definedName>
    <definedName name="Variable_lease_Mon_00368_Type" localSheetId="0" hidden="1">monday_model.lp!$NF$1782</definedName>
    <definedName name="Variable_lease_Mon_00369" localSheetId="0" hidden="1">monday_model.lp!$NG$2</definedName>
    <definedName name="Variable_lease_Mon_00369_Type" localSheetId="0" hidden="1">monday_model.lp!$NG$1782</definedName>
    <definedName name="Variable_lease_Mon_00370" localSheetId="0" hidden="1">monday_model.lp!$NH$2</definedName>
    <definedName name="Variable_lease_Mon_00370_Type" localSheetId="0" hidden="1">monday_model.lp!$NH$1782</definedName>
    <definedName name="Variable_lease_Mon_00371" localSheetId="0" hidden="1">monday_model.lp!$NI$2</definedName>
    <definedName name="Variable_lease_Mon_00371_Type" localSheetId="0" hidden="1">monday_model.lp!$NI$1782</definedName>
    <definedName name="Variable_lease_Mon_00372" localSheetId="0" hidden="1">monday_model.lp!$NJ$2</definedName>
    <definedName name="Variable_lease_Mon_00372_Type" localSheetId="0" hidden="1">monday_model.lp!$NJ$1782</definedName>
    <definedName name="Variable_lease_Mon_00373" localSheetId="0" hidden="1">monday_model.lp!$NK$2</definedName>
    <definedName name="Variable_lease_Mon_00373_Type" localSheetId="0" hidden="1">monday_model.lp!$NK$1782</definedName>
    <definedName name="Variable_lease_Mon_00374" localSheetId="0" hidden="1">monday_model.lp!$NL$2</definedName>
    <definedName name="Variable_lease_Mon_00374_Type" localSheetId="0" hidden="1">monday_model.lp!$NL$1782</definedName>
    <definedName name="Variable_lease_Mon_00375" localSheetId="0" hidden="1">monday_model.lp!$NM$2</definedName>
    <definedName name="Variable_lease_Mon_00375_Type" localSheetId="0" hidden="1">monday_model.lp!$NM$1782</definedName>
    <definedName name="Variable_lease_Mon_00376" localSheetId="0" hidden="1">monday_model.lp!$NN$2</definedName>
    <definedName name="Variable_lease_Mon_00376_Type" localSheetId="0" hidden="1">monday_model.lp!$NN$1782</definedName>
    <definedName name="Variable_lease_Mon_00377" localSheetId="0" hidden="1">monday_model.lp!$NO$2</definedName>
    <definedName name="Variable_lease_Mon_00377_Type" localSheetId="0" hidden="1">monday_model.lp!$NO$1782</definedName>
    <definedName name="Variable_lease_Mon_00378" localSheetId="0" hidden="1">monday_model.lp!$NP$2</definedName>
    <definedName name="Variable_lease_Mon_00378_Type" localSheetId="0" hidden="1">monday_model.lp!$NP$1782</definedName>
    <definedName name="Variable_lease_Mon_00379" localSheetId="0" hidden="1">monday_model.lp!$NQ$2</definedName>
    <definedName name="Variable_lease_Mon_00379_Type" localSheetId="0" hidden="1">monday_model.lp!$NQ$1782</definedName>
    <definedName name="Variable_lease_Mon_00380" localSheetId="0" hidden="1">monday_model.lp!$NR$2</definedName>
    <definedName name="Variable_lease_Mon_00380_Type" localSheetId="0" hidden="1">monday_model.lp!$NR$1782</definedName>
    <definedName name="Variable_lease_Mon_00381" localSheetId="0" hidden="1">monday_model.lp!$NS$2</definedName>
    <definedName name="Variable_lease_Mon_00381_Type" localSheetId="0" hidden="1">monday_model.lp!$NS$1782</definedName>
    <definedName name="Variable_lease_Mon_00382" localSheetId="0" hidden="1">monday_model.lp!$NT$2</definedName>
    <definedName name="Variable_lease_Mon_00382_Type" localSheetId="0" hidden="1">monday_model.lp!$NT$1782</definedName>
    <definedName name="Variable_lease_Mon_00383" localSheetId="0" hidden="1">monday_model.lp!$NU$2</definedName>
    <definedName name="Variable_lease_Mon_00383_Type" localSheetId="0" hidden="1">monday_model.lp!$NU$1782</definedName>
    <definedName name="Variable_lease_Mon_00384" localSheetId="0" hidden="1">monday_model.lp!$NV$2</definedName>
    <definedName name="Variable_lease_Mon_00384_Type" localSheetId="0" hidden="1">monday_model.lp!$NV$1782</definedName>
    <definedName name="Variable_lease_Mon_00385" localSheetId="0" hidden="1">monday_model.lp!$NW$2</definedName>
    <definedName name="Variable_lease_Mon_00385_Type" localSheetId="0" hidden="1">monday_model.lp!$NW$1782</definedName>
    <definedName name="Variable_lease_Mon_00386" localSheetId="0" hidden="1">monday_model.lp!$NX$2</definedName>
    <definedName name="Variable_lease_Mon_00386_Type" localSheetId="0" hidden="1">monday_model.lp!$NX$1782</definedName>
    <definedName name="Variable_lease_Mon_00387" localSheetId="0" hidden="1">monday_model.lp!$NY$2</definedName>
    <definedName name="Variable_lease_Mon_00387_Type" localSheetId="0" hidden="1">monday_model.lp!$NY$1782</definedName>
    <definedName name="Variable_lease_Mon_00388" localSheetId="0" hidden="1">monday_model.lp!$NZ$2</definedName>
    <definedName name="Variable_lease_Mon_00388_Type" localSheetId="0" hidden="1">monday_model.lp!$NZ$1782</definedName>
    <definedName name="Variable_lease_Mon_00389" localSheetId="0" hidden="1">monday_model.lp!$OA$2</definedName>
    <definedName name="Variable_lease_Mon_00389_Type" localSheetId="0" hidden="1">monday_model.lp!$OA$1782</definedName>
    <definedName name="Variable_lease_Mon_00390" localSheetId="0" hidden="1">monday_model.lp!$OB$2</definedName>
    <definedName name="Variable_lease_Mon_00390_Type" localSheetId="0" hidden="1">monday_model.lp!$OB$1782</definedName>
    <definedName name="Variable_lease_Mon_00391" localSheetId="0" hidden="1">monday_model.lp!$OC$2</definedName>
    <definedName name="Variable_lease_Mon_00391_Type" localSheetId="0" hidden="1">monday_model.lp!$OC$1782</definedName>
    <definedName name="Variable_lease_Mon_00392" localSheetId="0" hidden="1">monday_model.lp!$OD$2</definedName>
    <definedName name="Variable_lease_Mon_00392_Type" localSheetId="0" hidden="1">monday_model.lp!$OD$1782</definedName>
    <definedName name="Variable_lease_Mon_00393" localSheetId="0" hidden="1">monday_model.lp!$OE$2</definedName>
    <definedName name="Variable_lease_Mon_00393_Type" localSheetId="0" hidden="1">monday_model.lp!$OE$1782</definedName>
    <definedName name="Variable_lease_Mon_00394" localSheetId="0" hidden="1">monday_model.lp!$OF$2</definedName>
    <definedName name="Variable_lease_Mon_00394_Type" localSheetId="0" hidden="1">monday_model.lp!$OF$1782</definedName>
    <definedName name="Variable_lease_Mon_00395" localSheetId="0" hidden="1">monday_model.lp!$OG$2</definedName>
    <definedName name="Variable_lease_Mon_00395_Type" localSheetId="0" hidden="1">monday_model.lp!$OG$1782</definedName>
    <definedName name="Variable_lease_Mon_00396" localSheetId="0" hidden="1">monday_model.lp!$OH$2</definedName>
    <definedName name="Variable_lease_Mon_00396_Type" localSheetId="0" hidden="1">monday_model.lp!$OH$1782</definedName>
    <definedName name="Variable_lease_Mon_00397" localSheetId="0" hidden="1">monday_model.lp!$OI$2</definedName>
    <definedName name="Variable_lease_Mon_00397_Type" localSheetId="0" hidden="1">monday_model.lp!$OI$1782</definedName>
    <definedName name="Variable_lease_Mon_00398" localSheetId="0" hidden="1">monday_model.lp!$OJ$2</definedName>
    <definedName name="Variable_lease_Mon_00398_Type" localSheetId="0" hidden="1">monday_model.lp!$OJ$1782</definedName>
    <definedName name="Variable_lease_Mon_00399" localSheetId="0" hidden="1">monday_model.lp!$OK$2</definedName>
    <definedName name="Variable_lease_Mon_00399_Type" localSheetId="0" hidden="1">monday_model.lp!$OK$1782</definedName>
    <definedName name="Variable_lease_Mon_00400" localSheetId="0" hidden="1">monday_model.lp!$OL$2</definedName>
    <definedName name="Variable_lease_Mon_00400_Type" localSheetId="0" hidden="1">monday_model.lp!$OL$1782</definedName>
    <definedName name="Variable_lease_Mon_00401" localSheetId="0" hidden="1">monday_model.lp!$OM$2</definedName>
    <definedName name="Variable_lease_Mon_00401_Type" localSheetId="0" hidden="1">monday_model.lp!$OM$1782</definedName>
    <definedName name="Variable_lease_Mon_00402" localSheetId="0" hidden="1">monday_model.lp!$ON$2</definedName>
    <definedName name="Variable_lease_Mon_00402_Type" localSheetId="0" hidden="1">monday_model.lp!$ON$1782</definedName>
    <definedName name="Variable_lease_Mon_00403" localSheetId="0" hidden="1">monday_model.lp!$OO$2</definedName>
    <definedName name="Variable_lease_Mon_00403_Type" localSheetId="0" hidden="1">monday_model.lp!$OO$1782</definedName>
    <definedName name="Variable_lease_Mon_00404" localSheetId="0" hidden="1">monday_model.lp!$OP$2</definedName>
    <definedName name="Variable_lease_Mon_00404_Type" localSheetId="0" hidden="1">monday_model.lp!$OP$1782</definedName>
    <definedName name="Variable_lease_Mon_00405" localSheetId="0" hidden="1">monday_model.lp!$OQ$2</definedName>
    <definedName name="Variable_lease_Mon_00405_Type" localSheetId="0" hidden="1">monday_model.lp!$OQ$1782</definedName>
    <definedName name="Variable_lease_Mon_00406" localSheetId="0" hidden="1">monday_model.lp!$OR$2</definedName>
    <definedName name="Variable_lease_Mon_00406_Type" localSheetId="0" hidden="1">monday_model.lp!$OR$1782</definedName>
    <definedName name="Variable_lease_Mon_00407" localSheetId="0" hidden="1">monday_model.lp!$OS$2</definedName>
    <definedName name="Variable_lease_Mon_00407_Type" localSheetId="0" hidden="1">monday_model.lp!$OS$1782</definedName>
    <definedName name="Variable_lease_Mon_00408" localSheetId="0" hidden="1">monday_model.lp!$OT$2</definedName>
    <definedName name="Variable_lease_Mon_00408_Type" localSheetId="0" hidden="1">monday_model.lp!$OT$1782</definedName>
    <definedName name="Variable_lease_Mon_00409" localSheetId="0" hidden="1">monday_model.lp!$OU$2</definedName>
    <definedName name="Variable_lease_Mon_00409_Type" localSheetId="0" hidden="1">monday_model.lp!$OU$1782</definedName>
    <definedName name="Variable_lease_Mon_00410" localSheetId="0" hidden="1">monday_model.lp!$OV$2</definedName>
    <definedName name="Variable_lease_Mon_00410_Type" localSheetId="0" hidden="1">monday_model.lp!$OV$1782</definedName>
    <definedName name="Variable_lease_Mon_00411" localSheetId="0" hidden="1">monday_model.lp!$OW$2</definedName>
    <definedName name="Variable_lease_Mon_00411_Type" localSheetId="0" hidden="1">monday_model.lp!$OW$1782</definedName>
    <definedName name="Variable_lease_Mon_00412" localSheetId="0" hidden="1">monday_model.lp!$OX$2</definedName>
    <definedName name="Variable_lease_Mon_00412_Type" localSheetId="0" hidden="1">monday_model.lp!$OX$1782</definedName>
    <definedName name="Variable_lease_Mon_00413" localSheetId="0" hidden="1">monday_model.lp!$OY$2</definedName>
    <definedName name="Variable_lease_Mon_00413_Type" localSheetId="0" hidden="1">monday_model.lp!$OY$1782</definedName>
    <definedName name="Variable_lease_Mon_00414" localSheetId="0" hidden="1">monday_model.lp!$OZ$2</definedName>
    <definedName name="Variable_lease_Mon_00414_Type" localSheetId="0" hidden="1">monday_model.lp!$OZ$1782</definedName>
    <definedName name="Variable_lease_Mon_00415" localSheetId="0" hidden="1">monday_model.lp!$PA$2</definedName>
    <definedName name="Variable_lease_Mon_00415_Type" localSheetId="0" hidden="1">monday_model.lp!$PA$1782</definedName>
    <definedName name="Variable_lease_Mon_00416" localSheetId="0" hidden="1">monday_model.lp!$PB$2</definedName>
    <definedName name="Variable_lease_Mon_00416_Type" localSheetId="0" hidden="1">monday_model.lp!$PB$1782</definedName>
    <definedName name="Variable_lease_Mon_00417" localSheetId="0" hidden="1">monday_model.lp!$PC$2</definedName>
    <definedName name="Variable_lease_Mon_00417_Type" localSheetId="0" hidden="1">monday_model.lp!$PC$1782</definedName>
    <definedName name="Variable_lease_Mon_00418" localSheetId="0" hidden="1">monday_model.lp!$PD$2</definedName>
    <definedName name="Variable_lease_Mon_00418_Type" localSheetId="0" hidden="1">monday_model.lp!$PD$1782</definedName>
    <definedName name="Variable_lease_Mon_00419" localSheetId="0" hidden="1">monday_model.lp!$PE$2</definedName>
    <definedName name="Variable_lease_Mon_00419_Type" localSheetId="0" hidden="1">monday_model.lp!$PE$1782</definedName>
    <definedName name="Variable_lease_Mon_00420" localSheetId="0" hidden="1">monday_model.lp!$PF$2</definedName>
    <definedName name="Variable_lease_Mon_00420_Type" localSheetId="0" hidden="1">monday_model.lp!$PF$1782</definedName>
    <definedName name="Variable_lease_Mon_00421" localSheetId="0" hidden="1">monday_model.lp!$PG$2</definedName>
    <definedName name="Variable_lease_Mon_00421_Type" localSheetId="0" hidden="1">monday_model.lp!$PG$1782</definedName>
    <definedName name="Variable_lease_Mon_00422" localSheetId="0" hidden="1">monday_model.lp!$PH$2</definedName>
    <definedName name="Variable_lease_Mon_00422_Type" localSheetId="0" hidden="1">monday_model.lp!$PH$1782</definedName>
    <definedName name="Variable_lease_Mon_00423" localSheetId="0" hidden="1">monday_model.lp!$PI$2</definedName>
    <definedName name="Variable_lease_Mon_00423_Type" localSheetId="0" hidden="1">monday_model.lp!$PI$1782</definedName>
    <definedName name="Variable_lease_Mon_00424" localSheetId="0" hidden="1">monday_model.lp!$PJ$2</definedName>
    <definedName name="Variable_lease_Mon_00424_Type" localSheetId="0" hidden="1">monday_model.lp!$PJ$1782</definedName>
    <definedName name="Variable_lease_Mon_00425" localSheetId="0" hidden="1">monday_model.lp!$PK$2</definedName>
    <definedName name="Variable_lease_Mon_00425_Type" localSheetId="0" hidden="1">monday_model.lp!$PK$1782</definedName>
    <definedName name="Variable_lease_Mon_00426" localSheetId="0" hidden="1">monday_model.lp!$PL$2</definedName>
    <definedName name="Variable_lease_Mon_00426_Type" localSheetId="0" hidden="1">monday_model.lp!$PL$1782</definedName>
    <definedName name="Variable_lease_Mon_00427" localSheetId="0" hidden="1">monday_model.lp!$PM$2</definedName>
    <definedName name="Variable_lease_Mon_00427_Type" localSheetId="0" hidden="1">monday_model.lp!$PM$1782</definedName>
    <definedName name="Variable_lease_Mon_00428" localSheetId="0" hidden="1">monday_model.lp!$PN$2</definedName>
    <definedName name="Variable_lease_Mon_00428_Type" localSheetId="0" hidden="1">monday_model.lp!$PN$1782</definedName>
    <definedName name="Variable_lease_Mon_00429" localSheetId="0" hidden="1">monday_model.lp!$PO$2</definedName>
    <definedName name="Variable_lease_Mon_00429_Type" localSheetId="0" hidden="1">monday_model.lp!$PO$1782</definedName>
    <definedName name="Variable_lease_Mon_00430" localSheetId="0" hidden="1">monday_model.lp!$PP$2</definedName>
    <definedName name="Variable_lease_Mon_00430_Type" localSheetId="0" hidden="1">monday_model.lp!$PP$1782</definedName>
    <definedName name="Variable_lease_Mon_00431" localSheetId="0" hidden="1">monday_model.lp!$PQ$2</definedName>
    <definedName name="Variable_lease_Mon_00431_Type" localSheetId="0" hidden="1">monday_model.lp!$PQ$1782</definedName>
    <definedName name="Variable_lease_Mon_00432" localSheetId="0" hidden="1">monday_model.lp!$PR$2</definedName>
    <definedName name="Variable_lease_Mon_00432_Type" localSheetId="0" hidden="1">monday_model.lp!$PR$1782</definedName>
    <definedName name="Variable_lease_Mon_00433" localSheetId="0" hidden="1">monday_model.lp!$PS$2</definedName>
    <definedName name="Variable_lease_Mon_00433_Type" localSheetId="0" hidden="1">monday_model.lp!$PS$1782</definedName>
    <definedName name="Variable_lease_Mon_00434" localSheetId="0" hidden="1">monday_model.lp!$PT$2</definedName>
    <definedName name="Variable_lease_Mon_00434_Type" localSheetId="0" hidden="1">monday_model.lp!$PT$1782</definedName>
    <definedName name="Variable_lease_Mon_00435" localSheetId="0" hidden="1">monday_model.lp!$PU$2</definedName>
    <definedName name="Variable_lease_Mon_00435_Type" localSheetId="0" hidden="1">monday_model.lp!$PU$1782</definedName>
    <definedName name="Variable_lease_Mon_00436" localSheetId="0" hidden="1">monday_model.lp!$PV$2</definedName>
    <definedName name="Variable_lease_Mon_00436_Type" localSheetId="0" hidden="1">monday_model.lp!$PV$1782</definedName>
    <definedName name="Variable_lease_Mon_00437" localSheetId="0" hidden="1">monday_model.lp!$PW$2</definedName>
    <definedName name="Variable_lease_Mon_00437_Type" localSheetId="0" hidden="1">monday_model.lp!$PW$1782</definedName>
    <definedName name="Variable_lease_Mon_00438" localSheetId="0" hidden="1">monday_model.lp!$PX$2</definedName>
    <definedName name="Variable_lease_Mon_00438_Type" localSheetId="0" hidden="1">monday_model.lp!$PX$1782</definedName>
    <definedName name="Variable_lease_Mon_00439" localSheetId="0" hidden="1">monday_model.lp!$PY$2</definedName>
    <definedName name="Variable_lease_Mon_00439_Type" localSheetId="0" hidden="1">monday_model.lp!$PY$1782</definedName>
    <definedName name="Variable_lease_Mon_00440" localSheetId="0" hidden="1">monday_model.lp!$PZ$2</definedName>
    <definedName name="Variable_lease_Mon_00440_Type" localSheetId="0" hidden="1">monday_model.lp!$PZ$1782</definedName>
    <definedName name="Variable_lease_Mon_00441" localSheetId="0" hidden="1">monday_model.lp!$QA$2</definedName>
    <definedName name="Variable_lease_Mon_00441_Type" localSheetId="0" hidden="1">monday_model.lp!$QA$1782</definedName>
    <definedName name="Variable_lease_Mon_00442" localSheetId="0" hidden="1">monday_model.lp!$QB$2</definedName>
    <definedName name="Variable_lease_Mon_00442_Type" localSheetId="0" hidden="1">monday_model.lp!$QB$1782</definedName>
    <definedName name="Variable_lease_Mon_00443" localSheetId="0" hidden="1">monday_model.lp!$QC$2</definedName>
    <definedName name="Variable_lease_Mon_00443_Type" localSheetId="0" hidden="1">monday_model.lp!$QC$1782</definedName>
    <definedName name="Variable_lease_Mon_00444" localSheetId="0" hidden="1">monday_model.lp!$QD$2</definedName>
    <definedName name="Variable_lease_Mon_00444_Type" localSheetId="0" hidden="1">monday_model.lp!$QD$1782</definedName>
    <definedName name="Variable_lease_Mon_00445" localSheetId="0" hidden="1">monday_model.lp!$QE$2</definedName>
    <definedName name="Variable_lease_Mon_00445_Type" localSheetId="0" hidden="1">monday_model.lp!$QE$1782</definedName>
    <definedName name="Variable_lease_Mon_00446" localSheetId="0" hidden="1">monday_model.lp!$QF$2</definedName>
    <definedName name="Variable_lease_Mon_00446_Type" localSheetId="0" hidden="1">monday_model.lp!$QF$1782</definedName>
    <definedName name="Variable_lease_Mon_00447" localSheetId="0" hidden="1">monday_model.lp!$QG$2</definedName>
    <definedName name="Variable_lease_Mon_00447_Type" localSheetId="0" hidden="1">monday_model.lp!$QG$1782</definedName>
    <definedName name="Variable_lease_Mon_00448" localSheetId="0" hidden="1">monday_model.lp!$QH$2</definedName>
    <definedName name="Variable_lease_Mon_00448_Type" localSheetId="0" hidden="1">monday_model.lp!$QH$1782</definedName>
    <definedName name="Variable_lease_Mon_00449" localSheetId="0" hidden="1">monday_model.lp!$QI$2</definedName>
    <definedName name="Variable_lease_Mon_00449_Type" localSheetId="0" hidden="1">monday_model.lp!$QI$1782</definedName>
    <definedName name="Variable_lease_Mon_00450" localSheetId="0" hidden="1">monday_model.lp!$QJ$2</definedName>
    <definedName name="Variable_lease_Mon_00450_Type" localSheetId="0" hidden="1">monday_model.lp!$QJ$1782</definedName>
    <definedName name="Variable_lease_Mon_00451" localSheetId="0" hidden="1">monday_model.lp!$QK$2</definedName>
    <definedName name="Variable_lease_Mon_00451_Type" localSheetId="0" hidden="1">monday_model.lp!$QK$1782</definedName>
    <definedName name="Variable_lease_Mon_00452" localSheetId="0" hidden="1">monday_model.lp!$QL$2</definedName>
    <definedName name="Variable_lease_Mon_00452_Type" localSheetId="0" hidden="1">monday_model.lp!$QL$1782</definedName>
    <definedName name="Variable_lease_Mon_00453" localSheetId="0" hidden="1">monday_model.lp!$QM$2</definedName>
    <definedName name="Variable_lease_Mon_00453_Type" localSheetId="0" hidden="1">monday_model.lp!$QM$1782</definedName>
    <definedName name="Variable_lease_Mon_00454" localSheetId="0" hidden="1">monday_model.lp!$QN$2</definedName>
    <definedName name="Variable_lease_Mon_00454_Type" localSheetId="0" hidden="1">monday_model.lp!$QN$1782</definedName>
    <definedName name="Variable_lease_Mon_00455" localSheetId="0" hidden="1">monday_model.lp!$QO$2</definedName>
    <definedName name="Variable_lease_Mon_00455_Type" localSheetId="0" hidden="1">monday_model.lp!$QO$1782</definedName>
    <definedName name="Variable_lease_Mon_00456" localSheetId="0" hidden="1">monday_model.lp!$QP$2</definedName>
    <definedName name="Variable_lease_Mon_00456_Type" localSheetId="0" hidden="1">monday_model.lp!$QP$1782</definedName>
    <definedName name="Variable_lease_Mon_00457" localSheetId="0" hidden="1">monday_model.lp!$QQ$2</definedName>
    <definedName name="Variable_lease_Mon_00457_Type" localSheetId="0" hidden="1">monday_model.lp!$QQ$1782</definedName>
    <definedName name="Variable_lease_Mon_00458" localSheetId="0" hidden="1">monday_model.lp!$QR$2</definedName>
    <definedName name="Variable_lease_Mon_00458_Type" localSheetId="0" hidden="1">monday_model.lp!$QR$1782</definedName>
    <definedName name="Variable_lease_Mon_00459" localSheetId="0" hidden="1">monday_model.lp!$QS$2</definedName>
    <definedName name="Variable_lease_Mon_00459_Type" localSheetId="0" hidden="1">monday_model.lp!$QS$1782</definedName>
    <definedName name="Variable_lease_Mon_00460" localSheetId="0" hidden="1">monday_model.lp!$QT$2</definedName>
    <definedName name="Variable_lease_Mon_00460_Type" localSheetId="0" hidden="1">monday_model.lp!$QT$1782</definedName>
    <definedName name="Variable_lease_Mon_00461" localSheetId="0" hidden="1">monday_model.lp!$QU$2</definedName>
    <definedName name="Variable_lease_Mon_00461_Type" localSheetId="0" hidden="1">monday_model.lp!$QU$1782</definedName>
    <definedName name="Variable_lease_Mon_00462" localSheetId="0" hidden="1">monday_model.lp!$QV$2</definedName>
    <definedName name="Variable_lease_Mon_00462_Type" localSheetId="0" hidden="1">monday_model.lp!$QV$1782</definedName>
    <definedName name="Variable_lease_Mon_00463" localSheetId="0" hidden="1">monday_model.lp!$QW$2</definedName>
    <definedName name="Variable_lease_Mon_00463_Type" localSheetId="0" hidden="1">monday_model.lp!$QW$1782</definedName>
    <definedName name="Variable_lease_Mon_00464" localSheetId="0" hidden="1">monday_model.lp!$QX$2</definedName>
    <definedName name="Variable_lease_Mon_00464_Type" localSheetId="0" hidden="1">monday_model.lp!$QX$1782</definedName>
    <definedName name="Variable_lease_Mon_00465" localSheetId="0" hidden="1">monday_model.lp!$QY$2</definedName>
    <definedName name="Variable_lease_Mon_00465_Type" localSheetId="0" hidden="1">monday_model.lp!$QY$1782</definedName>
    <definedName name="Variable_lease_Mon_00466" localSheetId="0" hidden="1">monday_model.lp!$QZ$2</definedName>
    <definedName name="Variable_lease_Mon_00466_Type" localSheetId="0" hidden="1">monday_model.lp!$QZ$1782</definedName>
    <definedName name="Variable_lease_Mon_00467" localSheetId="0" hidden="1">monday_model.lp!$RA$2</definedName>
    <definedName name="Variable_lease_Mon_00467_Type" localSheetId="0" hidden="1">monday_model.lp!$RA$1782</definedName>
    <definedName name="Variable_lease_Mon_00468" localSheetId="0" hidden="1">monday_model.lp!$RB$2</definedName>
    <definedName name="Variable_lease_Mon_00468_Type" localSheetId="0" hidden="1">monday_model.lp!$RB$1782</definedName>
    <definedName name="Variable_lease_Mon_00469" localSheetId="0" hidden="1">monday_model.lp!$RC$2</definedName>
    <definedName name="Variable_lease_Mon_00469_Type" localSheetId="0" hidden="1">monday_model.lp!$RC$1782</definedName>
    <definedName name="Variable_lease_Mon_00470" localSheetId="0" hidden="1">monday_model.lp!$RD$2</definedName>
    <definedName name="Variable_lease_Mon_00470_Type" localSheetId="0" hidden="1">monday_model.lp!$RD$1782</definedName>
    <definedName name="Variable_lease_Mon_00471" localSheetId="0" hidden="1">monday_model.lp!$RE$2</definedName>
    <definedName name="Variable_lease_Mon_00471_Type" localSheetId="0" hidden="1">monday_model.lp!$RE$1782</definedName>
    <definedName name="Variable_lease_Mon_00472" localSheetId="0" hidden="1">monday_model.lp!$RF$2</definedName>
    <definedName name="Variable_lease_Mon_00472_Type" localSheetId="0" hidden="1">monday_model.lp!$RF$1782</definedName>
    <definedName name="Variable_lease_Mon_00473" localSheetId="0" hidden="1">monday_model.lp!$RG$2</definedName>
    <definedName name="Variable_lease_Mon_00473_Type" localSheetId="0" hidden="1">monday_model.lp!$RG$1782</definedName>
    <definedName name="Variable_lease_Mon_00474" localSheetId="0" hidden="1">monday_model.lp!$RH$2</definedName>
    <definedName name="Variable_lease_Mon_00474_Type" localSheetId="0" hidden="1">monday_model.lp!$RH$1782</definedName>
    <definedName name="Variable_lease_Mon_00475" localSheetId="0" hidden="1">monday_model.lp!$RI$2</definedName>
    <definedName name="Variable_lease_Mon_00475_Type" localSheetId="0" hidden="1">monday_model.lp!$RI$1782</definedName>
    <definedName name="Variable_lease_Mon_00476" localSheetId="0" hidden="1">monday_model.lp!$RJ$2</definedName>
    <definedName name="Variable_lease_Mon_00476_Type" localSheetId="0" hidden="1">monday_model.lp!$RJ$1782</definedName>
    <definedName name="Variable_lease_Mon_00477" localSheetId="0" hidden="1">monday_model.lp!$RK$2</definedName>
    <definedName name="Variable_lease_Mon_00477_Type" localSheetId="0" hidden="1">monday_model.lp!$RK$1782</definedName>
    <definedName name="Variable_lease_Mon_00478" localSheetId="0" hidden="1">monday_model.lp!$RL$2</definedName>
    <definedName name="Variable_lease_Mon_00478_Type" localSheetId="0" hidden="1">monday_model.lp!$RL$1782</definedName>
    <definedName name="Variable_lease_Mon_00479" localSheetId="0" hidden="1">monday_model.lp!$RM$2</definedName>
    <definedName name="Variable_lease_Mon_00479_Type" localSheetId="0" hidden="1">monday_model.lp!$RM$1782</definedName>
    <definedName name="Variable_lease_Mon_00480" localSheetId="0" hidden="1">monday_model.lp!$RN$2</definedName>
    <definedName name="Variable_lease_Mon_00480_Type" localSheetId="0" hidden="1">monday_model.lp!$RN$1782</definedName>
    <definedName name="Variable_lease_Mon_00481" localSheetId="0" hidden="1">monday_model.lp!$RO$2</definedName>
    <definedName name="Variable_lease_Mon_00481_Type" localSheetId="0" hidden="1">monday_model.lp!$RO$1782</definedName>
    <definedName name="Variable_lease_Mon_00482" localSheetId="0" hidden="1">monday_model.lp!$RP$2</definedName>
    <definedName name="Variable_lease_Mon_00482_Type" localSheetId="0" hidden="1">monday_model.lp!$RP$1782</definedName>
    <definedName name="Variable_lease_Mon_00483" localSheetId="0" hidden="1">monday_model.lp!$RQ$2</definedName>
    <definedName name="Variable_lease_Mon_00483_Type" localSheetId="0" hidden="1">monday_model.lp!$RQ$1782</definedName>
    <definedName name="Variable_lease_Mon_00484" localSheetId="0" hidden="1">monday_model.lp!$RR$2</definedName>
    <definedName name="Variable_lease_Mon_00484_Type" localSheetId="0" hidden="1">monday_model.lp!$RR$1782</definedName>
    <definedName name="Variable_lease_Mon_00485" localSheetId="0" hidden="1">monday_model.lp!$RS$2</definedName>
    <definedName name="Variable_lease_Mon_00485_Type" localSheetId="0" hidden="1">monday_model.lp!$RS$1782</definedName>
    <definedName name="Variable_lease_Mon_00486" localSheetId="0" hidden="1">monday_model.lp!$RT$2</definedName>
    <definedName name="Variable_lease_Mon_00486_Type" localSheetId="0" hidden="1">monday_model.lp!$RT$1782</definedName>
    <definedName name="Variable_lease_Mon_00487" localSheetId="0" hidden="1">monday_model.lp!$RU$2</definedName>
    <definedName name="Variable_lease_Mon_00487_Type" localSheetId="0" hidden="1">monday_model.lp!$RU$1782</definedName>
    <definedName name="Variable_lease_Mon_00488" localSheetId="0" hidden="1">monday_model.lp!$RV$2</definedName>
    <definedName name="Variable_lease_Mon_00488_Type" localSheetId="0" hidden="1">monday_model.lp!$RV$1782</definedName>
    <definedName name="Variable_lease_Mon_00489" localSheetId="0" hidden="1">monday_model.lp!$RW$2</definedName>
    <definedName name="Variable_lease_Mon_00489_Type" localSheetId="0" hidden="1">monday_model.lp!$RW$1782</definedName>
    <definedName name="Variable_lease_Mon_00490" localSheetId="0" hidden="1">monday_model.lp!$RX$2</definedName>
    <definedName name="Variable_lease_Mon_00490_Type" localSheetId="0" hidden="1">monday_model.lp!$RX$1782</definedName>
    <definedName name="Variable_lease_Mon_00491" localSheetId="0" hidden="1">monday_model.lp!$RY$2</definedName>
    <definedName name="Variable_lease_Mon_00491_Type" localSheetId="0" hidden="1">monday_model.lp!$RY$1782</definedName>
    <definedName name="Variable_lease_Mon_00492" localSheetId="0" hidden="1">monday_model.lp!$RZ$2</definedName>
    <definedName name="Variable_lease_Mon_00492_Type" localSheetId="0" hidden="1">monday_model.lp!$RZ$1782</definedName>
    <definedName name="Variable_lease_Mon_00493" localSheetId="0" hidden="1">monday_model.lp!$SA$2</definedName>
    <definedName name="Variable_lease_Mon_00493_Type" localSheetId="0" hidden="1">monday_model.lp!$SA$1782</definedName>
    <definedName name="Variable_lease_Mon_00494" localSheetId="0" hidden="1">monday_model.lp!$SB$2</definedName>
    <definedName name="Variable_lease_Mon_00494_Type" localSheetId="0" hidden="1">monday_model.lp!$SB$1782</definedName>
    <definedName name="Variable_lease_Mon_00495" localSheetId="0" hidden="1">monday_model.lp!$SC$2</definedName>
    <definedName name="Variable_lease_Mon_00495_Type" localSheetId="0" hidden="1">monday_model.lp!$SC$1782</definedName>
    <definedName name="Variable_lease_Mon_00496" localSheetId="0" hidden="1">monday_model.lp!$SD$2</definedName>
    <definedName name="Variable_lease_Mon_00496_Type" localSheetId="0" hidden="1">monday_model.lp!$SD$1782</definedName>
    <definedName name="Variable_lease_Mon_00497" localSheetId="0" hidden="1">monday_model.lp!$SE$2</definedName>
    <definedName name="Variable_lease_Mon_00497_Type" localSheetId="0" hidden="1">monday_model.lp!$SE$1782</definedName>
    <definedName name="Variable_lease_Mon_00498" localSheetId="0" hidden="1">monday_model.lp!$SF$2</definedName>
    <definedName name="Variable_lease_Mon_00498_Type" localSheetId="0" hidden="1">monday_model.lp!$SF$1782</definedName>
    <definedName name="Variable_lease_Mon_00499" localSheetId="0" hidden="1">monday_model.lp!$SG$2</definedName>
    <definedName name="Variable_lease_Mon_00499_Type" localSheetId="0" hidden="1">monday_model.lp!$SG$1782</definedName>
    <definedName name="Variable_lease_Mon_00500" localSheetId="0" hidden="1">monday_model.lp!$SH$2</definedName>
    <definedName name="Variable_lease_Mon_00500_Type" localSheetId="0" hidden="1">monday_model.lp!$SH$1782</definedName>
    <definedName name="Variable_lease_Mon_00501" localSheetId="0" hidden="1">monday_model.lp!$SI$2</definedName>
    <definedName name="Variable_lease_Mon_00501_Type" localSheetId="0" hidden="1">monday_model.lp!$SI$1782</definedName>
    <definedName name="Variable_lease_Mon_00502" localSheetId="0" hidden="1">monday_model.lp!$SJ$2</definedName>
    <definedName name="Variable_lease_Mon_00502_Type" localSheetId="0" hidden="1">monday_model.lp!$SJ$1782</definedName>
    <definedName name="Variable_lease_Mon_00503" localSheetId="0" hidden="1">monday_model.lp!$SK$2</definedName>
    <definedName name="Variable_lease_Mon_00503_Type" localSheetId="0" hidden="1">monday_model.lp!$SK$1782</definedName>
    <definedName name="Variable_lease_Mon_00504" localSheetId="0" hidden="1">monday_model.lp!$SL$2</definedName>
    <definedName name="Variable_lease_Mon_00504_Type" localSheetId="0" hidden="1">monday_model.lp!$SL$1782</definedName>
    <definedName name="Variable_lease_Mon_00505" localSheetId="0" hidden="1">monday_model.lp!$SM$2</definedName>
    <definedName name="Variable_lease_Mon_00505_Type" localSheetId="0" hidden="1">monday_model.lp!$SM$1782</definedName>
    <definedName name="Variable_lease_Mon_00506" localSheetId="0" hidden="1">monday_model.lp!$SN$2</definedName>
    <definedName name="Variable_lease_Mon_00506_Type" localSheetId="0" hidden="1">monday_model.lp!$SN$1782</definedName>
    <definedName name="Variable_lease_Mon_00507" localSheetId="0" hidden="1">monday_model.lp!$SO$2</definedName>
    <definedName name="Variable_lease_Mon_00507_Type" localSheetId="0" hidden="1">monday_model.lp!$SO$1782</definedName>
    <definedName name="Variable_lease_Mon_00508" localSheetId="0" hidden="1">monday_model.lp!$SP$2</definedName>
    <definedName name="Variable_lease_Mon_00508_Type" localSheetId="0" hidden="1">monday_model.lp!$SP$1782</definedName>
    <definedName name="Variable_lease_Mon_00509" localSheetId="0" hidden="1">monday_model.lp!$SQ$2</definedName>
    <definedName name="Variable_lease_Mon_00509_Type" localSheetId="0" hidden="1">monday_model.lp!$SQ$1782</definedName>
    <definedName name="Variable_lease_Mon_00510" localSheetId="0" hidden="1">monday_model.lp!$SR$2</definedName>
    <definedName name="Variable_lease_Mon_00510_Type" localSheetId="0" hidden="1">monday_model.lp!$SR$1782</definedName>
    <definedName name="Variable_lease_Mon_00511" localSheetId="0" hidden="1">monday_model.lp!$SS$2</definedName>
    <definedName name="Variable_lease_Mon_00511_Type" localSheetId="0" hidden="1">monday_model.lp!$SS$1782</definedName>
    <definedName name="Variable_lease_Mon_00512" localSheetId="0" hidden="1">monday_model.lp!$ST$2</definedName>
    <definedName name="Variable_lease_Mon_00512_Type" localSheetId="0" hidden="1">monday_model.lp!$ST$1782</definedName>
    <definedName name="Variable_lease_Mon_00513" localSheetId="0" hidden="1">monday_model.lp!$SU$2</definedName>
    <definedName name="Variable_lease_Mon_00513_Type" localSheetId="0" hidden="1">monday_model.lp!$SU$1782</definedName>
    <definedName name="Variable_lease_Mon_00514" localSheetId="0" hidden="1">monday_model.lp!$SV$2</definedName>
    <definedName name="Variable_lease_Mon_00514_Type" localSheetId="0" hidden="1">monday_model.lp!$SV$1782</definedName>
    <definedName name="Variable_lease_Mon_00515" localSheetId="0" hidden="1">monday_model.lp!$SW$2</definedName>
    <definedName name="Variable_lease_Mon_00515_Type" localSheetId="0" hidden="1">monday_model.lp!$SW$1782</definedName>
    <definedName name="Variable_lease_Mon_00516" localSheetId="0" hidden="1">monday_model.lp!$SX$2</definedName>
    <definedName name="Variable_lease_Mon_00516_Type" localSheetId="0" hidden="1">monday_model.lp!$SX$1782</definedName>
    <definedName name="Variable_lease_Mon_00517" localSheetId="0" hidden="1">monday_model.lp!$SY$2</definedName>
    <definedName name="Variable_lease_Mon_00517_Type" localSheetId="0" hidden="1">monday_model.lp!$SY$1782</definedName>
    <definedName name="Variable_lease_Mon_00518" localSheetId="0" hidden="1">monday_model.lp!$SZ$2</definedName>
    <definedName name="Variable_lease_Mon_00518_Type" localSheetId="0" hidden="1">monday_model.lp!$SZ$1782</definedName>
    <definedName name="Variable_lease_Mon_00519" localSheetId="0" hidden="1">monday_model.lp!$TA$2</definedName>
    <definedName name="Variable_lease_Mon_00519_Type" localSheetId="0" hidden="1">monday_model.lp!$TA$1782</definedName>
    <definedName name="Variable_lease_Mon_00520" localSheetId="0" hidden="1">monday_model.lp!$TB$2</definedName>
    <definedName name="Variable_lease_Mon_00520_Type" localSheetId="0" hidden="1">monday_model.lp!$TB$1782</definedName>
    <definedName name="Variable_lease_Mon_00521" localSheetId="0" hidden="1">monday_model.lp!$TC$2</definedName>
    <definedName name="Variable_lease_Mon_00521_Type" localSheetId="0" hidden="1">monday_model.lp!$TC$1782</definedName>
    <definedName name="Variable_lease_Mon_00522" localSheetId="0" hidden="1">monday_model.lp!$TD$2</definedName>
    <definedName name="Variable_lease_Mon_00522_Type" localSheetId="0" hidden="1">monday_model.lp!$TD$1782</definedName>
    <definedName name="Variable_lease_Mon_00523" localSheetId="0" hidden="1">monday_model.lp!$TE$2</definedName>
    <definedName name="Variable_lease_Mon_00523_Type" localSheetId="0" hidden="1">monday_model.lp!$TE$1782</definedName>
    <definedName name="Variable_lease_Mon_00524" localSheetId="0" hidden="1">monday_model.lp!$TF$2</definedName>
    <definedName name="Variable_lease_Mon_00524_Type" localSheetId="0" hidden="1">monday_model.lp!$TF$1782</definedName>
    <definedName name="Variable_lease_Mon_00525" localSheetId="0" hidden="1">monday_model.lp!$TG$2</definedName>
    <definedName name="Variable_lease_Mon_00525_Type" localSheetId="0" hidden="1">monday_model.lp!$TG$1782</definedName>
    <definedName name="Variable_lease_Mon_00526" localSheetId="0" hidden="1">monday_model.lp!$TH$2</definedName>
    <definedName name="Variable_lease_Mon_00526_Type" localSheetId="0" hidden="1">monday_model.lp!$TH$1782</definedName>
    <definedName name="Variable_lease_Mon_00527" localSheetId="0" hidden="1">monday_model.lp!$TI$2</definedName>
    <definedName name="Variable_lease_Mon_00527_Type" localSheetId="0" hidden="1">monday_model.lp!$TI$1782</definedName>
    <definedName name="Variable_lease_Mon_00528" localSheetId="0" hidden="1">monday_model.lp!$TJ$2</definedName>
    <definedName name="Variable_lease_Mon_00528_Type" localSheetId="0" hidden="1">monday_model.lp!$TJ$1782</definedName>
    <definedName name="Variable_lease_Mon_00529" localSheetId="0" hidden="1">monday_model.lp!$TK$2</definedName>
    <definedName name="Variable_lease_Mon_00529_Type" localSheetId="0" hidden="1">monday_model.lp!$TK$1782</definedName>
    <definedName name="Variable_lease_Mon_00530" localSheetId="0" hidden="1">monday_model.lp!$TL$2</definedName>
    <definedName name="Variable_lease_Mon_00530_Type" localSheetId="0" hidden="1">monday_model.lp!$TL$1782</definedName>
    <definedName name="Variable_lease_Mon_00531" localSheetId="0" hidden="1">monday_model.lp!$TM$2</definedName>
    <definedName name="Variable_lease_Mon_00531_Type" localSheetId="0" hidden="1">monday_model.lp!$TM$1782</definedName>
    <definedName name="Variable_lease_Mon_00532" localSheetId="0" hidden="1">monday_model.lp!$TN$2</definedName>
    <definedName name="Variable_lease_Mon_00532_Type" localSheetId="0" hidden="1">monday_model.lp!$TN$1782</definedName>
    <definedName name="Variable_lease_Mon_00533" localSheetId="0" hidden="1">monday_model.lp!$TO$2</definedName>
    <definedName name="Variable_lease_Mon_00533_Type" localSheetId="0" hidden="1">monday_model.lp!$TO$1782</definedName>
    <definedName name="Variable_lease_Mon_00534" localSheetId="0" hidden="1">monday_model.lp!$TP$2</definedName>
    <definedName name="Variable_lease_Mon_00534_Type" localSheetId="0" hidden="1">monday_model.lp!$TP$1782</definedName>
    <definedName name="Variable_lease_Mon_00535" localSheetId="0" hidden="1">monday_model.lp!$TQ$2</definedName>
    <definedName name="Variable_lease_Mon_00535_Type" localSheetId="0" hidden="1">monday_model.lp!$TQ$1782</definedName>
    <definedName name="Variable_lease_Mon_00536" localSheetId="0" hidden="1">monday_model.lp!$TR$2</definedName>
    <definedName name="Variable_lease_Mon_00536_Type" localSheetId="0" hidden="1">monday_model.lp!$TR$1782</definedName>
    <definedName name="Variable_lease_Mon_00537" localSheetId="0" hidden="1">monday_model.lp!$TS$2</definedName>
    <definedName name="Variable_lease_Mon_00537_Type" localSheetId="0" hidden="1">monday_model.lp!$TS$1782</definedName>
    <definedName name="Variable_lease_Mon_00538" localSheetId="0" hidden="1">monday_model.lp!$TT$2</definedName>
    <definedName name="Variable_lease_Mon_00538_Type" localSheetId="0" hidden="1">monday_model.lp!$TT$1782</definedName>
    <definedName name="Variable_lease_Mon_00539" localSheetId="0" hidden="1">monday_model.lp!$TU$2</definedName>
    <definedName name="Variable_lease_Mon_00539_Type" localSheetId="0" hidden="1">monday_model.lp!$TU$1782</definedName>
    <definedName name="Variable_lease_Mon_00540" localSheetId="0" hidden="1">monday_model.lp!$TV$2</definedName>
    <definedName name="Variable_lease_Mon_00540_Type" localSheetId="0" hidden="1">monday_model.lp!$TV$1782</definedName>
    <definedName name="Variable_lease_Mon_00541" localSheetId="0" hidden="1">monday_model.lp!$TW$2</definedName>
    <definedName name="Variable_lease_Mon_00541_Type" localSheetId="0" hidden="1">monday_model.lp!$TW$1782</definedName>
    <definedName name="Variable_lease_Mon_00542" localSheetId="0" hidden="1">monday_model.lp!$TX$2</definedName>
    <definedName name="Variable_lease_Mon_00542_Type" localSheetId="0" hidden="1">monday_model.lp!$TX$1782</definedName>
    <definedName name="Variable_lease_Mon_00543" localSheetId="0" hidden="1">monday_model.lp!$TY$2</definedName>
    <definedName name="Variable_lease_Mon_00543_Type" localSheetId="0" hidden="1">monday_model.lp!$TY$1782</definedName>
    <definedName name="Variable_lease_Mon_00544" localSheetId="0" hidden="1">monday_model.lp!$TZ$2</definedName>
    <definedName name="Variable_lease_Mon_00544_Type" localSheetId="0" hidden="1">monday_model.lp!$TZ$1782</definedName>
    <definedName name="Variable_lease_Mon_00545" localSheetId="0" hidden="1">monday_model.lp!$UA$2</definedName>
    <definedName name="Variable_lease_Mon_00545_Type" localSheetId="0" hidden="1">monday_model.lp!$UA$1782</definedName>
    <definedName name="Variable_lease_Mon_00546" localSheetId="0" hidden="1">monday_model.lp!$UB$2</definedName>
    <definedName name="Variable_lease_Mon_00546_Type" localSheetId="0" hidden="1">monday_model.lp!$UB$1782</definedName>
    <definedName name="Variable_lease_Mon_00547" localSheetId="0" hidden="1">monday_model.lp!$UC$2</definedName>
    <definedName name="Variable_lease_Mon_00547_Type" localSheetId="0" hidden="1">monday_model.lp!$UC$1782</definedName>
    <definedName name="Variable_lease_Mon_00548" localSheetId="0" hidden="1">monday_model.lp!$UD$2</definedName>
    <definedName name="Variable_lease_Mon_00548_Type" localSheetId="0" hidden="1">monday_model.lp!$UD$1782</definedName>
    <definedName name="Variable_lease_Mon_00549" localSheetId="0" hidden="1">monday_model.lp!$UE$2</definedName>
    <definedName name="Variable_lease_Mon_00549_Type" localSheetId="0" hidden="1">monday_model.lp!$UE$1782</definedName>
    <definedName name="Variable_lease_Mon_00550" localSheetId="0" hidden="1">monday_model.lp!$UF$2</definedName>
    <definedName name="Variable_lease_Mon_00550_Type" localSheetId="0" hidden="1">monday_model.lp!$UF$1782</definedName>
    <definedName name="Variable_lease_Mon_00551" localSheetId="0" hidden="1">monday_model.lp!$UG$2</definedName>
    <definedName name="Variable_lease_Mon_00551_Type" localSheetId="0" hidden="1">monday_model.lp!$UG$1782</definedName>
    <definedName name="Variable_lease_Mon_00552" localSheetId="0" hidden="1">monday_model.lp!$UH$2</definedName>
    <definedName name="Variable_lease_Mon_00552_Type" localSheetId="0" hidden="1">monday_model.lp!$UH$1782</definedName>
    <definedName name="Variable_lease_Mon_00553" localSheetId="0" hidden="1">monday_model.lp!$UI$2</definedName>
    <definedName name="Variable_lease_Mon_00553_Type" localSheetId="0" hidden="1">monday_model.lp!$UI$1782</definedName>
    <definedName name="Variable_lease_Mon_00554" localSheetId="0" hidden="1">monday_model.lp!$UJ$2</definedName>
    <definedName name="Variable_lease_Mon_00554_Type" localSheetId="0" hidden="1">monday_model.lp!$UJ$1782</definedName>
    <definedName name="Variable_lease_Mon_00555" localSheetId="0" hidden="1">monday_model.lp!$UK$2</definedName>
    <definedName name="Variable_lease_Mon_00555_Type" localSheetId="0" hidden="1">monday_model.lp!$UK$1782</definedName>
    <definedName name="Variable_lease_Mon_00556" localSheetId="0" hidden="1">monday_model.lp!$UL$2</definedName>
    <definedName name="Variable_lease_Mon_00556_Type" localSheetId="0" hidden="1">monday_model.lp!$UL$1782</definedName>
    <definedName name="Variable_lease_Mon_00557" localSheetId="0" hidden="1">monday_model.lp!$UM$2</definedName>
    <definedName name="Variable_lease_Mon_00557_Type" localSheetId="0" hidden="1">monday_model.lp!$UM$1782</definedName>
    <definedName name="Variable_lease_Mon_00558" localSheetId="0" hidden="1">monday_model.lp!$UN$2</definedName>
    <definedName name="Variable_lease_Mon_00558_Type" localSheetId="0" hidden="1">monday_model.lp!$UN$1782</definedName>
    <definedName name="Variable_lease_Mon_00559" localSheetId="0" hidden="1">monday_model.lp!$UO$2</definedName>
    <definedName name="Variable_lease_Mon_00559_Type" localSheetId="0" hidden="1">monday_model.lp!$UO$1782</definedName>
    <definedName name="Variable_lease_Mon_00560" localSheetId="0" hidden="1">monday_model.lp!$UP$2</definedName>
    <definedName name="Variable_lease_Mon_00560_Type" localSheetId="0" hidden="1">monday_model.lp!$UP$1782</definedName>
    <definedName name="Variable_lease_Mon_00561" localSheetId="0" hidden="1">monday_model.lp!$UQ$2</definedName>
    <definedName name="Variable_lease_Mon_00561_Type" localSheetId="0" hidden="1">monday_model.lp!$UQ$1782</definedName>
    <definedName name="Variable_lease_Mon_00562" localSheetId="0" hidden="1">monday_model.lp!$UR$2</definedName>
    <definedName name="Variable_lease_Mon_00562_Type" localSheetId="0" hidden="1">monday_model.lp!$UR$1782</definedName>
    <definedName name="Variable_lease_Mon_00563" localSheetId="0" hidden="1">monday_model.lp!$US$2</definedName>
    <definedName name="Variable_lease_Mon_00563_Type" localSheetId="0" hidden="1">monday_model.lp!$US$1782</definedName>
    <definedName name="Variable_lease_Mon_00564" localSheetId="0" hidden="1">monday_model.lp!$UT$2</definedName>
    <definedName name="Variable_lease_Mon_00564_Type" localSheetId="0" hidden="1">monday_model.lp!$UT$1782</definedName>
    <definedName name="Variable_lease_Mon_00565" localSheetId="0" hidden="1">monday_model.lp!$UU$2</definedName>
    <definedName name="Variable_lease_Mon_00565_Type" localSheetId="0" hidden="1">monday_model.lp!$UU$1782</definedName>
    <definedName name="Variable_lease_Mon_00566" localSheetId="0" hidden="1">monday_model.lp!$UV$2</definedName>
    <definedName name="Variable_lease_Mon_00566_Type" localSheetId="0" hidden="1">monday_model.lp!$UV$1782</definedName>
    <definedName name="Variable_lease_Mon_00567" localSheetId="0" hidden="1">monday_model.lp!$UW$2</definedName>
    <definedName name="Variable_lease_Mon_00567_Type" localSheetId="0" hidden="1">monday_model.lp!$UW$1782</definedName>
    <definedName name="Variable_lease_Mon_00568" localSheetId="0" hidden="1">monday_model.lp!$UX$2</definedName>
    <definedName name="Variable_lease_Mon_00568_Type" localSheetId="0" hidden="1">monday_model.lp!$UX$1782</definedName>
    <definedName name="Variable_lease_Mon_00569" localSheetId="0" hidden="1">monday_model.lp!$UY$2</definedName>
    <definedName name="Variable_lease_Mon_00569_Type" localSheetId="0" hidden="1">monday_model.lp!$UY$1782</definedName>
    <definedName name="Variable_lease_Mon_00570" localSheetId="0" hidden="1">monday_model.lp!$UZ$2</definedName>
    <definedName name="Variable_lease_Mon_00570_Type" localSheetId="0" hidden="1">monday_model.lp!$UZ$1782</definedName>
    <definedName name="Variable_lease_Mon_00571" localSheetId="0" hidden="1">monday_model.lp!$VA$2</definedName>
    <definedName name="Variable_lease_Mon_00571_Type" localSheetId="0" hidden="1">monday_model.lp!$VA$1782</definedName>
    <definedName name="Variable_lease_Mon_00572" localSheetId="0" hidden="1">monday_model.lp!$VB$2</definedName>
    <definedName name="Variable_lease_Mon_00572_Type" localSheetId="0" hidden="1">monday_model.lp!$VB$1782</definedName>
    <definedName name="Variable_lease_Mon_00573" localSheetId="0" hidden="1">monday_model.lp!$VC$2</definedName>
    <definedName name="Variable_lease_Mon_00573_Type" localSheetId="0" hidden="1">monday_model.lp!$VC$1782</definedName>
    <definedName name="Variable_lease_Mon_00574" localSheetId="0" hidden="1">monday_model.lp!$VD$2</definedName>
    <definedName name="Variable_lease_Mon_00574_Type" localSheetId="0" hidden="1">monday_model.lp!$VD$1782</definedName>
    <definedName name="Variable_lease_Mon_00575" localSheetId="0" hidden="1">monday_model.lp!$VE$2</definedName>
    <definedName name="Variable_lease_Mon_00575_Type" localSheetId="0" hidden="1">monday_model.lp!$VE$1782</definedName>
    <definedName name="Variable_lease_Mon_00576" localSheetId="0" hidden="1">monday_model.lp!$VF$2</definedName>
    <definedName name="Variable_lease_Mon_00576_Type" localSheetId="0" hidden="1">monday_model.lp!$VF$1782</definedName>
    <definedName name="Variable_lease_Mon_00577" localSheetId="0" hidden="1">monday_model.lp!$VG$2</definedName>
    <definedName name="Variable_lease_Mon_00577_Type" localSheetId="0" hidden="1">monday_model.lp!$VG$1782</definedName>
    <definedName name="Variable_lease_Mon_00578" localSheetId="0" hidden="1">monday_model.lp!$VH$2</definedName>
    <definedName name="Variable_lease_Mon_00578_Type" localSheetId="0" hidden="1">monday_model.lp!$VH$1782</definedName>
    <definedName name="Variable_lease_Mon_00579" localSheetId="0" hidden="1">monday_model.lp!$VI$2</definedName>
    <definedName name="Variable_lease_Mon_00579_Type" localSheetId="0" hidden="1">monday_model.lp!$VI$1782</definedName>
    <definedName name="Variable_lease_Mon_00580" localSheetId="0" hidden="1">monday_model.lp!$VJ$2</definedName>
    <definedName name="Variable_lease_Mon_00580_Type" localSheetId="0" hidden="1">monday_model.lp!$VJ$1782</definedName>
    <definedName name="Variable_lease_Mon_00581" localSheetId="0" hidden="1">monday_model.lp!$VK$2</definedName>
    <definedName name="Variable_lease_Mon_00581_Type" localSheetId="0" hidden="1">monday_model.lp!$VK$1782</definedName>
    <definedName name="Variable_lease_Mon_00582" localSheetId="0" hidden="1">monday_model.lp!$VL$2</definedName>
    <definedName name="Variable_lease_Mon_00582_Type" localSheetId="0" hidden="1">monday_model.lp!$VL$1782</definedName>
    <definedName name="Variable_lease_Mon_00583" localSheetId="0" hidden="1">monday_model.lp!$VM$2</definedName>
    <definedName name="Variable_lease_Mon_00583_Type" localSheetId="0" hidden="1">monday_model.lp!$VM$1782</definedName>
    <definedName name="Variable_lease_Mon_00584" localSheetId="0" hidden="1">monday_model.lp!$VN$2</definedName>
    <definedName name="Variable_lease_Mon_00584_Type" localSheetId="0" hidden="1">monday_model.lp!$VN$1782</definedName>
    <definedName name="Variable_lease_Mon_00585" localSheetId="0" hidden="1">monday_model.lp!$VO$2</definedName>
    <definedName name="Variable_lease_Mon_00585_Type" localSheetId="0" hidden="1">monday_model.lp!$VO$1782</definedName>
    <definedName name="Variable_lease_Mon_00586" localSheetId="0" hidden="1">monday_model.lp!$VP$2</definedName>
    <definedName name="Variable_lease_Mon_00586_Type" localSheetId="0" hidden="1">monday_model.lp!$VP$1782</definedName>
    <definedName name="Variable_lease_Mon_00587" localSheetId="0" hidden="1">monday_model.lp!$VQ$2</definedName>
    <definedName name="Variable_lease_Mon_00587_Type" localSheetId="0" hidden="1">monday_model.lp!$VQ$1782</definedName>
    <definedName name="Variable_lease_Mon_00588" localSheetId="0" hidden="1">monday_model.lp!$VR$2</definedName>
    <definedName name="Variable_lease_Mon_00588_Type" localSheetId="0" hidden="1">monday_model.lp!$VR$1782</definedName>
    <definedName name="Variable_lease_Mon_00589" localSheetId="0" hidden="1">monday_model.lp!$VS$2</definedName>
    <definedName name="Variable_lease_Mon_00589_Type" localSheetId="0" hidden="1">monday_model.lp!$VS$1782</definedName>
    <definedName name="Variable_lease_Mon_00590" localSheetId="0" hidden="1">monday_model.lp!$VT$2</definedName>
    <definedName name="Variable_lease_Mon_00590_Type" localSheetId="0" hidden="1">monday_model.lp!$VT$1782</definedName>
    <definedName name="Variable_lease_Mon_00591" localSheetId="0" hidden="1">monday_model.lp!$VU$2</definedName>
    <definedName name="Variable_lease_Mon_00591_Type" localSheetId="0" hidden="1">monday_model.lp!$VU$1782</definedName>
    <definedName name="Variable_lease_Mon_00592" localSheetId="0" hidden="1">monday_model.lp!$VV$2</definedName>
    <definedName name="Variable_lease_Mon_00592_Type" localSheetId="0" hidden="1">monday_model.lp!$VV$1782</definedName>
    <definedName name="Variable_lease_Mon_00593" localSheetId="0" hidden="1">monday_model.lp!$VW$2</definedName>
    <definedName name="Variable_lease_Mon_00593_Type" localSheetId="0" hidden="1">monday_model.lp!$VW$1782</definedName>
    <definedName name="Variable_lease_Mon_00594" localSheetId="0" hidden="1">monday_model.lp!$VX$2</definedName>
    <definedName name="Variable_lease_Mon_00594_Type" localSheetId="0" hidden="1">monday_model.lp!$VX$1782</definedName>
    <definedName name="Variable_lease_Mon_00595" localSheetId="0" hidden="1">monday_model.lp!$VY$2</definedName>
    <definedName name="Variable_lease_Mon_00595_Type" localSheetId="0" hidden="1">monday_model.lp!$VY$1782</definedName>
    <definedName name="Variable_lease_Mon_00596" localSheetId="0" hidden="1">monday_model.lp!$VZ$2</definedName>
    <definedName name="Variable_lease_Mon_00596_Type" localSheetId="0" hidden="1">monday_model.lp!$VZ$1782</definedName>
    <definedName name="Variable_lease_Mon_00597" localSheetId="0" hidden="1">monday_model.lp!$WA$2</definedName>
    <definedName name="Variable_lease_Mon_00597_Type" localSheetId="0" hidden="1">monday_model.lp!$WA$1782</definedName>
    <definedName name="Variable_lease_Mon_00598" localSheetId="0" hidden="1">monday_model.lp!$WB$2</definedName>
    <definedName name="Variable_lease_Mon_00598_Type" localSheetId="0" hidden="1">monday_model.lp!$WB$1782</definedName>
    <definedName name="Variable_lease_Mon_00599" localSheetId="0" hidden="1">monday_model.lp!$WC$2</definedName>
    <definedName name="Variable_lease_Mon_00599_Type" localSheetId="0" hidden="1">monday_model.lp!$WC$1782</definedName>
    <definedName name="Variable_lease_Mon_00600" localSheetId="0" hidden="1">monday_model.lp!$WD$2</definedName>
    <definedName name="Variable_lease_Mon_00600_Type" localSheetId="0" hidden="1">monday_model.lp!$WD$1782</definedName>
    <definedName name="Variable_lease_Mon_00601" localSheetId="0" hidden="1">monday_model.lp!$WE$2</definedName>
    <definedName name="Variable_lease_Mon_00601_Type" localSheetId="0" hidden="1">monday_model.lp!$WE$1782</definedName>
    <definedName name="Variable_lease_Mon_00602" localSheetId="0" hidden="1">monday_model.lp!$WF$2</definedName>
    <definedName name="Variable_lease_Mon_00602_Type" localSheetId="0" hidden="1">monday_model.lp!$WF$1782</definedName>
    <definedName name="Variable_lease_Mon_00603" localSheetId="0" hidden="1">monday_model.lp!$WG$2</definedName>
    <definedName name="Variable_lease_Mon_00603_Type" localSheetId="0" hidden="1">monday_model.lp!$WG$1782</definedName>
    <definedName name="Variable_lease_Mon_00604" localSheetId="0" hidden="1">monday_model.lp!$WH$2</definedName>
    <definedName name="Variable_lease_Mon_00604_Type" localSheetId="0" hidden="1">monday_model.lp!$WH$1782</definedName>
    <definedName name="Variable_lease_Mon_00605" localSheetId="0" hidden="1">monday_model.lp!$WI$2</definedName>
    <definedName name="Variable_lease_Mon_00605_Type" localSheetId="0" hidden="1">monday_model.lp!$WI$1782</definedName>
    <definedName name="Variable_lease_Mon_00606" localSheetId="0" hidden="1">monday_model.lp!$WJ$2</definedName>
    <definedName name="Variable_lease_Mon_00606_Type" localSheetId="0" hidden="1">monday_model.lp!$WJ$1782</definedName>
    <definedName name="Variable_lease_Mon_00607" localSheetId="0" hidden="1">monday_model.lp!$WK$2</definedName>
    <definedName name="Variable_lease_Mon_00607_Type" localSheetId="0" hidden="1">monday_model.lp!$WK$1782</definedName>
    <definedName name="Variable_lease_Mon_00608" localSheetId="0" hidden="1">monday_model.lp!$WL$2</definedName>
    <definedName name="Variable_lease_Mon_00608_Type" localSheetId="0" hidden="1">monday_model.lp!$WL$1782</definedName>
    <definedName name="Variable_lease_Mon_00609" localSheetId="0" hidden="1">monday_model.lp!$WM$2</definedName>
    <definedName name="Variable_lease_Mon_00609_Type" localSheetId="0" hidden="1">monday_model.lp!$WM$1782</definedName>
    <definedName name="Variable_lease_Mon_00610" localSheetId="0" hidden="1">monday_model.lp!$WN$2</definedName>
    <definedName name="Variable_lease_Mon_00610_Type" localSheetId="0" hidden="1">monday_model.lp!$WN$1782</definedName>
    <definedName name="Variable_lease_Mon_00611" localSheetId="0" hidden="1">monday_model.lp!$WO$2</definedName>
    <definedName name="Variable_lease_Mon_00611_Type" localSheetId="0" hidden="1">monday_model.lp!$WO$1782</definedName>
    <definedName name="Variable_lease_Mon_00612" localSheetId="0" hidden="1">monday_model.lp!$WP$2</definedName>
    <definedName name="Variable_lease_Mon_00612_Type" localSheetId="0" hidden="1">monday_model.lp!$WP$1782</definedName>
    <definedName name="Variable_lease_Mon_00613" localSheetId="0" hidden="1">monday_model.lp!$WQ$2</definedName>
    <definedName name="Variable_lease_Mon_00613_Type" localSheetId="0" hidden="1">monday_model.lp!$WQ$1782</definedName>
    <definedName name="Variable_lease_Mon_00614" localSheetId="0" hidden="1">monday_model.lp!$WR$2</definedName>
    <definedName name="Variable_lease_Mon_00614_Type" localSheetId="0" hidden="1">monday_model.lp!$WR$1782</definedName>
    <definedName name="Variable_lease_Mon_00615" localSheetId="0" hidden="1">monday_model.lp!$WS$2</definedName>
    <definedName name="Variable_lease_Mon_00615_Type" localSheetId="0" hidden="1">monday_model.lp!$WS$1782</definedName>
    <definedName name="Variable_lease_Mon_00616" localSheetId="0" hidden="1">monday_model.lp!$WT$2</definedName>
    <definedName name="Variable_lease_Mon_00616_Type" localSheetId="0" hidden="1">monday_model.lp!$WT$1782</definedName>
    <definedName name="Variable_lease_Mon_00617" localSheetId="0" hidden="1">monday_model.lp!$WU$2</definedName>
    <definedName name="Variable_lease_Mon_00617_Type" localSheetId="0" hidden="1">monday_model.lp!$WU$1782</definedName>
    <definedName name="Variable_lease_Mon_00618" localSheetId="0" hidden="1">monday_model.lp!$WV$2</definedName>
    <definedName name="Variable_lease_Mon_00618_Type" localSheetId="0" hidden="1">monday_model.lp!$WV$1782</definedName>
    <definedName name="Variable_lease_Mon_00619" localSheetId="0" hidden="1">monday_model.lp!$WW$2</definedName>
    <definedName name="Variable_lease_Mon_00619_Type" localSheetId="0" hidden="1">monday_model.lp!$WW$1782</definedName>
    <definedName name="Variable_lease_Mon_00620" localSheetId="0" hidden="1">monday_model.lp!$WX$2</definedName>
    <definedName name="Variable_lease_Mon_00620_Type" localSheetId="0" hidden="1">monday_model.lp!$WX$1782</definedName>
    <definedName name="Variable_lease_Mon_00621" localSheetId="0" hidden="1">monday_model.lp!$WY$2</definedName>
    <definedName name="Variable_lease_Mon_00621_Type" localSheetId="0" hidden="1">monday_model.lp!$WY$1782</definedName>
    <definedName name="Variable_lease_Mon_00622" localSheetId="0" hidden="1">monday_model.lp!$WZ$2</definedName>
    <definedName name="Variable_lease_Mon_00622_Type" localSheetId="0" hidden="1">monday_model.lp!$WZ$1782</definedName>
    <definedName name="Variable_lease_Mon_00623" localSheetId="0" hidden="1">monday_model.lp!$XA$2</definedName>
    <definedName name="Variable_lease_Mon_00623_Type" localSheetId="0" hidden="1">monday_model.lp!$XA$1782</definedName>
    <definedName name="Variable_lease_Mon_00624" localSheetId="0" hidden="1">monday_model.lp!$XB$2</definedName>
    <definedName name="Variable_lease_Mon_00624_Type" localSheetId="0" hidden="1">monday_model.lp!$XB$1782</definedName>
    <definedName name="Variable_lease_Mon_00625" localSheetId="0" hidden="1">monday_model.lp!$XC$2</definedName>
    <definedName name="Variable_lease_Mon_00625_Type" localSheetId="0" hidden="1">monday_model.lp!$XC$1782</definedName>
    <definedName name="Variable_lease_Mon_00626" localSheetId="0" hidden="1">monday_model.lp!$XD$2</definedName>
    <definedName name="Variable_lease_Mon_00626_Type" localSheetId="0" hidden="1">monday_model.lp!$XD$1782</definedName>
    <definedName name="Variable_lease_Mon_00627" localSheetId="0" hidden="1">monday_model.lp!$XE$2</definedName>
    <definedName name="Variable_lease_Mon_00627_Type" localSheetId="0" hidden="1">monday_model.lp!$XE$1782</definedName>
    <definedName name="Variable_lease_Mon_00628" localSheetId="0" hidden="1">monday_model.lp!$XF$2</definedName>
    <definedName name="Variable_lease_Mon_00628_Type" localSheetId="0" hidden="1">monday_model.lp!$XF$1782</definedName>
    <definedName name="Variable_lease_Mon_00629" localSheetId="0" hidden="1">monday_model.lp!$XG$2</definedName>
    <definedName name="Variable_lease_Mon_00629_Type" localSheetId="0" hidden="1">monday_model.lp!$XG$1782</definedName>
    <definedName name="Variable_lease_Mon_00630" localSheetId="0" hidden="1">monday_model.lp!$XH$2</definedName>
    <definedName name="Variable_lease_Mon_00630_Type" localSheetId="0" hidden="1">monday_model.lp!$XH$1782</definedName>
    <definedName name="Variable_lease_Mon_00631" localSheetId="0" hidden="1">monday_model.lp!$XI$2</definedName>
    <definedName name="Variable_lease_Mon_00631_Type" localSheetId="0" hidden="1">monday_model.lp!$XI$1782</definedName>
    <definedName name="Variable_lease_Mon_00632" localSheetId="0" hidden="1">monday_model.lp!$XJ$2</definedName>
    <definedName name="Variable_lease_Mon_00632_Type" localSheetId="0" hidden="1">monday_model.lp!$XJ$1782</definedName>
    <definedName name="Variable_lease_Mon_00633" localSheetId="0" hidden="1">monday_model.lp!$XK$2</definedName>
    <definedName name="Variable_lease_Mon_00633_Type" localSheetId="0" hidden="1">monday_model.lp!$XK$1782</definedName>
    <definedName name="Variable_lease_Mon_00634" localSheetId="0" hidden="1">monday_model.lp!$XL$2</definedName>
    <definedName name="Variable_lease_Mon_00634_Type" localSheetId="0" hidden="1">monday_model.lp!$XL$1782</definedName>
    <definedName name="Variable_lease_Mon_00635" localSheetId="0" hidden="1">monday_model.lp!$XM$2</definedName>
    <definedName name="Variable_lease_Mon_00635_Type" localSheetId="0" hidden="1">monday_model.lp!$XM$1782</definedName>
    <definedName name="Variable_lease_Mon_00636" localSheetId="0" hidden="1">monday_model.lp!$XN$2</definedName>
    <definedName name="Variable_lease_Mon_00636_Type" localSheetId="0" hidden="1">monday_model.lp!$XN$1782</definedName>
    <definedName name="Variable_lease_Mon_00637" localSheetId="0" hidden="1">monday_model.lp!$XO$2</definedName>
    <definedName name="Variable_lease_Mon_00637_Type" localSheetId="0" hidden="1">monday_model.lp!$XO$1782</definedName>
    <definedName name="Variable_lease_Mon_00638" localSheetId="0" hidden="1">monday_model.lp!$XP$2</definedName>
    <definedName name="Variable_lease_Mon_00638_Type" localSheetId="0" hidden="1">monday_model.lp!$XP$1782</definedName>
    <definedName name="Variable_lease_Mon_00639" localSheetId="0" hidden="1">monday_model.lp!$XQ$2</definedName>
    <definedName name="Variable_lease_Mon_00639_Type" localSheetId="0" hidden="1">monday_model.lp!$XQ$1782</definedName>
    <definedName name="Variable_lease_Mon_00640" localSheetId="0" hidden="1">monday_model.lp!$XR$2</definedName>
    <definedName name="Variable_lease_Mon_00640_Type" localSheetId="0" hidden="1">monday_model.lp!$XR$1782</definedName>
    <definedName name="Variable_lease_Mon_00641" localSheetId="0" hidden="1">monday_model.lp!$XS$2</definedName>
    <definedName name="Variable_lease_Mon_00641_Type" localSheetId="0" hidden="1">monday_model.lp!$XS$1782</definedName>
    <definedName name="Variable_lease_Mon_00642" localSheetId="0" hidden="1">monday_model.lp!$XT$2</definedName>
    <definedName name="Variable_lease_Mon_00642_Type" localSheetId="0" hidden="1">monday_model.lp!$XT$1782</definedName>
    <definedName name="Variable_lease_Mon_00643" localSheetId="0" hidden="1">monday_model.lp!$XU$2</definedName>
    <definedName name="Variable_lease_Mon_00643_Type" localSheetId="0" hidden="1">monday_model.lp!$XU$1782</definedName>
    <definedName name="Variable_lease_Mon_00644" localSheetId="0" hidden="1">monday_model.lp!$XV$2</definedName>
    <definedName name="Variable_lease_Mon_00644_Type" localSheetId="0" hidden="1">monday_model.lp!$XV$1782</definedName>
    <definedName name="Variable_lease_Mon_00645" localSheetId="0" hidden="1">monday_model.lp!$XW$2</definedName>
    <definedName name="Variable_lease_Mon_00645_Type" localSheetId="0" hidden="1">monday_model.lp!$XW$1782</definedName>
    <definedName name="Variable_lease_Mon_00646" localSheetId="0" hidden="1">monday_model.lp!$XX$2</definedName>
    <definedName name="Variable_lease_Mon_00646_Type" localSheetId="0" hidden="1">monday_model.lp!$XX$1782</definedName>
    <definedName name="Variable_lease_Mon_00647" localSheetId="0" hidden="1">monday_model.lp!$XY$2</definedName>
    <definedName name="Variable_lease_Mon_00647_Type" localSheetId="0" hidden="1">monday_model.lp!$XY$1782</definedName>
    <definedName name="Variable_lease_Mon_00648" localSheetId="0" hidden="1">monday_model.lp!$XZ$2</definedName>
    <definedName name="Variable_lease_Mon_00648_Type" localSheetId="0" hidden="1">monday_model.lp!$XZ$1782</definedName>
    <definedName name="Variable_lease_Mon_00649" localSheetId="0" hidden="1">monday_model.lp!$YA$2</definedName>
    <definedName name="Variable_lease_Mon_00649_Type" localSheetId="0" hidden="1">monday_model.lp!$YA$1782</definedName>
    <definedName name="Variable_lease_Mon_00650" localSheetId="0" hidden="1">monday_model.lp!$YB$2</definedName>
    <definedName name="Variable_lease_Mon_00650_Type" localSheetId="0" hidden="1">monday_model.lp!$YB$1782</definedName>
    <definedName name="Variable_lease_Mon_00651" localSheetId="0" hidden="1">monday_model.lp!$YC$2</definedName>
    <definedName name="Variable_lease_Mon_00651_Type" localSheetId="0" hidden="1">monday_model.lp!$YC$1782</definedName>
    <definedName name="Variable_lease_Mon_00652" localSheetId="0" hidden="1">monday_model.lp!$YD$2</definedName>
    <definedName name="Variable_lease_Mon_00652_Type" localSheetId="0" hidden="1">monday_model.lp!$YD$1782</definedName>
    <definedName name="Variable_lease_Mon_00653" localSheetId="0" hidden="1">monday_model.lp!$YE$2</definedName>
    <definedName name="Variable_lease_Mon_00653_Type" localSheetId="0" hidden="1">monday_model.lp!$YE$1782</definedName>
    <definedName name="Variable_lease_Mon_00654" localSheetId="0" hidden="1">monday_model.lp!$YF$2</definedName>
    <definedName name="Variable_lease_Mon_00654_Type" localSheetId="0" hidden="1">monday_model.lp!$YF$1782</definedName>
    <definedName name="Variable_lease_Mon_00655" localSheetId="0" hidden="1">monday_model.lp!$YG$2</definedName>
    <definedName name="Variable_lease_Mon_00655_Type" localSheetId="0" hidden="1">monday_model.lp!$YG$1782</definedName>
    <definedName name="Variable_lease_Mon_00656" localSheetId="0" hidden="1">monday_model.lp!$YH$2</definedName>
    <definedName name="Variable_lease_Mon_00656_Type" localSheetId="0" hidden="1">monday_model.lp!$YH$1782</definedName>
    <definedName name="Variable_lease_Mon_00657" localSheetId="0" hidden="1">monday_model.lp!$YI$2</definedName>
    <definedName name="Variable_lease_Mon_00657_Type" localSheetId="0" hidden="1">monday_model.lp!$YI$1782</definedName>
    <definedName name="Variable_lease_Mon_00658" localSheetId="0" hidden="1">monday_model.lp!$YJ$2</definedName>
    <definedName name="Variable_lease_Mon_00658_Type" localSheetId="0" hidden="1">monday_model.lp!$YJ$1782</definedName>
    <definedName name="Variable_lease_Mon_00659" localSheetId="0" hidden="1">monday_model.lp!$YK$2</definedName>
    <definedName name="Variable_lease_Mon_00659_Type" localSheetId="0" hidden="1">monday_model.lp!$YK$1782</definedName>
    <definedName name="Variable_lease_Mon_00660" localSheetId="0" hidden="1">monday_model.lp!$YL$2</definedName>
    <definedName name="Variable_lease_Mon_00660_Type" localSheetId="0" hidden="1">monday_model.lp!$YL$1782</definedName>
    <definedName name="Variable_lease_Mon_00661" localSheetId="0" hidden="1">monday_model.lp!$YM$2</definedName>
    <definedName name="Variable_lease_Mon_00661_Type" localSheetId="0" hidden="1">monday_model.lp!$YM$1782</definedName>
    <definedName name="Variable_lease_Mon_00662" localSheetId="0" hidden="1">monday_model.lp!$YN$2</definedName>
    <definedName name="Variable_lease_Mon_00662_Type" localSheetId="0" hidden="1">monday_model.lp!$YN$1782</definedName>
    <definedName name="Variable_lease_Mon_00663" localSheetId="0" hidden="1">monday_model.lp!$YO$2</definedName>
    <definedName name="Variable_lease_Mon_00663_Type" localSheetId="0" hidden="1">monday_model.lp!$YO$1782</definedName>
    <definedName name="Variable_lease_Mon_00664" localSheetId="0" hidden="1">monday_model.lp!$YP$2</definedName>
    <definedName name="Variable_lease_Mon_00664_Type" localSheetId="0" hidden="1">monday_model.lp!$YP$1782</definedName>
    <definedName name="Variable_lease_Mon_00665" localSheetId="0" hidden="1">monday_model.lp!$YQ$2</definedName>
    <definedName name="Variable_lease_Mon_00665_Type" localSheetId="0" hidden="1">monday_model.lp!$YQ$1782</definedName>
    <definedName name="Variable_lease_Mon_00666" localSheetId="0" hidden="1">monday_model.lp!$YR$2</definedName>
    <definedName name="Variable_lease_Mon_00666_Type" localSheetId="0" hidden="1">monday_model.lp!$YR$1782</definedName>
    <definedName name="Variable_lease_Mon_00667" localSheetId="0" hidden="1">monday_model.lp!$YS$2</definedName>
    <definedName name="Variable_lease_Mon_00667_Type" localSheetId="0" hidden="1">monday_model.lp!$YS$1782</definedName>
    <definedName name="Variable_lease_Mon_00668" localSheetId="0" hidden="1">monday_model.lp!$YT$2</definedName>
    <definedName name="Variable_lease_Mon_00668_Type" localSheetId="0" hidden="1">monday_model.lp!$YT$1782</definedName>
    <definedName name="Variable_lease_Mon_00669" localSheetId="0" hidden="1">monday_model.lp!$YU$2</definedName>
    <definedName name="Variable_lease_Mon_00669_Type" localSheetId="0" hidden="1">monday_model.lp!$YU$1782</definedName>
    <definedName name="Variable_lease_Mon_00670" localSheetId="0" hidden="1">monday_model.lp!$YV$2</definedName>
    <definedName name="Variable_lease_Mon_00670_Type" localSheetId="0" hidden="1">monday_model.lp!$YV$1782</definedName>
    <definedName name="Variable_lease_Mon_00671" localSheetId="0" hidden="1">monday_model.lp!$YW$2</definedName>
    <definedName name="Variable_lease_Mon_00671_Type" localSheetId="0" hidden="1">monday_model.lp!$YW$1782</definedName>
    <definedName name="Variable_lease_Mon_00672" localSheetId="0" hidden="1">monday_model.lp!$YX$2</definedName>
    <definedName name="Variable_lease_Mon_00672_Type" localSheetId="0" hidden="1">monday_model.lp!$YX$1782</definedName>
    <definedName name="Variable_lease_Mon_00673" localSheetId="0" hidden="1">monday_model.lp!$YY$2</definedName>
    <definedName name="Variable_lease_Mon_00673_Type" localSheetId="0" hidden="1">monday_model.lp!$YY$1782</definedName>
    <definedName name="Variable_lease_Mon_00674" localSheetId="0" hidden="1">monday_model.lp!$YZ$2</definedName>
    <definedName name="Variable_lease_Mon_00674_Type" localSheetId="0" hidden="1">monday_model.lp!$YZ$1782</definedName>
    <definedName name="Variable_lease_Mon_00675" localSheetId="0" hidden="1">monday_model.lp!$ZA$2</definedName>
    <definedName name="Variable_lease_Mon_00675_Type" localSheetId="0" hidden="1">monday_model.lp!$ZA$1782</definedName>
    <definedName name="Variable_lease_Mon_00676" localSheetId="0" hidden="1">monday_model.lp!$ZB$2</definedName>
    <definedName name="Variable_lease_Mon_00676_Type" localSheetId="0" hidden="1">monday_model.lp!$ZB$1782</definedName>
    <definedName name="Variable_lease_Mon_00677" localSheetId="0" hidden="1">monday_model.lp!$ZC$2</definedName>
    <definedName name="Variable_lease_Mon_00677_Type" localSheetId="0" hidden="1">monday_model.lp!$ZC$1782</definedName>
    <definedName name="Variable_lease_Mon_00678" localSheetId="0" hidden="1">monday_model.lp!$ZD$2</definedName>
    <definedName name="Variable_lease_Mon_00678_Type" localSheetId="0" hidden="1">monday_model.lp!$ZD$1782</definedName>
    <definedName name="Variable_lease_Mon_00679" localSheetId="0" hidden="1">monday_model.lp!$ZE$2</definedName>
    <definedName name="Variable_lease_Mon_00679_Type" localSheetId="0" hidden="1">monday_model.lp!$ZE$1782</definedName>
    <definedName name="Variable_lease_Mon_00680" localSheetId="0" hidden="1">monday_model.lp!$ZF$2</definedName>
    <definedName name="Variable_lease_Mon_00680_Type" localSheetId="0" hidden="1">monday_model.lp!$ZF$1782</definedName>
    <definedName name="Variable_lease_Mon_00681" localSheetId="0" hidden="1">monday_model.lp!$ZG$2</definedName>
    <definedName name="Variable_lease_Mon_00681_Type" localSheetId="0" hidden="1">monday_model.lp!$ZG$1782</definedName>
    <definedName name="Variable_lease_Mon_00682" localSheetId="0" hidden="1">monday_model.lp!$ZH$2</definedName>
    <definedName name="Variable_lease_Mon_00682_Type" localSheetId="0" hidden="1">monday_model.lp!$ZH$1782</definedName>
    <definedName name="Variable_lease_Mon_00683" localSheetId="0" hidden="1">monday_model.lp!$ZI$2</definedName>
    <definedName name="Variable_lease_Mon_00683_Type" localSheetId="0" hidden="1">monday_model.lp!$ZI$1782</definedName>
    <definedName name="Variable_lease_Mon_00684" localSheetId="0" hidden="1">monday_model.lp!$ZJ$2</definedName>
    <definedName name="Variable_lease_Mon_00684_Type" localSheetId="0" hidden="1">monday_model.lp!$ZJ$1782</definedName>
    <definedName name="Variable_lease_Mon_00685" localSheetId="0" hidden="1">monday_model.lp!$ZK$2</definedName>
    <definedName name="Variable_lease_Mon_00685_Type" localSheetId="0" hidden="1">monday_model.lp!$ZK$1782</definedName>
    <definedName name="Variable_lease_Mon_00686" localSheetId="0" hidden="1">monday_model.lp!$ZL$2</definedName>
    <definedName name="Variable_lease_Mon_00686_Type" localSheetId="0" hidden="1">monday_model.lp!$ZL$1782</definedName>
    <definedName name="Variable_lease_Mon_00687" localSheetId="0" hidden="1">monday_model.lp!$ZM$2</definedName>
    <definedName name="Variable_lease_Mon_00687_Type" localSheetId="0" hidden="1">monday_model.lp!$ZM$1782</definedName>
    <definedName name="Variable_lease_Mon_00688" localSheetId="0" hidden="1">monday_model.lp!$ZN$2</definedName>
    <definedName name="Variable_lease_Mon_00688_Type" localSheetId="0" hidden="1">monday_model.lp!$ZN$1782</definedName>
    <definedName name="Variable_lease_Mon_00689" localSheetId="0" hidden="1">monday_model.lp!$ZO$2</definedName>
    <definedName name="Variable_lease_Mon_00689_Type" localSheetId="0" hidden="1">monday_model.lp!$ZO$1782</definedName>
    <definedName name="Variable_lease_Mon_00690" localSheetId="0" hidden="1">monday_model.lp!$ZP$2</definedName>
    <definedName name="Variable_lease_Mon_00690_Type" localSheetId="0" hidden="1">monday_model.lp!$ZP$1782</definedName>
    <definedName name="Variable_lease_Mon_00691" localSheetId="0" hidden="1">monday_model.lp!$ZQ$2</definedName>
    <definedName name="Variable_lease_Mon_00691_Type" localSheetId="0" hidden="1">monday_model.lp!$ZQ$1782</definedName>
    <definedName name="Variable_lease_Mon_00692" localSheetId="0" hidden="1">monday_model.lp!$ZR$2</definedName>
    <definedName name="Variable_lease_Mon_00692_Type" localSheetId="0" hidden="1">monday_model.lp!$ZR$1782</definedName>
    <definedName name="Variable_lease_Mon_00693" localSheetId="0" hidden="1">monday_model.lp!$ZS$2</definedName>
    <definedName name="Variable_lease_Mon_00693_Type" localSheetId="0" hidden="1">monday_model.lp!$ZS$1782</definedName>
    <definedName name="Variable_lease_Mon_00694" localSheetId="0" hidden="1">monday_model.lp!$ZT$2</definedName>
    <definedName name="Variable_lease_Mon_00694_Type" localSheetId="0" hidden="1">monday_model.lp!$ZT$1782</definedName>
    <definedName name="Variable_lease_Mon_00695" localSheetId="0" hidden="1">monday_model.lp!$ZU$2</definedName>
    <definedName name="Variable_lease_Mon_00695_Type" localSheetId="0" hidden="1">monday_model.lp!$ZU$1782</definedName>
    <definedName name="Variable_lease_Mon_00696" localSheetId="0" hidden="1">monday_model.lp!$ZV$2</definedName>
    <definedName name="Variable_lease_Mon_00696_Type" localSheetId="0" hidden="1">monday_model.lp!$ZV$1782</definedName>
    <definedName name="Variable_lease_Mon_00697" localSheetId="0" hidden="1">monday_model.lp!$ZW$2</definedName>
    <definedName name="Variable_lease_Mon_00697_Type" localSheetId="0" hidden="1">monday_model.lp!$ZW$1782</definedName>
    <definedName name="Variable_lease_Mon_00698" localSheetId="0" hidden="1">monday_model.lp!$ZX$2</definedName>
    <definedName name="Variable_lease_Mon_00698_Type" localSheetId="0" hidden="1">monday_model.lp!$ZX$1782</definedName>
    <definedName name="Variable_lease_Mon_00699" localSheetId="0" hidden="1">monday_model.lp!$ZY$2</definedName>
    <definedName name="Variable_lease_Mon_00699_Type" localSheetId="0" hidden="1">monday_model.lp!$ZY$1782</definedName>
    <definedName name="Variable_lease_Mon_00700" localSheetId="0" hidden="1">monday_model.lp!$ZZ$2</definedName>
    <definedName name="Variable_lease_Mon_00700_Type" localSheetId="0" hidden="1">monday_model.lp!$ZZ$1782</definedName>
    <definedName name="Variable_lease_Mon_00701" localSheetId="0" hidden="1">monday_model.lp!$AAA$2</definedName>
    <definedName name="Variable_lease_Mon_00701_Type" localSheetId="0" hidden="1">monday_model.lp!$AAA$1782</definedName>
    <definedName name="Variable_lease_Mon_00702" localSheetId="0" hidden="1">monday_model.lp!$AAB$2</definedName>
    <definedName name="Variable_lease_Mon_00702_Type" localSheetId="0" hidden="1">monday_model.lp!$AAB$1782</definedName>
    <definedName name="Variable_lease_Mon_00703" localSheetId="0" hidden="1">monday_model.lp!$AAC$2</definedName>
    <definedName name="Variable_lease_Mon_00703_Type" localSheetId="0" hidden="1">monday_model.lp!$AAC$1782</definedName>
    <definedName name="Variable_lease_Mon_00704" localSheetId="0" hidden="1">monday_model.lp!$AAD$2</definedName>
    <definedName name="Variable_lease_Mon_00704_Type" localSheetId="0" hidden="1">monday_model.lp!$AAD$1782</definedName>
    <definedName name="Variable_lease_Mon_00705" localSheetId="0" hidden="1">monday_model.lp!$AAE$2</definedName>
    <definedName name="Variable_lease_Mon_00705_Type" localSheetId="0" hidden="1">monday_model.lp!$AAE$1782</definedName>
    <definedName name="Variable_lease_Mon_00706" localSheetId="0" hidden="1">monday_model.lp!$AAF$2</definedName>
    <definedName name="Variable_lease_Mon_00706_Type" localSheetId="0" hidden="1">monday_model.lp!$AAF$1782</definedName>
    <definedName name="Variable_lease_Mon_00707" localSheetId="0" hidden="1">monday_model.lp!$AAG$2</definedName>
    <definedName name="Variable_lease_Mon_00707_Type" localSheetId="0" hidden="1">monday_model.lp!$AAG$1782</definedName>
    <definedName name="Variable_lease_Mon_00708" localSheetId="0" hidden="1">monday_model.lp!$AAH$2</definedName>
    <definedName name="Variable_lease_Mon_00708_Type" localSheetId="0" hidden="1">monday_model.lp!$AAH$1782</definedName>
    <definedName name="Variable_lease_Mon_00709" localSheetId="0" hidden="1">monday_model.lp!$AAI$2</definedName>
    <definedName name="Variable_lease_Mon_00709_Type" localSheetId="0" hidden="1">monday_model.lp!$AAI$1782</definedName>
    <definedName name="Variable_lease_Mon_00710" localSheetId="0" hidden="1">monday_model.lp!$AAJ$2</definedName>
    <definedName name="Variable_lease_Mon_00710_Type" localSheetId="0" hidden="1">monday_model.lp!$AAJ$1782</definedName>
    <definedName name="Variable_lease_Mon_00711" localSheetId="0" hidden="1">monday_model.lp!$AAK$2</definedName>
    <definedName name="Variable_lease_Mon_00711_Type" localSheetId="0" hidden="1">monday_model.lp!$AAK$1782</definedName>
    <definedName name="Variable_lease_Mon_00712" localSheetId="0" hidden="1">monday_model.lp!$AAL$2</definedName>
    <definedName name="Variable_lease_Mon_00712_Type" localSheetId="0" hidden="1">monday_model.lp!$AAL$1782</definedName>
    <definedName name="Variable_lease_Mon_00713" localSheetId="0" hidden="1">monday_model.lp!$AAM$2</definedName>
    <definedName name="Variable_lease_Mon_00713_Type" localSheetId="0" hidden="1">monday_model.lp!$AAM$1782</definedName>
    <definedName name="Variable_lease_Mon_00714" localSheetId="0" hidden="1">monday_model.lp!$AAN$2</definedName>
    <definedName name="Variable_lease_Mon_00714_Type" localSheetId="0" hidden="1">monday_model.lp!$AAN$1782</definedName>
    <definedName name="Variable_lease_Mon_00715" localSheetId="0" hidden="1">monday_model.lp!$AAO$2</definedName>
    <definedName name="Variable_lease_Mon_00715_Type" localSheetId="0" hidden="1">monday_model.lp!$AAO$1782</definedName>
    <definedName name="Variable_lease_Mon_00716" localSheetId="0" hidden="1">monday_model.lp!$AAP$2</definedName>
    <definedName name="Variable_lease_Mon_00716_Type" localSheetId="0" hidden="1">monday_model.lp!$AAP$1782</definedName>
    <definedName name="Variable_lease_Mon_00717" localSheetId="0" hidden="1">monday_model.lp!$AAQ$2</definedName>
    <definedName name="Variable_lease_Mon_00717_Type" localSheetId="0" hidden="1">monday_model.lp!$AAQ$1782</definedName>
    <definedName name="Variable_lease_Mon_00718" localSheetId="0" hidden="1">monday_model.lp!$AAR$2</definedName>
    <definedName name="Variable_lease_Mon_00718_Type" localSheetId="0" hidden="1">monday_model.lp!$AAR$1782</definedName>
    <definedName name="Variable_lease_Mon_00719" localSheetId="0" hidden="1">monday_model.lp!$AAS$2</definedName>
    <definedName name="Variable_lease_Mon_00719_Type" localSheetId="0" hidden="1">monday_model.lp!$AAS$1782</definedName>
    <definedName name="Variable_lease_Mon_00720" localSheetId="0" hidden="1">monday_model.lp!$AAT$2</definedName>
    <definedName name="Variable_lease_Mon_00720_Type" localSheetId="0" hidden="1">monday_model.lp!$AAT$1782</definedName>
    <definedName name="Variable_lease_Mon_00721" localSheetId="0" hidden="1">monday_model.lp!$AAU$2</definedName>
    <definedName name="Variable_lease_Mon_00721_Type" localSheetId="0" hidden="1">monday_model.lp!$AAU$1782</definedName>
    <definedName name="Variable_lease_Mon_00722" localSheetId="0" hidden="1">monday_model.lp!$AAV$2</definedName>
    <definedName name="Variable_lease_Mon_00722_Type" localSheetId="0" hidden="1">monday_model.lp!$AAV$1782</definedName>
    <definedName name="Variable_lease_Mon_00723" localSheetId="0" hidden="1">monday_model.lp!$AAW$2</definedName>
    <definedName name="Variable_lease_Mon_00723_Type" localSheetId="0" hidden="1">monday_model.lp!$AAW$1782</definedName>
    <definedName name="Variable_lease_Mon_00724" localSheetId="0" hidden="1">monday_model.lp!$AAX$2</definedName>
    <definedName name="Variable_lease_Mon_00724_Type" localSheetId="0" hidden="1">monday_model.lp!$AAX$1782</definedName>
    <definedName name="Variable_lease_Mon_00725" localSheetId="0" hidden="1">monday_model.lp!$AAY$2</definedName>
    <definedName name="Variable_lease_Mon_00725_Type" localSheetId="0" hidden="1">monday_model.lp!$AAY$1782</definedName>
    <definedName name="Variable_lease_Mon_00726" localSheetId="0" hidden="1">monday_model.lp!$AAZ$2</definedName>
    <definedName name="Variable_lease_Mon_00726_Type" localSheetId="0" hidden="1">monday_model.lp!$AAZ$1782</definedName>
    <definedName name="Variable_lease_Mon_00727" localSheetId="0" hidden="1">monday_model.lp!$ABA$2</definedName>
    <definedName name="Variable_lease_Mon_00727_Type" localSheetId="0" hidden="1">monday_model.lp!$ABA$1782</definedName>
    <definedName name="Variable_lease_Mon_00728" localSheetId="0" hidden="1">monday_model.lp!$ABB$2</definedName>
    <definedName name="Variable_lease_Mon_00728_Type" localSheetId="0" hidden="1">monday_model.lp!$ABB$1782</definedName>
    <definedName name="Variable_lease_Mon_00729" localSheetId="0" hidden="1">monday_model.lp!$ABC$2</definedName>
    <definedName name="Variable_lease_Mon_00729_Type" localSheetId="0" hidden="1">monday_model.lp!$ABC$1782</definedName>
    <definedName name="Variable_lease_Mon_00730" localSheetId="0" hidden="1">monday_model.lp!$ABD$2</definedName>
    <definedName name="Variable_lease_Mon_00730_Type" localSheetId="0" hidden="1">monday_model.lp!$ABD$1782</definedName>
    <definedName name="Variable_lease_Mon_00731" localSheetId="0" hidden="1">monday_model.lp!$ABE$2</definedName>
    <definedName name="Variable_lease_Mon_00731_Type" localSheetId="0" hidden="1">monday_model.lp!$ABE$1782</definedName>
    <definedName name="Variable_lease_Mon_00732" localSheetId="0" hidden="1">monday_model.lp!$ABF$2</definedName>
    <definedName name="Variable_lease_Mon_00732_Type" localSheetId="0" hidden="1">monday_model.lp!$ABF$1782</definedName>
    <definedName name="Variable_lease_Mon_00733" localSheetId="0" hidden="1">monday_model.lp!$ABG$2</definedName>
    <definedName name="Variable_lease_Mon_00733_Type" localSheetId="0" hidden="1">monday_model.lp!$ABG$1782</definedName>
    <definedName name="Variable_lease_Mon_00734" localSheetId="0" hidden="1">monday_model.lp!$ABH$2</definedName>
    <definedName name="Variable_lease_Mon_00734_Type" localSheetId="0" hidden="1">monday_model.lp!$ABH$1782</definedName>
    <definedName name="Variable_lease_Mon_00735" localSheetId="0" hidden="1">monday_model.lp!$ABI$2</definedName>
    <definedName name="Variable_lease_Mon_00735_Type" localSheetId="0" hidden="1">monday_model.lp!$ABI$1782</definedName>
    <definedName name="Variable_lease_Mon_00736" localSheetId="0" hidden="1">monday_model.lp!$ABJ$2</definedName>
    <definedName name="Variable_lease_Mon_00736_Type" localSheetId="0" hidden="1">monday_model.lp!$ABJ$1782</definedName>
    <definedName name="Variable_lease_Mon_00737" localSheetId="0" hidden="1">monday_model.lp!$ABK$2</definedName>
    <definedName name="Variable_lease_Mon_00737_Type" localSheetId="0" hidden="1">monday_model.lp!$ABK$1782</definedName>
    <definedName name="Variable_lease_Mon_00738" localSheetId="0" hidden="1">monday_model.lp!$ABL$2</definedName>
    <definedName name="Variable_lease_Mon_00738_Type" localSheetId="0" hidden="1">monday_model.lp!$ABL$1782</definedName>
    <definedName name="Variable_lease_Mon_00739" localSheetId="0" hidden="1">monday_model.lp!$ABM$2</definedName>
    <definedName name="Variable_lease_Mon_00739_Type" localSheetId="0" hidden="1">monday_model.lp!$ABM$1782</definedName>
    <definedName name="Variable_lease_Mon_00740" localSheetId="0" hidden="1">monday_model.lp!$ABN$2</definedName>
    <definedName name="Variable_lease_Mon_00740_Type" localSheetId="0" hidden="1">monday_model.lp!$ABN$1782</definedName>
    <definedName name="Variable_lease_Mon_00741" localSheetId="0" hidden="1">monday_model.lp!$ABO$2</definedName>
    <definedName name="Variable_lease_Mon_00741_Type" localSheetId="0" hidden="1">monday_model.lp!$ABO$1782</definedName>
    <definedName name="Variable_lease_Mon_00742" localSheetId="0" hidden="1">monday_model.lp!$ABP$2</definedName>
    <definedName name="Variable_lease_Mon_00742_Type" localSheetId="0" hidden="1">monday_model.lp!$ABP$1782</definedName>
    <definedName name="Variable_lease_Mon_00743" localSheetId="0" hidden="1">monday_model.lp!$ABQ$2</definedName>
    <definedName name="Variable_lease_Mon_00743_Type" localSheetId="0" hidden="1">monday_model.lp!$ABQ$1782</definedName>
    <definedName name="Variable_lease_Mon_00744" localSheetId="0" hidden="1">monday_model.lp!$ABR$2</definedName>
    <definedName name="Variable_lease_Mon_00744_Type" localSheetId="0" hidden="1">monday_model.lp!$ABR$1782</definedName>
    <definedName name="Variable_lease_Mon_00745" localSheetId="0" hidden="1">monday_model.lp!$ABS$2</definedName>
    <definedName name="Variable_lease_Mon_00745_Type" localSheetId="0" hidden="1">monday_model.lp!$ABS$1782</definedName>
    <definedName name="Variable_lease_Mon_00746" localSheetId="0" hidden="1">monday_model.lp!$ABT$2</definedName>
    <definedName name="Variable_lease_Mon_00746_Type" localSheetId="0" hidden="1">monday_model.lp!$ABT$1782</definedName>
    <definedName name="Variable_lease_Mon_00747" localSheetId="0" hidden="1">monday_model.lp!$ABU$2</definedName>
    <definedName name="Variable_lease_Mon_00747_Type" localSheetId="0" hidden="1">monday_model.lp!$ABU$1782</definedName>
    <definedName name="Variable_lease_Mon_00748" localSheetId="0" hidden="1">monday_model.lp!$ABV$2</definedName>
    <definedName name="Variable_lease_Mon_00748_Type" localSheetId="0" hidden="1">monday_model.lp!$ABV$1782</definedName>
    <definedName name="Variable_lease_Mon_00749" localSheetId="0" hidden="1">monday_model.lp!$ABW$2</definedName>
    <definedName name="Variable_lease_Mon_00749_Type" localSheetId="0" hidden="1">monday_model.lp!$ABW$1782</definedName>
    <definedName name="Variable_lease_Mon_00750" localSheetId="0" hidden="1">monday_model.lp!$ABX$2</definedName>
    <definedName name="Variable_lease_Mon_00750_Type" localSheetId="0" hidden="1">monday_model.lp!$ABX$1782</definedName>
    <definedName name="Variable_lease_Mon_00751" localSheetId="0" hidden="1">monday_model.lp!$ABY$2</definedName>
    <definedName name="Variable_lease_Mon_00751_Type" localSheetId="0" hidden="1">monday_model.lp!$ABY$1782</definedName>
    <definedName name="Variable_lease_Mon_00752" localSheetId="0" hidden="1">monday_model.lp!$ABZ$2</definedName>
    <definedName name="Variable_lease_Mon_00752_Type" localSheetId="0" hidden="1">monday_model.lp!$ABZ$1782</definedName>
    <definedName name="Variable_lease_Mon_00753" localSheetId="0" hidden="1">monday_model.lp!$ACA$2</definedName>
    <definedName name="Variable_lease_Mon_00753_Type" localSheetId="0" hidden="1">monday_model.lp!$ACA$1782</definedName>
    <definedName name="Variable_lease_Mon_00754" localSheetId="0" hidden="1">monday_model.lp!$ACB$2</definedName>
    <definedName name="Variable_lease_Mon_00754_Type" localSheetId="0" hidden="1">monday_model.lp!$ACB$1782</definedName>
    <definedName name="Variable_lease_Mon_00755" localSheetId="0" hidden="1">monday_model.lp!$ACC$2</definedName>
    <definedName name="Variable_lease_Mon_00755_Type" localSheetId="0" hidden="1">monday_model.lp!$ACC$1782</definedName>
    <definedName name="Variable_lease_Mon_00756" localSheetId="0" hidden="1">monday_model.lp!$ACD$2</definedName>
    <definedName name="Variable_lease_Mon_00756_Type" localSheetId="0" hidden="1">monday_model.lp!$ACD$1782</definedName>
    <definedName name="Variable_lease_Mon_00757" localSheetId="0" hidden="1">monday_model.lp!$ACE$2</definedName>
    <definedName name="Variable_lease_Mon_00757_Type" localSheetId="0" hidden="1">monday_model.lp!$ACE$1782</definedName>
    <definedName name="Variable_lease_Mon_00758" localSheetId="0" hidden="1">monday_model.lp!$ACF$2</definedName>
    <definedName name="Variable_lease_Mon_00758_Type" localSheetId="0" hidden="1">monday_model.lp!$ACF$1782</definedName>
    <definedName name="Variable_lease_Mon_00759" localSheetId="0" hidden="1">monday_model.lp!$ACG$2</definedName>
    <definedName name="Variable_lease_Mon_00759_Type" localSheetId="0" hidden="1">monday_model.lp!$ACG$1782</definedName>
    <definedName name="Variable_lease_Mon_00760" localSheetId="0" hidden="1">monday_model.lp!$ACH$2</definedName>
    <definedName name="Variable_lease_Mon_00760_Type" localSheetId="0" hidden="1">monday_model.lp!$ACH$1782</definedName>
    <definedName name="Variable_lease_Mon_00761" localSheetId="0" hidden="1">monday_model.lp!$ACI$2</definedName>
    <definedName name="Variable_lease_Mon_00761_Type" localSheetId="0" hidden="1">monday_model.lp!$ACI$1782</definedName>
    <definedName name="Variable_lease_Mon_00762" localSheetId="0" hidden="1">monday_model.lp!$ACJ$2</definedName>
    <definedName name="Variable_lease_Mon_00762_Type" localSheetId="0" hidden="1">monday_model.lp!$ACJ$1782</definedName>
    <definedName name="Variable_lease_Mon_00763" localSheetId="0" hidden="1">monday_model.lp!$ACK$2</definedName>
    <definedName name="Variable_lease_Mon_00763_Type" localSheetId="0" hidden="1">monday_model.lp!$ACK$1782</definedName>
    <definedName name="Variable_lease_Mon_00764" localSheetId="0" hidden="1">monday_model.lp!$ACL$2</definedName>
    <definedName name="Variable_lease_Mon_00764_Type" localSheetId="0" hidden="1">monday_model.lp!$ACL$1782</definedName>
    <definedName name="Variable_lease_Mon_00765" localSheetId="0" hidden="1">monday_model.lp!$ACM$2</definedName>
    <definedName name="Variable_lease_Mon_00765_Type" localSheetId="0" hidden="1">monday_model.lp!$ACM$1782</definedName>
    <definedName name="Variable_lease_Mon_00766" localSheetId="0" hidden="1">monday_model.lp!$ACN$2</definedName>
    <definedName name="Variable_lease_Mon_00766_Type" localSheetId="0" hidden="1">monday_model.lp!$ACN$1782</definedName>
    <definedName name="Variable_lease_Mon_00767" localSheetId="0" hidden="1">monday_model.lp!$ACO$2</definedName>
    <definedName name="Variable_lease_Mon_00767_Type" localSheetId="0" hidden="1">monday_model.lp!$ACO$1782</definedName>
    <definedName name="Variable_lease_Mon_00768" localSheetId="0" hidden="1">monday_model.lp!$ACP$2</definedName>
    <definedName name="Variable_lease_Mon_00768_Type" localSheetId="0" hidden="1">monday_model.lp!$ACP$1782</definedName>
    <definedName name="Variable_lease_Mon_00769" localSheetId="0" hidden="1">monday_model.lp!$ACQ$2</definedName>
    <definedName name="Variable_lease_Mon_00769_Type" localSheetId="0" hidden="1">monday_model.lp!$ACQ$1782</definedName>
    <definedName name="Variable_lease_Mon_00770" localSheetId="0" hidden="1">monday_model.lp!$ACR$2</definedName>
    <definedName name="Variable_lease_Mon_00770_Type" localSheetId="0" hidden="1">monday_model.lp!$ACR$1782</definedName>
    <definedName name="Variable_lease_Mon_00771" localSheetId="0" hidden="1">monday_model.lp!$ACS$2</definedName>
    <definedName name="Variable_lease_Mon_00771_Type" localSheetId="0" hidden="1">monday_model.lp!$ACS$1782</definedName>
    <definedName name="Variable_lease_Mon_00772" localSheetId="0" hidden="1">monday_model.lp!$ACT$2</definedName>
    <definedName name="Variable_lease_Mon_00772_Type" localSheetId="0" hidden="1">monday_model.lp!$ACT$1782</definedName>
    <definedName name="Variable_lease_Mon_00773" localSheetId="0" hidden="1">monday_model.lp!$ACU$2</definedName>
    <definedName name="Variable_lease_Mon_00773_Type" localSheetId="0" hidden="1">monday_model.lp!$ACU$1782</definedName>
    <definedName name="Variable_lease_Mon_00774" localSheetId="0" hidden="1">monday_model.lp!$ACV$2</definedName>
    <definedName name="Variable_lease_Mon_00774_Type" localSheetId="0" hidden="1">monday_model.lp!$ACV$1782</definedName>
    <definedName name="Variable_lease_Mon_00775" localSheetId="0" hidden="1">monday_model.lp!$ACW$2</definedName>
    <definedName name="Variable_lease_Mon_00775_Type" localSheetId="0" hidden="1">monday_model.lp!$ACW$1782</definedName>
    <definedName name="Variable_lease_Mon_00776" localSheetId="0" hidden="1">monday_model.lp!$ACX$2</definedName>
    <definedName name="Variable_lease_Mon_00776_Type" localSheetId="0" hidden="1">monday_model.lp!$ACX$1782</definedName>
    <definedName name="Variable_lease_Mon_00777" localSheetId="0" hidden="1">monday_model.lp!$ACY$2</definedName>
    <definedName name="Variable_lease_Mon_00777_Type" localSheetId="0" hidden="1">monday_model.lp!$ACY$1782</definedName>
    <definedName name="Variable_lease_Mon_00778" localSheetId="0" hidden="1">monday_model.lp!$ACZ$2</definedName>
    <definedName name="Variable_lease_Mon_00778_Type" localSheetId="0" hidden="1">monday_model.lp!$ACZ$1782</definedName>
    <definedName name="Variable_lease_Mon_00779" localSheetId="0" hidden="1">monday_model.lp!$ADA$2</definedName>
    <definedName name="Variable_lease_Mon_00779_Type" localSheetId="0" hidden="1">monday_model.lp!$ADA$1782</definedName>
    <definedName name="Variable_lease_Mon_00780" localSheetId="0" hidden="1">monday_model.lp!$ADB$2</definedName>
    <definedName name="Variable_lease_Mon_00780_Type" localSheetId="0" hidden="1">monday_model.lp!$ADB$1782</definedName>
    <definedName name="Variable_lease_Mon_00781" localSheetId="0" hidden="1">monday_model.lp!$ADC$2</definedName>
    <definedName name="Variable_lease_Mon_00781_Type" localSheetId="0" hidden="1">monday_model.lp!$ADC$1782</definedName>
    <definedName name="Variable_lease_Mon_00782" localSheetId="0" hidden="1">monday_model.lp!$ADD$2</definedName>
    <definedName name="Variable_lease_Mon_00782_Type" localSheetId="0" hidden="1">monday_model.lp!$ADD$1782</definedName>
    <definedName name="Variable_lease_Mon_00783" localSheetId="0" hidden="1">monday_model.lp!$ADE$2</definedName>
    <definedName name="Variable_lease_Mon_00783_Type" localSheetId="0" hidden="1">monday_model.lp!$ADE$1782</definedName>
    <definedName name="Variable_lease_Mon_00784" localSheetId="0" hidden="1">monday_model.lp!$ADF$2</definedName>
    <definedName name="Variable_lease_Mon_00784_Type" localSheetId="0" hidden="1">monday_model.lp!$ADF$1782</definedName>
    <definedName name="Variable_lease_Mon_00785" localSheetId="0" hidden="1">monday_model.lp!$ADG$2</definedName>
    <definedName name="Variable_lease_Mon_00785_Type" localSheetId="0" hidden="1">monday_model.lp!$ADG$1782</definedName>
    <definedName name="Variable_lease_Mon_00786" localSheetId="0" hidden="1">monday_model.lp!$ADH$2</definedName>
    <definedName name="Variable_lease_Mon_00786_Type" localSheetId="0" hidden="1">monday_model.lp!$ADH$1782</definedName>
    <definedName name="Variable_lease_Mon_00787" localSheetId="0" hidden="1">monday_model.lp!$ADI$2</definedName>
    <definedName name="Variable_lease_Mon_00787_Type" localSheetId="0" hidden="1">monday_model.lp!$ADI$1782</definedName>
    <definedName name="Variable_lease_Mon_00788" localSheetId="0" hidden="1">monday_model.lp!$ADJ$2</definedName>
    <definedName name="Variable_lease_Mon_00788_Type" localSheetId="0" hidden="1">monday_model.lp!$ADJ$1782</definedName>
    <definedName name="Variable_lease_Mon_00789" localSheetId="0" hidden="1">monday_model.lp!$ADK$2</definedName>
    <definedName name="Variable_lease_Mon_00789_Type" localSheetId="0" hidden="1">monday_model.lp!$ADK$1782</definedName>
    <definedName name="Variable_lease_Mon_00790" localSheetId="0" hidden="1">monday_model.lp!$ADL$2</definedName>
    <definedName name="Variable_lease_Mon_00790_Type" localSheetId="0" hidden="1">monday_model.lp!$ADL$1782</definedName>
    <definedName name="Variable_lease_Mon_00791" localSheetId="0" hidden="1">monday_model.lp!$ADM$2</definedName>
    <definedName name="Variable_lease_Mon_00791_Type" localSheetId="0" hidden="1">monday_model.lp!$ADM$1782</definedName>
    <definedName name="Variable_lease_Mon_00792" localSheetId="0" hidden="1">monday_model.lp!$ADN$2</definedName>
    <definedName name="Variable_lease_Mon_00792_Type" localSheetId="0" hidden="1">monday_model.lp!$ADN$1782</definedName>
    <definedName name="Variable_lease_Mon_00793" localSheetId="0" hidden="1">monday_model.lp!$ADO$2</definedName>
    <definedName name="Variable_lease_Mon_00793_Type" localSheetId="0" hidden="1">monday_model.lp!$ADO$1782</definedName>
    <definedName name="Variable_lease_Mon_00794" localSheetId="0" hidden="1">monday_model.lp!$ADP$2</definedName>
    <definedName name="Variable_lease_Mon_00794_Type" localSheetId="0" hidden="1">monday_model.lp!$ADP$1782</definedName>
    <definedName name="Variable_lease_Mon_00795" localSheetId="0" hidden="1">monday_model.lp!$ADQ$2</definedName>
    <definedName name="Variable_lease_Mon_00795_Type" localSheetId="0" hidden="1">monday_model.lp!$ADQ$1782</definedName>
    <definedName name="Variable_lease_Mon_00796" localSheetId="0" hidden="1">monday_model.lp!$ADR$2</definedName>
    <definedName name="Variable_lease_Mon_00796_Type" localSheetId="0" hidden="1">monday_model.lp!$ADR$1782</definedName>
    <definedName name="Variable_lease_Mon_00797" localSheetId="0" hidden="1">monday_model.lp!$ADS$2</definedName>
    <definedName name="Variable_lease_Mon_00797_Type" localSheetId="0" hidden="1">monday_model.lp!$ADS$1782</definedName>
    <definedName name="Variable_lease_Mon_00798" localSheetId="0" hidden="1">monday_model.lp!$ADT$2</definedName>
    <definedName name="Variable_lease_Mon_00798_Type" localSheetId="0" hidden="1">monday_model.lp!$ADT$1782</definedName>
    <definedName name="Variable_lease_Mon_00799" localSheetId="0" hidden="1">monday_model.lp!$ADU$2</definedName>
    <definedName name="Variable_lease_Mon_00799_Type" localSheetId="0" hidden="1">monday_model.lp!$ADU$1782</definedName>
    <definedName name="Variable_lease_Mon_00800" localSheetId="0" hidden="1">monday_model.lp!$ADV$2</definedName>
    <definedName name="Variable_lease_Mon_00800_Type" localSheetId="0" hidden="1">monday_model.lp!$ADV$1782</definedName>
    <definedName name="Variable_lease_Mon_00801" localSheetId="0" hidden="1">monday_model.lp!$ADW$2</definedName>
    <definedName name="Variable_lease_Mon_00801_Type" localSheetId="0" hidden="1">monday_model.lp!$ADW$1782</definedName>
    <definedName name="Variable_lease_Mon_00802" localSheetId="0" hidden="1">monday_model.lp!$ADX$2</definedName>
    <definedName name="Variable_lease_Mon_00802_Type" localSheetId="0" hidden="1">monday_model.lp!$ADX$1782</definedName>
    <definedName name="Variable_lease_Mon_00803" localSheetId="0" hidden="1">monday_model.lp!$ADY$2</definedName>
    <definedName name="Variable_lease_Mon_00803_Type" localSheetId="0" hidden="1">monday_model.lp!$ADY$1782</definedName>
    <definedName name="Variable_lease_Mon_00804" localSheetId="0" hidden="1">monday_model.lp!$ADZ$2</definedName>
    <definedName name="Variable_lease_Mon_00804_Type" localSheetId="0" hidden="1">monday_model.lp!$ADZ$1782</definedName>
    <definedName name="Variable_lease_Mon_00805" localSheetId="0" hidden="1">monday_model.lp!$AEA$2</definedName>
    <definedName name="Variable_lease_Mon_00805_Type" localSheetId="0" hidden="1">monday_model.lp!$AEA$1782</definedName>
    <definedName name="Variable_lease_Mon_00806" localSheetId="0" hidden="1">monday_model.lp!$AEB$2</definedName>
    <definedName name="Variable_lease_Mon_00806_Type" localSheetId="0" hidden="1">monday_model.lp!$AEB$1782</definedName>
    <definedName name="Variable_lease_Mon_00807" localSheetId="0" hidden="1">monday_model.lp!$AEC$2</definedName>
    <definedName name="Variable_lease_Mon_00807_Type" localSheetId="0" hidden="1">monday_model.lp!$AEC$1782</definedName>
    <definedName name="Variable_lease_Mon_00808" localSheetId="0" hidden="1">monday_model.lp!$AED$2</definedName>
    <definedName name="Variable_lease_Mon_00808_Type" localSheetId="0" hidden="1">monday_model.lp!$AED$1782</definedName>
    <definedName name="Variable_lease_Mon_00809" localSheetId="0" hidden="1">monday_model.lp!$AEE$2</definedName>
    <definedName name="Variable_lease_Mon_00809_Type" localSheetId="0" hidden="1">monday_model.lp!$AEE$1782</definedName>
    <definedName name="Variable_lease_Mon_00810" localSheetId="0" hidden="1">monday_model.lp!$AEF$2</definedName>
    <definedName name="Variable_lease_Mon_00810_Type" localSheetId="0" hidden="1">monday_model.lp!$AEF$1782</definedName>
    <definedName name="Variable_lease_Mon_00811" localSheetId="0" hidden="1">monday_model.lp!$AEG$2</definedName>
    <definedName name="Variable_lease_Mon_00811_Type" localSheetId="0" hidden="1">monday_model.lp!$AEG$1782</definedName>
    <definedName name="Variable_lease_Mon_00812" localSheetId="0" hidden="1">monday_model.lp!$AEH$2</definedName>
    <definedName name="Variable_lease_Mon_00812_Type" localSheetId="0" hidden="1">monday_model.lp!$AEH$1782</definedName>
    <definedName name="Variable_lease_Mon_00813" localSheetId="0" hidden="1">monday_model.lp!$AEI$2</definedName>
    <definedName name="Variable_lease_Mon_00813_Type" localSheetId="0" hidden="1">monday_model.lp!$AEI$1782</definedName>
    <definedName name="Variable_lease_Mon_00814" localSheetId="0" hidden="1">monday_model.lp!$AEJ$2</definedName>
    <definedName name="Variable_lease_Mon_00814_Type" localSheetId="0" hidden="1">monday_model.lp!$AEJ$1782</definedName>
    <definedName name="Variable_lease_Mon_00815" localSheetId="0" hidden="1">monday_model.lp!$AEK$2</definedName>
    <definedName name="Variable_lease_Mon_00815_Type" localSheetId="0" hidden="1">monday_model.lp!$AEK$1782</definedName>
    <definedName name="Variable_lease_Mon_00816" localSheetId="0" hidden="1">monday_model.lp!$AEL$2</definedName>
    <definedName name="Variable_lease_Mon_00816_Type" localSheetId="0" hidden="1">monday_model.lp!$AEL$1782</definedName>
    <definedName name="Variable_lease_Mon_00817" localSheetId="0" hidden="1">monday_model.lp!$AEM$2</definedName>
    <definedName name="Variable_lease_Mon_00817_Type" localSheetId="0" hidden="1">monday_model.lp!$AEM$1782</definedName>
    <definedName name="Variable_lease_Mon_00818" localSheetId="0" hidden="1">monday_model.lp!$AEN$2</definedName>
    <definedName name="Variable_lease_Mon_00818_Type" localSheetId="0" hidden="1">monday_model.lp!$AEN$1782</definedName>
    <definedName name="Variable_lease_Mon_00819" localSheetId="0" hidden="1">monday_model.lp!$AEO$2</definedName>
    <definedName name="Variable_lease_Mon_00819_Type" localSheetId="0" hidden="1">monday_model.lp!$AEO$1782</definedName>
    <definedName name="Variable_lease_Mon_00820" localSheetId="0" hidden="1">monday_model.lp!$AEP$2</definedName>
    <definedName name="Variable_lease_Mon_00820_Type" localSheetId="0" hidden="1">monday_model.lp!$AEP$1782</definedName>
    <definedName name="Variable_lease_Mon_00821" localSheetId="0" hidden="1">monday_model.lp!$AEQ$2</definedName>
    <definedName name="Variable_lease_Mon_00821_Type" localSheetId="0" hidden="1">monday_model.lp!$AEQ$1782</definedName>
    <definedName name="Variable_lease_Mon_00822" localSheetId="0" hidden="1">monday_model.lp!$AER$2</definedName>
    <definedName name="Variable_lease_Mon_00822_Type" localSheetId="0" hidden="1">monday_model.lp!$AER$1782</definedName>
    <definedName name="Variable_lease_Mon_00823" localSheetId="0" hidden="1">monday_model.lp!$AES$2</definedName>
    <definedName name="Variable_lease_Mon_00823_Type" localSheetId="0" hidden="1">monday_model.lp!$AES$1782</definedName>
    <definedName name="Variable_lease_Mon_00824" localSheetId="0" hidden="1">monday_model.lp!$AET$2</definedName>
    <definedName name="Variable_lease_Mon_00824_Type" localSheetId="0" hidden="1">monday_model.lp!$AET$1782</definedName>
    <definedName name="Variable_lease_Mon_00825" localSheetId="0" hidden="1">monday_model.lp!$AEU$2</definedName>
    <definedName name="Variable_lease_Mon_00825_Type" localSheetId="0" hidden="1">monday_model.lp!$AEU$1782</definedName>
    <definedName name="Variable_lease_Mon_00826" localSheetId="0" hidden="1">monday_model.lp!$AEV$2</definedName>
    <definedName name="Variable_lease_Mon_00826_Type" localSheetId="0" hidden="1">monday_model.lp!$AEV$1782</definedName>
    <definedName name="Variable_lease_Mon_00827" localSheetId="0" hidden="1">monday_model.lp!$AEW$2</definedName>
    <definedName name="Variable_lease_Mon_00827_Type" localSheetId="0" hidden="1">monday_model.lp!$AEW$1782</definedName>
    <definedName name="Variable_lease_Mon_00828" localSheetId="0" hidden="1">monday_model.lp!$AEX$2</definedName>
    <definedName name="Variable_lease_Mon_00828_Type" localSheetId="0" hidden="1">monday_model.lp!$AEX$1782</definedName>
    <definedName name="Variable_lease_Mon_00829" localSheetId="0" hidden="1">monday_model.lp!$AEY$2</definedName>
    <definedName name="Variable_lease_Mon_00829_Type" localSheetId="0" hidden="1">monday_model.lp!$AEY$1782</definedName>
    <definedName name="Variable_lease_Mon_00830" localSheetId="0" hidden="1">monday_model.lp!$AEZ$2</definedName>
    <definedName name="Variable_lease_Mon_00830_Type" localSheetId="0" hidden="1">monday_model.lp!$AEZ$1782</definedName>
    <definedName name="Variable_lease_Mon_00831" localSheetId="0" hidden="1">monday_model.lp!$AFA$2</definedName>
    <definedName name="Variable_lease_Mon_00831_Type" localSheetId="0" hidden="1">monday_model.lp!$AFA$1782</definedName>
    <definedName name="Variable_lease_Mon_00832" localSheetId="0" hidden="1">monday_model.lp!$AFB$2</definedName>
    <definedName name="Variable_lease_Mon_00832_Type" localSheetId="0" hidden="1">monday_model.lp!$AFB$1782</definedName>
    <definedName name="Variable_lease_Mon_00833" localSheetId="0" hidden="1">monday_model.lp!$AFC$2</definedName>
    <definedName name="Variable_lease_Mon_00833_Type" localSheetId="0" hidden="1">monday_model.lp!$AFC$1782</definedName>
    <definedName name="Variable_lease_Mon_00834" localSheetId="0" hidden="1">monday_model.lp!$AFD$2</definedName>
    <definedName name="Variable_lease_Mon_00834_Type" localSheetId="0" hidden="1">monday_model.lp!$AFD$1782</definedName>
    <definedName name="Variable_lease_Mon_00835" localSheetId="0" hidden="1">monday_model.lp!$AFE$2</definedName>
    <definedName name="Variable_lease_Mon_00835_Type" localSheetId="0" hidden="1">monday_model.lp!$AFE$1782</definedName>
    <definedName name="Variable_lease_Mon_00836" localSheetId="0" hidden="1">monday_model.lp!$AFF$2</definedName>
    <definedName name="Variable_lease_Mon_00836_Type" localSheetId="0" hidden="1">monday_model.lp!$AFF$1782</definedName>
    <definedName name="Variable_lease_Mon_00837" localSheetId="0" hidden="1">monday_model.lp!$AFG$2</definedName>
    <definedName name="Variable_lease_Mon_00837_Type" localSheetId="0" hidden="1">monday_model.lp!$AFG$1782</definedName>
    <definedName name="Variable_lease_Mon_00838" localSheetId="0" hidden="1">monday_model.lp!$AFH$2</definedName>
    <definedName name="Variable_lease_Mon_00838_Type" localSheetId="0" hidden="1">monday_model.lp!$AFH$1782</definedName>
    <definedName name="Variable_lease_Mon_00839" localSheetId="0" hidden="1">monday_model.lp!$AFI$2</definedName>
    <definedName name="Variable_lease_Mon_00839_Type" localSheetId="0" hidden="1">monday_model.lp!$AFI$1782</definedName>
    <definedName name="Variable_lease_Mon_00840" localSheetId="0" hidden="1">monday_model.lp!$AFJ$2</definedName>
    <definedName name="Variable_lease_Mon_00840_Type" localSheetId="0" hidden="1">monday_model.lp!$AFJ$1782</definedName>
    <definedName name="Variable_lease_Mon_00841" localSheetId="0" hidden="1">monday_model.lp!$AFK$2</definedName>
    <definedName name="Variable_lease_Mon_00841_Type" localSheetId="0" hidden="1">monday_model.lp!$AFK$1782</definedName>
    <definedName name="Variable_lease_Mon_00842" localSheetId="0" hidden="1">monday_model.lp!$AFL$2</definedName>
    <definedName name="Variable_lease_Mon_00842_Type" localSheetId="0" hidden="1">monday_model.lp!$AFL$1782</definedName>
    <definedName name="Variable_lease_Mon_00843" localSheetId="0" hidden="1">monday_model.lp!$AFM$2</definedName>
    <definedName name="Variable_lease_Mon_00843_Type" localSheetId="0" hidden="1">monday_model.lp!$AFM$1782</definedName>
    <definedName name="Variable_lease_Mon_00844" localSheetId="0" hidden="1">monday_model.lp!$AFN$2</definedName>
    <definedName name="Variable_lease_Mon_00844_Type" localSheetId="0" hidden="1">monday_model.lp!$AFN$1782</definedName>
    <definedName name="Variable_lease_Mon_00845" localSheetId="0" hidden="1">monday_model.lp!$AFO$2</definedName>
    <definedName name="Variable_lease_Mon_00845_Type" localSheetId="0" hidden="1">monday_model.lp!$AFO$1782</definedName>
    <definedName name="Variable_lease_Mon_00846" localSheetId="0" hidden="1">monday_model.lp!$AFP$2</definedName>
    <definedName name="Variable_lease_Mon_00846_Type" localSheetId="0" hidden="1">monday_model.lp!$AFP$1782</definedName>
    <definedName name="Variable_lease_Mon_00847" localSheetId="0" hidden="1">monday_model.lp!$AFQ$2</definedName>
    <definedName name="Variable_lease_Mon_00847_Type" localSheetId="0" hidden="1">monday_model.lp!$AFQ$1782</definedName>
    <definedName name="Variable_lease_Mon_00848" localSheetId="0" hidden="1">monday_model.lp!$AFR$2</definedName>
    <definedName name="Variable_lease_Mon_00848_Type" localSheetId="0" hidden="1">monday_model.lp!$AFR$1782</definedName>
    <definedName name="Variable_lease_Mon_00849" localSheetId="0" hidden="1">monday_model.lp!$AFS$2</definedName>
    <definedName name="Variable_lease_Mon_00849_Type" localSheetId="0" hidden="1">monday_model.lp!$AFS$1782</definedName>
    <definedName name="Variable_lease_Mon_00850" localSheetId="0" hidden="1">monday_model.lp!$AFT$2</definedName>
    <definedName name="Variable_lease_Mon_00850_Type" localSheetId="0" hidden="1">monday_model.lp!$AFT$1782</definedName>
    <definedName name="Variable_lease_Mon_00851" localSheetId="0" hidden="1">monday_model.lp!$AFU$2</definedName>
    <definedName name="Variable_lease_Mon_00851_Type" localSheetId="0" hidden="1">monday_model.lp!$AFU$1782</definedName>
    <definedName name="Variable_lease_Mon_00852" localSheetId="0" hidden="1">monday_model.lp!$AFV$2</definedName>
    <definedName name="Variable_lease_Mon_00852_Type" localSheetId="0" hidden="1">monday_model.lp!$AFV$1782</definedName>
    <definedName name="Variable_lease_Mon_00853" localSheetId="0" hidden="1">monday_model.lp!$AFW$2</definedName>
    <definedName name="Variable_lease_Mon_00853_Type" localSheetId="0" hidden="1">monday_model.lp!$AFW$1782</definedName>
    <definedName name="Variable_lease_Mon_00854" localSheetId="0" hidden="1">monday_model.lp!$AFX$2</definedName>
    <definedName name="Variable_lease_Mon_00854_Type" localSheetId="0" hidden="1">monday_model.lp!$AFX$1782</definedName>
    <definedName name="Variable_lease_Mon_00855" localSheetId="0" hidden="1">monday_model.lp!$AFY$2</definedName>
    <definedName name="Variable_lease_Mon_00855_Type" localSheetId="0" hidden="1">monday_model.lp!$AFY$1782</definedName>
    <definedName name="Variable_lease_Mon_00856" localSheetId="0" hidden="1">monday_model.lp!$AFZ$2</definedName>
    <definedName name="Variable_lease_Mon_00856_Type" localSheetId="0" hidden="1">monday_model.lp!$AFZ$1782</definedName>
    <definedName name="Variable_lease_Mon_00857" localSheetId="0" hidden="1">monday_model.lp!$AGA$2</definedName>
    <definedName name="Variable_lease_Mon_00857_Type" localSheetId="0" hidden="1">monday_model.lp!$AGA$1782</definedName>
    <definedName name="Variable_lease_Mon_00858" localSheetId="0" hidden="1">monday_model.lp!$AGB$2</definedName>
    <definedName name="Variable_lease_Mon_00858_Type" localSheetId="0" hidden="1">monday_model.lp!$AGB$1782</definedName>
    <definedName name="Variable_lease_Mon_00859" localSheetId="0" hidden="1">monday_model.lp!$AGC$2</definedName>
    <definedName name="Variable_lease_Mon_00859_Type" localSheetId="0" hidden="1">monday_model.lp!$AGC$1782</definedName>
    <definedName name="Variable_lease_Mon_00860" localSheetId="0" hidden="1">monday_model.lp!$AGD$2</definedName>
    <definedName name="Variable_lease_Mon_00860_Type" localSheetId="0" hidden="1">monday_model.lp!$AGD$1782</definedName>
    <definedName name="Variable_lease_Mon_00861" localSheetId="0" hidden="1">monday_model.lp!$AGE$2</definedName>
    <definedName name="Variable_lease_Mon_00861_Type" localSheetId="0" hidden="1">monday_model.lp!$AGE$1782</definedName>
    <definedName name="Variable_lease_Mon_00862" localSheetId="0" hidden="1">monday_model.lp!$AGF$2</definedName>
    <definedName name="Variable_lease_Mon_00862_Type" localSheetId="0" hidden="1">monday_model.lp!$AGF$1782</definedName>
    <definedName name="Variable_lease_Mon_00863" localSheetId="0" hidden="1">monday_model.lp!$AGG$2</definedName>
    <definedName name="Variable_lease_Mon_00863_Type" localSheetId="0" hidden="1">monday_model.lp!$AGG$1782</definedName>
    <definedName name="Variable_lease_Mon_00864" localSheetId="0" hidden="1">monday_model.lp!$AGH$2</definedName>
    <definedName name="Variable_lease_Mon_00864_Type" localSheetId="0" hidden="1">monday_model.lp!$AGH$1782</definedName>
    <definedName name="Variable_lease_Mon_00865" localSheetId="0" hidden="1">monday_model.lp!$AGI$2</definedName>
    <definedName name="Variable_lease_Mon_00865_Type" localSheetId="0" hidden="1">monday_model.lp!$AGI$1782</definedName>
    <definedName name="Variable_lease_Mon_00866" localSheetId="0" hidden="1">monday_model.lp!$AGJ$2</definedName>
    <definedName name="Variable_lease_Mon_00866_Type" localSheetId="0" hidden="1">monday_model.lp!$AGJ$1782</definedName>
    <definedName name="Variable_lease_Mon_00867" localSheetId="0" hidden="1">monday_model.lp!$AGK$2</definedName>
    <definedName name="Variable_lease_Mon_00867_Type" localSheetId="0" hidden="1">monday_model.lp!$AGK$1782</definedName>
    <definedName name="Variable_lease_Mon_00868" localSheetId="0" hidden="1">monday_model.lp!$AGL$2</definedName>
    <definedName name="Variable_lease_Mon_00868_Type" localSheetId="0" hidden="1">monday_model.lp!$AGL$1782</definedName>
    <definedName name="Variable_lease_Mon_00869" localSheetId="0" hidden="1">monday_model.lp!$AGM$2</definedName>
    <definedName name="Variable_lease_Mon_00869_Type" localSheetId="0" hidden="1">monday_model.lp!$AGM$1782</definedName>
    <definedName name="Variable_lease_Mon_00870" localSheetId="0" hidden="1">monday_model.lp!$AGN$2</definedName>
    <definedName name="Variable_lease_Mon_00870_Type" localSheetId="0" hidden="1">monday_model.lp!$AGN$1782</definedName>
    <definedName name="Variable_lease_Mon_00871" localSheetId="0" hidden="1">monday_model.lp!$AGO$2</definedName>
    <definedName name="Variable_lease_Mon_00871_Type" localSheetId="0" hidden="1">monday_model.lp!$AGO$1782</definedName>
    <definedName name="Variable_lease_Mon_00872" localSheetId="0" hidden="1">monday_model.lp!$AGP$2</definedName>
    <definedName name="Variable_lease_Mon_00872_Type" localSheetId="0" hidden="1">monday_model.lp!$AGP$1782</definedName>
    <definedName name="Variable_lease_Mon_00873" localSheetId="0" hidden="1">monday_model.lp!$AGQ$2</definedName>
    <definedName name="Variable_lease_Mon_00873_Type" localSheetId="0" hidden="1">monday_model.lp!$AGQ$1782</definedName>
    <definedName name="Variable_lease_Mon_00874" localSheetId="0" hidden="1">monday_model.lp!$AGR$2</definedName>
    <definedName name="Variable_lease_Mon_00874_Type" localSheetId="0" hidden="1">monday_model.lp!$AGR$1782</definedName>
    <definedName name="Variable_lease_Mon_00875" localSheetId="0" hidden="1">monday_model.lp!$AGS$2</definedName>
    <definedName name="Variable_lease_Mon_00875_Type" localSheetId="0" hidden="1">monday_model.lp!$AGS$1782</definedName>
    <definedName name="Variable_lease_Mon_00876" localSheetId="0" hidden="1">monday_model.lp!$AGT$2</definedName>
    <definedName name="Variable_lease_Mon_00876_Type" localSheetId="0" hidden="1">monday_model.lp!$AGT$1782</definedName>
    <definedName name="Variable_lease_Mon_00877" localSheetId="0" hidden="1">monday_model.lp!$AGU$2</definedName>
    <definedName name="Variable_lease_Mon_00877_Type" localSheetId="0" hidden="1">monday_model.lp!$AGU$1782</definedName>
    <definedName name="Variable_lease_Mon_00878" localSheetId="0" hidden="1">monday_model.lp!$AGV$2</definedName>
    <definedName name="Variable_lease_Mon_00878_Type" localSheetId="0" hidden="1">monday_model.lp!$AGV$1782</definedName>
    <definedName name="Variable_lease_Mon_00879" localSheetId="0" hidden="1">monday_model.lp!$AGW$2</definedName>
    <definedName name="Variable_lease_Mon_00879_Type" localSheetId="0" hidden="1">monday_model.lp!$AGW$1782</definedName>
    <definedName name="Variable_lease_Mon_00880" localSheetId="0" hidden="1">monday_model.lp!$AGX$2</definedName>
    <definedName name="Variable_lease_Mon_00880_Type" localSheetId="0" hidden="1">monday_model.lp!$AGX$1782</definedName>
    <definedName name="Variable_lease_Mon_00881" localSheetId="0" hidden="1">monday_model.lp!$AGY$2</definedName>
    <definedName name="Variable_lease_Mon_00881_Type" localSheetId="0" hidden="1">monday_model.lp!$AGY$1782</definedName>
    <definedName name="Variable_lease_Mon_00882" localSheetId="0" hidden="1">monday_model.lp!$AGZ$2</definedName>
    <definedName name="Variable_lease_Mon_00882_Type" localSheetId="0" hidden="1">monday_model.lp!$AGZ$1782</definedName>
    <definedName name="Variable_lease_Mon_00883" localSheetId="0" hidden="1">monday_model.lp!$AHA$2</definedName>
    <definedName name="Variable_lease_Mon_00883_Type" localSheetId="0" hidden="1">monday_model.lp!$AHA$1782</definedName>
    <definedName name="Variable_lease_Mon_00884" localSheetId="0" hidden="1">monday_model.lp!$AHB$2</definedName>
    <definedName name="Variable_lease_Mon_00884_Type" localSheetId="0" hidden="1">monday_model.lp!$AHB$1782</definedName>
    <definedName name="Variable_lease_Mon_00885" localSheetId="0" hidden="1">monday_model.lp!$AHC$2</definedName>
    <definedName name="Variable_lease_Mon_00885_Type" localSheetId="0" hidden="1">monday_model.lp!$AHC$1782</definedName>
    <definedName name="Variable_lease_Mon_00886" localSheetId="0" hidden="1">monday_model.lp!$AHD$2</definedName>
    <definedName name="Variable_lease_Mon_00886_Type" localSheetId="0" hidden="1">monday_model.lp!$AHD$1782</definedName>
    <definedName name="Variable_lease_Mon_00887" localSheetId="0" hidden="1">monday_model.lp!$AHE$2</definedName>
    <definedName name="Variable_lease_Mon_00887_Type" localSheetId="0" hidden="1">monday_model.lp!$AHE$1782</definedName>
    <definedName name="Variable_lease_Mon_00888" localSheetId="0" hidden="1">monday_model.lp!$AHF$2</definedName>
    <definedName name="Variable_lease_Mon_00888_Type" localSheetId="0" hidden="1">monday_model.lp!$AHF$1782</definedName>
    <definedName name="Variable_lease_Mon_00889" localSheetId="0" hidden="1">monday_model.lp!$AHG$2</definedName>
    <definedName name="Variable_lease_Mon_00889_Type" localSheetId="0" hidden="1">monday_model.lp!$AHG$1782</definedName>
    <definedName name="Variable_lease_Mon_00890" localSheetId="0" hidden="1">monday_model.lp!$AHH$2</definedName>
    <definedName name="Variable_lease_Mon_00890_Type" localSheetId="0" hidden="1">monday_model.lp!$AHH$1782</definedName>
    <definedName name="Variable_lease_Mon_00891" localSheetId="0" hidden="1">monday_model.lp!$AHI$2</definedName>
    <definedName name="Variable_lease_Mon_00891_Type" localSheetId="0" hidden="1">monday_model.lp!$AHI$1782</definedName>
    <definedName name="Variable_lease_Mon_00892" localSheetId="0" hidden="1">monday_model.lp!$AHJ$2</definedName>
    <definedName name="Variable_lease_Mon_00892_Type" localSheetId="0" hidden="1">monday_model.lp!$AHJ$1782</definedName>
    <definedName name="Variable_lease_Mon_00893" localSheetId="0" hidden="1">monday_model.lp!$AHK$2</definedName>
    <definedName name="Variable_lease_Mon_00893_Type" localSheetId="0" hidden="1">monday_model.lp!$AHK$1782</definedName>
    <definedName name="Variable_lease_Mon_00894" localSheetId="0" hidden="1">monday_model.lp!$AHL$2</definedName>
    <definedName name="Variable_lease_Mon_00894_Type" localSheetId="0" hidden="1">monday_model.lp!$AHL$1782</definedName>
    <definedName name="Variable_lease_Mon_00895" localSheetId="0" hidden="1">monday_model.lp!$AHM$2</definedName>
    <definedName name="Variable_lease_Mon_00895_Type" localSheetId="0" hidden="1">monday_model.lp!$AHM$1782</definedName>
    <definedName name="Variable_lease_Mon_00896" localSheetId="0" hidden="1">monday_model.lp!$AHN$2</definedName>
    <definedName name="Variable_lease_Mon_00896_Type" localSheetId="0" hidden="1">monday_model.lp!$AHN$1782</definedName>
    <definedName name="Variable_lease_Mon_00897" localSheetId="0" hidden="1">monday_model.lp!$AHO$2</definedName>
    <definedName name="Variable_lease_Mon_00897_Type" localSheetId="0" hidden="1">monday_model.lp!$AHO$1782</definedName>
    <definedName name="Variable_lease_Mon_00898" localSheetId="0" hidden="1">monday_model.lp!$AHP$2</definedName>
    <definedName name="Variable_lease_Mon_00898_Type" localSheetId="0" hidden="1">monday_model.lp!$AHP$1782</definedName>
    <definedName name="Variable_lease_Mon_00899" localSheetId="0" hidden="1">monday_model.lp!$AHQ$2</definedName>
    <definedName name="Variable_lease_Mon_00899_Type" localSheetId="0" hidden="1">monday_model.lp!$AHQ$1782</definedName>
    <definedName name="Variable_lease_Mon_00900" localSheetId="0" hidden="1">monday_model.lp!$AHR$2</definedName>
    <definedName name="Variable_lease_Mon_00900_Type" localSheetId="0" hidden="1">monday_model.lp!$AHR$1782</definedName>
    <definedName name="Variable_lease_Mon_00901" localSheetId="0" hidden="1">monday_model.lp!$AHS$2</definedName>
    <definedName name="Variable_lease_Mon_00901_Type" localSheetId="0" hidden="1">monday_model.lp!$AHS$1782</definedName>
    <definedName name="Variable_lease_Mon_00902" localSheetId="0" hidden="1">monday_model.lp!$AHT$2</definedName>
    <definedName name="Variable_lease_Mon_00902_Type" localSheetId="0" hidden="1">monday_model.lp!$AHT$1782</definedName>
    <definedName name="Variable_lease_Mon_00903" localSheetId="0" hidden="1">monday_model.lp!$AHU$2</definedName>
    <definedName name="Variable_lease_Mon_00903_Type" localSheetId="0" hidden="1">monday_model.lp!$AHU$1782</definedName>
    <definedName name="Variable_lease_Mon_00904" localSheetId="0" hidden="1">monday_model.lp!$AHV$2</definedName>
    <definedName name="Variable_lease_Mon_00904_Type" localSheetId="0" hidden="1">monday_model.lp!$AHV$1782</definedName>
    <definedName name="Variable_lease_Mon_00905" localSheetId="0" hidden="1">monday_model.lp!$AHW$2</definedName>
    <definedName name="Variable_lease_Mon_00905_Type" localSheetId="0" hidden="1">monday_model.lp!$AHW$1782</definedName>
    <definedName name="Variable_lease_Mon_00906" localSheetId="0" hidden="1">monday_model.lp!$AHX$2</definedName>
    <definedName name="Variable_lease_Mon_00906_Type" localSheetId="0" hidden="1">monday_model.lp!$AHX$1782</definedName>
    <definedName name="Variable_lease_Mon_00907" localSheetId="0" hidden="1">monday_model.lp!$AHY$2</definedName>
    <definedName name="Variable_lease_Mon_00907_Type" localSheetId="0" hidden="1">monday_model.lp!$AHY$1782</definedName>
    <definedName name="Variable_lease_Mon_00908" localSheetId="0" hidden="1">monday_model.lp!$AHZ$2</definedName>
    <definedName name="Variable_lease_Mon_00908_Type" localSheetId="0" hidden="1">monday_model.lp!$AHZ$1782</definedName>
    <definedName name="Variable_lease_Mon_00909" localSheetId="0" hidden="1">monday_model.lp!$AIA$2</definedName>
    <definedName name="Variable_lease_Mon_00909_Type" localSheetId="0" hidden="1">monday_model.lp!$AIA$1782</definedName>
    <definedName name="Variable_lease_Mon_00910" localSheetId="0" hidden="1">monday_model.lp!$AIB$2</definedName>
    <definedName name="Variable_lease_Mon_00910_Type" localSheetId="0" hidden="1">monday_model.lp!$AIB$1782</definedName>
    <definedName name="Variable_lease_Mon_00911" localSheetId="0" hidden="1">monday_model.lp!$AIC$2</definedName>
    <definedName name="Variable_lease_Mon_00911_Type" localSheetId="0" hidden="1">monday_model.lp!$AIC$1782</definedName>
    <definedName name="Variable_lease_Mon_00912" localSheetId="0" hidden="1">monday_model.lp!$AID$2</definedName>
    <definedName name="Variable_lease_Mon_00912_Type" localSheetId="0" hidden="1">monday_model.lp!$AID$1782</definedName>
    <definedName name="Variable_lease_Mon_00913" localSheetId="0" hidden="1">monday_model.lp!$AIE$2</definedName>
    <definedName name="Variable_lease_Mon_00913_Type" localSheetId="0" hidden="1">monday_model.lp!$AIE$1782</definedName>
    <definedName name="Variable_lease_Mon_00914" localSheetId="0" hidden="1">monday_model.lp!$AIF$2</definedName>
    <definedName name="Variable_lease_Mon_00914_Type" localSheetId="0" hidden="1">monday_model.lp!$AIF$1782</definedName>
    <definedName name="Variable_lease_Mon_00915" localSheetId="0" hidden="1">monday_model.lp!$AIG$2</definedName>
    <definedName name="Variable_lease_Mon_00915_Type" localSheetId="0" hidden="1">monday_model.lp!$AIG$1782</definedName>
    <definedName name="Variable_lease_Mon_00916" localSheetId="0" hidden="1">monday_model.lp!$AIH$2</definedName>
    <definedName name="Variable_lease_Mon_00916_Type" localSheetId="0" hidden="1">monday_model.lp!$AIH$1782</definedName>
    <definedName name="Variable_lease_Mon_00917" localSheetId="0" hidden="1">monday_model.lp!$AII$2</definedName>
    <definedName name="Variable_lease_Mon_00917_Type" localSheetId="0" hidden="1">monday_model.lp!$AII$1782</definedName>
    <definedName name="Variable_lease_Mon_00918" localSheetId="0" hidden="1">monday_model.lp!$AIJ$2</definedName>
    <definedName name="Variable_lease_Mon_00918_Type" localSheetId="0" hidden="1">monday_model.lp!$AIJ$1782</definedName>
    <definedName name="Variable_lease_Mon_00919" localSheetId="0" hidden="1">monday_model.lp!$AIK$2</definedName>
    <definedName name="Variable_lease_Mon_00919_Type" localSheetId="0" hidden="1">monday_model.lp!$AIK$1782</definedName>
    <definedName name="Variable_lease_Mon_00920" localSheetId="0" hidden="1">monday_model.lp!$AIL$2</definedName>
    <definedName name="Variable_lease_Mon_00920_Type" localSheetId="0" hidden="1">monday_model.lp!$AIL$1782</definedName>
    <definedName name="Variable_lease_Mon_00921" localSheetId="0" hidden="1">monday_model.lp!$AIM$2</definedName>
    <definedName name="Variable_lease_Mon_00921_Type" localSheetId="0" hidden="1">monday_model.lp!$AIM$1782</definedName>
    <definedName name="Variable_lease_Mon_00922" localSheetId="0" hidden="1">monday_model.lp!$AIN$2</definedName>
    <definedName name="Variable_lease_Mon_00922_Type" localSheetId="0" hidden="1">monday_model.lp!$AIN$1782</definedName>
    <definedName name="Variable_lease_Mon_00923" localSheetId="0" hidden="1">monday_model.lp!$AIO$2</definedName>
    <definedName name="Variable_lease_Mon_00923_Type" localSheetId="0" hidden="1">monday_model.lp!$AIO$1782</definedName>
    <definedName name="Variable_lease_Mon_00924" localSheetId="0" hidden="1">monday_model.lp!$AIP$2</definedName>
    <definedName name="Variable_lease_Mon_00924_Type" localSheetId="0" hidden="1">monday_model.lp!$AIP$1782</definedName>
    <definedName name="Variable_lease_Mon_00925" localSheetId="0" hidden="1">monday_model.lp!$AIQ$2</definedName>
    <definedName name="Variable_lease_Mon_00925_Type" localSheetId="0" hidden="1">monday_model.lp!$AIQ$1782</definedName>
    <definedName name="Variable_lease_Mon_00926" localSheetId="0" hidden="1">monday_model.lp!$AIR$2</definedName>
    <definedName name="Variable_lease_Mon_00926_Type" localSheetId="0" hidden="1">monday_model.lp!$AIR$1782</definedName>
    <definedName name="Variable_lease_Mon_00927" localSheetId="0" hidden="1">monday_model.lp!$AIS$2</definedName>
    <definedName name="Variable_lease_Mon_00927_Type" localSheetId="0" hidden="1">monday_model.lp!$AIS$1782</definedName>
    <definedName name="Variable_lease_Mon_00928" localSheetId="0" hidden="1">monday_model.lp!$AIT$2</definedName>
    <definedName name="Variable_lease_Mon_00928_Type" localSheetId="0" hidden="1">monday_model.lp!$AIT$1782</definedName>
    <definedName name="Variable_lease_Mon_00929" localSheetId="0" hidden="1">monday_model.lp!$AIU$2</definedName>
    <definedName name="Variable_lease_Mon_00929_Type" localSheetId="0" hidden="1">monday_model.lp!$AIU$1782</definedName>
    <definedName name="Variable_lease_Mon_00930" localSheetId="0" hidden="1">monday_model.lp!$AIV$2</definedName>
    <definedName name="Variable_lease_Mon_00930_Type" localSheetId="0" hidden="1">monday_model.lp!$AIV$1782</definedName>
    <definedName name="Variable_lease_Mon_00931" localSheetId="0" hidden="1">monday_model.lp!$AIW$2</definedName>
    <definedName name="Variable_lease_Mon_00931_Type" localSheetId="0" hidden="1">monday_model.lp!$AIW$1782</definedName>
    <definedName name="Variable_lease_Mon_00932" localSheetId="0" hidden="1">monday_model.lp!$AIX$2</definedName>
    <definedName name="Variable_lease_Mon_00932_Type" localSheetId="0" hidden="1">monday_model.lp!$AIX$1782</definedName>
    <definedName name="Variable_lease_Mon_00933" localSheetId="0" hidden="1">monday_model.lp!$AIY$2</definedName>
    <definedName name="Variable_lease_Mon_00933_Type" localSheetId="0" hidden="1">monday_model.lp!$AIY$1782</definedName>
    <definedName name="Variable_lease_Mon_00934" localSheetId="0" hidden="1">monday_model.lp!$AIZ$2</definedName>
    <definedName name="Variable_lease_Mon_00934_Type" localSheetId="0" hidden="1">monday_model.lp!$AIZ$1782</definedName>
    <definedName name="Variable_lease_Mon_00935" localSheetId="0" hidden="1">monday_model.lp!$AJA$2</definedName>
    <definedName name="Variable_lease_Mon_00935_Type" localSheetId="0" hidden="1">monday_model.lp!$AJA$1782</definedName>
    <definedName name="Variable_lease_Mon_00936" localSheetId="0" hidden="1">monday_model.lp!$AJB$2</definedName>
    <definedName name="Variable_lease_Mon_00936_Type" localSheetId="0" hidden="1">monday_model.lp!$AJB$1782</definedName>
    <definedName name="Variable_lease_Mon_00937" localSheetId="0" hidden="1">monday_model.lp!$AJC$2</definedName>
    <definedName name="Variable_lease_Mon_00937_Type" localSheetId="0" hidden="1">monday_model.lp!$AJC$1782</definedName>
    <definedName name="Variable_lease_Mon_00938" localSheetId="0" hidden="1">monday_model.lp!$AJD$2</definedName>
    <definedName name="Variable_lease_Mon_00938_Type" localSheetId="0" hidden="1">monday_model.lp!$AJD$1782</definedName>
    <definedName name="Variable_lease_Mon_00939" localSheetId="0" hidden="1">monday_model.lp!$AJE$2</definedName>
    <definedName name="Variable_lease_Mon_00939_Type" localSheetId="0" hidden="1">monday_model.lp!$AJE$1782</definedName>
    <definedName name="Variable_lease_Mon_00940" localSheetId="0" hidden="1">monday_model.lp!$AJF$2</definedName>
    <definedName name="Variable_lease_Mon_00940_Type" localSheetId="0" hidden="1">monday_model.lp!$AJF$1782</definedName>
    <definedName name="Variable_lease_Mon_00941" localSheetId="0" hidden="1">monday_model.lp!$AJG$2</definedName>
    <definedName name="Variable_lease_Mon_00941_Type" localSheetId="0" hidden="1">monday_model.lp!$AJG$1782</definedName>
    <definedName name="Variable_lease_Mon_00942" localSheetId="0" hidden="1">monday_model.lp!$AJH$2</definedName>
    <definedName name="Variable_lease_Mon_00942_Type" localSheetId="0" hidden="1">monday_model.lp!$AJH$1782</definedName>
    <definedName name="Variable_lease_Mon_00943" localSheetId="0" hidden="1">monday_model.lp!$AJI$2</definedName>
    <definedName name="Variable_lease_Mon_00943_Type" localSheetId="0" hidden="1">monday_model.lp!$AJI$1782</definedName>
    <definedName name="Variable_lease_Mon_00944" localSheetId="0" hidden="1">monday_model.lp!$AJJ$2</definedName>
    <definedName name="Variable_lease_Mon_00944_Type" localSheetId="0" hidden="1">monday_model.lp!$AJJ$1782</definedName>
    <definedName name="Variable_lease_Mon_00945" localSheetId="0" hidden="1">monday_model.lp!$AJK$2</definedName>
    <definedName name="Variable_lease_Mon_00945_Type" localSheetId="0" hidden="1">monday_model.lp!$AJK$1782</definedName>
    <definedName name="Variable_lease_Mon_00946" localSheetId="0" hidden="1">monday_model.lp!$AJL$2</definedName>
    <definedName name="Variable_lease_Mon_00946_Type" localSheetId="0" hidden="1">monday_model.lp!$AJL$1782</definedName>
    <definedName name="Variable_lease_Mon_00947" localSheetId="0" hidden="1">monday_model.lp!$AJM$2</definedName>
    <definedName name="Variable_lease_Mon_00947_Type" localSheetId="0" hidden="1">monday_model.lp!$AJM$1782</definedName>
    <definedName name="Variable_lease_Mon_00948" localSheetId="0" hidden="1">monday_model.lp!$AJN$2</definedName>
    <definedName name="Variable_lease_Mon_00948_Type" localSheetId="0" hidden="1">monday_model.lp!$AJN$1782</definedName>
    <definedName name="Variable_lease_Mon_00949" localSheetId="0" hidden="1">monday_model.lp!$AJO$2</definedName>
    <definedName name="Variable_lease_Mon_00949_Type" localSheetId="0" hidden="1">monday_model.lp!$AJO$1782</definedName>
    <definedName name="Variable_lease_Mon_00950" localSheetId="0" hidden="1">monday_model.lp!$AJP$2</definedName>
    <definedName name="Variable_lease_Mon_00950_Type" localSheetId="0" hidden="1">monday_model.lp!$AJP$1782</definedName>
    <definedName name="Variable_lease_Mon_00951" localSheetId="0" hidden="1">monday_model.lp!$AJQ$2</definedName>
    <definedName name="Variable_lease_Mon_00951_Type" localSheetId="0" hidden="1">monday_model.lp!$AJQ$1782</definedName>
    <definedName name="Variable_lease_Mon_00952" localSheetId="0" hidden="1">monday_model.lp!$AJR$2</definedName>
    <definedName name="Variable_lease_Mon_00952_Type" localSheetId="0" hidden="1">monday_model.lp!$AJR$1782</definedName>
    <definedName name="Variable_lease_Mon_00953" localSheetId="0" hidden="1">monday_model.lp!$AJS$2</definedName>
    <definedName name="Variable_lease_Mon_00953_Type" localSheetId="0" hidden="1">monday_model.lp!$AJS$1782</definedName>
    <definedName name="Variable_lease_Mon_00954" localSheetId="0" hidden="1">monday_model.lp!$AJT$2</definedName>
    <definedName name="Variable_lease_Mon_00954_Type" localSheetId="0" hidden="1">monday_model.lp!$AJT$1782</definedName>
    <definedName name="Variable_lease_Mon_00955" localSheetId="0" hidden="1">monday_model.lp!$AJU$2</definedName>
    <definedName name="Variable_lease_Mon_00955_Type" localSheetId="0" hidden="1">monday_model.lp!$AJU$1782</definedName>
    <definedName name="Variable_lease_Mon_00956" localSheetId="0" hidden="1">monday_model.lp!$AJV$2</definedName>
    <definedName name="Variable_lease_Mon_00956_Type" localSheetId="0" hidden="1">monday_model.lp!$AJV$1782</definedName>
    <definedName name="Variable_lease_Mon_00957" localSheetId="0" hidden="1">monday_model.lp!$AJW$2</definedName>
    <definedName name="Variable_lease_Mon_00957_Type" localSheetId="0" hidden="1">monday_model.lp!$AJW$1782</definedName>
    <definedName name="Variable_lease_Mon_00958" localSheetId="0" hidden="1">monday_model.lp!$AJX$2</definedName>
    <definedName name="Variable_lease_Mon_00958_Type" localSheetId="0" hidden="1">monday_model.lp!$AJX$1782</definedName>
    <definedName name="Variable_lease_Mon_00959" localSheetId="0" hidden="1">monday_model.lp!$AJY$2</definedName>
    <definedName name="Variable_lease_Mon_00959_Type" localSheetId="0" hidden="1">monday_model.lp!$AJY$1782</definedName>
    <definedName name="Variable_lease_Mon_00960" localSheetId="0" hidden="1">monday_model.lp!$AJZ$2</definedName>
    <definedName name="Variable_lease_Mon_00960_Type" localSheetId="0" hidden="1">monday_model.lp!$AJZ$1782</definedName>
    <definedName name="Variable_lease_Mon_00961" localSheetId="0" hidden="1">monday_model.lp!$AKA$2</definedName>
    <definedName name="Variable_lease_Mon_00961_Type" localSheetId="0" hidden="1">monday_model.lp!$AKA$1782</definedName>
    <definedName name="Variable_lease_Mon_00962" localSheetId="0" hidden="1">monday_model.lp!$AKB$2</definedName>
    <definedName name="Variable_lease_Mon_00962_Type" localSheetId="0" hidden="1">monday_model.lp!$AKB$1782</definedName>
    <definedName name="Variable_lease_Mon_00963" localSheetId="0" hidden="1">monday_model.lp!$AKC$2</definedName>
    <definedName name="Variable_lease_Mon_00963_Type" localSheetId="0" hidden="1">monday_model.lp!$AKC$1782</definedName>
    <definedName name="Variable_lease_Mon_00964" localSheetId="0" hidden="1">monday_model.lp!$AKD$2</definedName>
    <definedName name="Variable_lease_Mon_00964_Type" localSheetId="0" hidden="1">monday_model.lp!$AKD$1782</definedName>
    <definedName name="Variable_lease_Mon_00965" localSheetId="0" hidden="1">monday_model.lp!$AKE$2</definedName>
    <definedName name="Variable_lease_Mon_00965_Type" localSheetId="0" hidden="1">monday_model.lp!$AKE$1782</definedName>
    <definedName name="Variable_lease_Mon_00966" localSheetId="0" hidden="1">monday_model.lp!$AKF$2</definedName>
    <definedName name="Variable_lease_Mon_00966_Type" localSheetId="0" hidden="1">monday_model.lp!$AKF$1782</definedName>
    <definedName name="Variable_lease_Mon_00967" localSheetId="0" hidden="1">monday_model.lp!$AKG$2</definedName>
    <definedName name="Variable_lease_Mon_00967_Type" localSheetId="0" hidden="1">monday_model.lp!$AKG$1782</definedName>
    <definedName name="Variable_lease_Mon_00968" localSheetId="0" hidden="1">monday_model.lp!$AKH$2</definedName>
    <definedName name="Variable_lease_Mon_00968_Type" localSheetId="0" hidden="1">monday_model.lp!$AKH$1782</definedName>
    <definedName name="Variable_lease_Mon_00969" localSheetId="0" hidden="1">monday_model.lp!$AKI$2</definedName>
    <definedName name="Variable_lease_Mon_00969_Type" localSheetId="0" hidden="1">monday_model.lp!$AKI$1782</definedName>
    <definedName name="Variable_lease_Mon_00970" localSheetId="0" hidden="1">monday_model.lp!$AKJ$2</definedName>
    <definedName name="Variable_lease_Mon_00970_Type" localSheetId="0" hidden="1">monday_model.lp!$AKJ$1782</definedName>
    <definedName name="Variable_lease_Mon_00971" localSheetId="0" hidden="1">monday_model.lp!$AKK$2</definedName>
    <definedName name="Variable_lease_Mon_00971_Type" localSheetId="0" hidden="1">monday_model.lp!$AKK$1782</definedName>
    <definedName name="Variable_lease_Mon_00972" localSheetId="0" hidden="1">monday_model.lp!$AKL$2</definedName>
    <definedName name="Variable_lease_Mon_00972_Type" localSheetId="0" hidden="1">monday_model.lp!$AKL$1782</definedName>
    <definedName name="Variable_lease_Mon_00973" localSheetId="0" hidden="1">monday_model.lp!$AKM$2</definedName>
    <definedName name="Variable_lease_Mon_00973_Type" localSheetId="0" hidden="1">monday_model.lp!$AKM$1782</definedName>
    <definedName name="Variable_lease_Mon_00974" localSheetId="0" hidden="1">monday_model.lp!$AKN$2</definedName>
    <definedName name="Variable_lease_Mon_00974_Type" localSheetId="0" hidden="1">monday_model.lp!$AKN$1782</definedName>
    <definedName name="Variable_lease_Mon_00975" localSheetId="0" hidden="1">monday_model.lp!$AKO$2</definedName>
    <definedName name="Variable_lease_Mon_00975_Type" localSheetId="0" hidden="1">monday_model.lp!$AKO$1782</definedName>
    <definedName name="Variable_lease_Mon_00976" localSheetId="0" hidden="1">monday_model.lp!$AKP$2</definedName>
    <definedName name="Variable_lease_Mon_00976_Type" localSheetId="0" hidden="1">monday_model.lp!$AKP$1782</definedName>
    <definedName name="Variable_lease_Mon_00977" localSheetId="0" hidden="1">monday_model.lp!$AKQ$2</definedName>
    <definedName name="Variable_lease_Mon_00977_Type" localSheetId="0" hidden="1">monday_model.lp!$AKQ$1782</definedName>
    <definedName name="Variable_lease_Mon_00978" localSheetId="0" hidden="1">monday_model.lp!$AKR$2</definedName>
    <definedName name="Variable_lease_Mon_00978_Type" localSheetId="0" hidden="1">monday_model.lp!$AKR$1782</definedName>
    <definedName name="Variable_lease_Mon_00979" localSheetId="0" hidden="1">monday_model.lp!$AKS$2</definedName>
    <definedName name="Variable_lease_Mon_00979_Type" localSheetId="0" hidden="1">monday_model.lp!$AKS$1782</definedName>
    <definedName name="Variable_lease_Mon_00980" localSheetId="0" hidden="1">monday_model.lp!$AKT$2</definedName>
    <definedName name="Variable_lease_Mon_00980_Type" localSheetId="0" hidden="1">monday_model.lp!$AKT$1782</definedName>
    <definedName name="Variable_lease_Mon_00981" localSheetId="0" hidden="1">monday_model.lp!$AKU$2</definedName>
    <definedName name="Variable_lease_Mon_00981_Type" localSheetId="0" hidden="1">monday_model.lp!$AKU$1782</definedName>
    <definedName name="Variable_lease_Mon_00982" localSheetId="0" hidden="1">monday_model.lp!$AKV$2</definedName>
    <definedName name="Variable_lease_Mon_00982_Type" localSheetId="0" hidden="1">monday_model.lp!$AKV$1782</definedName>
    <definedName name="Variable_lease_Mon_00983" localSheetId="0" hidden="1">monday_model.lp!$AKW$2</definedName>
    <definedName name="Variable_lease_Mon_00983_Type" localSheetId="0" hidden="1">monday_model.lp!$AKW$1782</definedName>
    <definedName name="Variable_lease_Mon_00984" localSheetId="0" hidden="1">monday_model.lp!$AKX$2</definedName>
    <definedName name="Variable_lease_Mon_00984_Type" localSheetId="0" hidden="1">monday_model.lp!$AKX$1782</definedName>
    <definedName name="Variable_lease_Mon_00985" localSheetId="0" hidden="1">monday_model.lp!$AKY$2</definedName>
    <definedName name="Variable_lease_Mon_00985_Type" localSheetId="0" hidden="1">monday_model.lp!$AKY$1782</definedName>
    <definedName name="Variable_lease_Mon_00986" localSheetId="0" hidden="1">monday_model.lp!$AKZ$2</definedName>
    <definedName name="Variable_lease_Mon_00986_Type" localSheetId="0" hidden="1">monday_model.lp!$AKZ$1782</definedName>
    <definedName name="Variable_lease_Mon_00987" localSheetId="0" hidden="1">monday_model.lp!$ALA$2</definedName>
    <definedName name="Variable_lease_Mon_00987_Type" localSheetId="0" hidden="1">monday_model.lp!$ALA$1782</definedName>
    <definedName name="Variable_lease_Mon_00988" localSheetId="0" hidden="1">monday_model.lp!$ALB$2</definedName>
    <definedName name="Variable_lease_Mon_00988_Type" localSheetId="0" hidden="1">monday_model.lp!$ALB$1782</definedName>
    <definedName name="Variable_lease_Mon_00989" localSheetId="0" hidden="1">monday_model.lp!$ALC$2</definedName>
    <definedName name="Variable_lease_Mon_00989_Type" localSheetId="0" hidden="1">monday_model.lp!$ALC$1782</definedName>
    <definedName name="Variable_lease_Mon_00990" localSheetId="0" hidden="1">monday_model.lp!$ALD$2</definedName>
    <definedName name="Variable_lease_Mon_00990_Type" localSheetId="0" hidden="1">monday_model.lp!$ALD$1782</definedName>
    <definedName name="Variable_lease_Mon_00991" localSheetId="0" hidden="1">monday_model.lp!$ALE$2</definedName>
    <definedName name="Variable_lease_Mon_00991_Type" localSheetId="0" hidden="1">monday_model.lp!$ALE$1782</definedName>
    <definedName name="Variable_lease_Mon_00992" localSheetId="0" hidden="1">monday_model.lp!$ALF$2</definedName>
    <definedName name="Variable_lease_Mon_00992_Type" localSheetId="0" hidden="1">monday_model.lp!$ALF$1782</definedName>
    <definedName name="Variable_lease_Mon_00993" localSheetId="0" hidden="1">monday_model.lp!$ALG$2</definedName>
    <definedName name="Variable_lease_Mon_00993_Type" localSheetId="0" hidden="1">monday_model.lp!$ALG$1782</definedName>
    <definedName name="Variable_lease_Mon_00994" localSheetId="0" hidden="1">monday_model.lp!$ALH$2</definedName>
    <definedName name="Variable_lease_Mon_00994_Type" localSheetId="0" hidden="1">monday_model.lp!$ALH$1782</definedName>
    <definedName name="Variable_lease_Mon_00995" localSheetId="0" hidden="1">monday_model.lp!$ALI$2</definedName>
    <definedName name="Variable_lease_Mon_00995_Type" localSheetId="0" hidden="1">monday_model.lp!$ALI$1782</definedName>
    <definedName name="Variable_lease_Mon_00996" localSheetId="0" hidden="1">monday_model.lp!$ALJ$2</definedName>
    <definedName name="Variable_lease_Mon_00996_Type" localSheetId="0" hidden="1">monday_model.lp!$ALJ$1782</definedName>
    <definedName name="Variable_lease_Mon_00997" localSheetId="0" hidden="1">monday_model.lp!$ALK$2</definedName>
    <definedName name="Variable_lease_Mon_00997_Type" localSheetId="0" hidden="1">monday_model.lp!$ALK$1782</definedName>
    <definedName name="Variable_lease_Mon_00998" localSheetId="0" hidden="1">monday_model.lp!$ALL$2</definedName>
    <definedName name="Variable_lease_Mon_00998_Type" localSheetId="0" hidden="1">monday_model.lp!$ALL$1782</definedName>
    <definedName name="Variable_lease_Mon_00999" localSheetId="0" hidden="1">monday_model.lp!$ALM$2</definedName>
    <definedName name="Variable_lease_Mon_00999_Type" localSheetId="0" hidden="1">monday_model.lp!$ALM$1782</definedName>
    <definedName name="Variable_lease_Mon_01000" localSheetId="0" hidden="1">monday_model.lp!$ALN$2</definedName>
    <definedName name="Variable_lease_Mon_01000_Type" localSheetId="0" hidden="1">monday_model.lp!$ALN$1782</definedName>
    <definedName name="Variable_lease_Mon_01001" localSheetId="0" hidden="1">monday_model.lp!$ALO$2</definedName>
    <definedName name="Variable_lease_Mon_01001_Type" localSheetId="0" hidden="1">monday_model.lp!$ALO$1782</definedName>
    <definedName name="Variable_lease_Mon_01002" localSheetId="0" hidden="1">monday_model.lp!$ALP$2</definedName>
    <definedName name="Variable_lease_Mon_01002_Type" localSheetId="0" hidden="1">monday_model.lp!$ALP$1782</definedName>
    <definedName name="Variable_lease_Mon_01003" localSheetId="0" hidden="1">monday_model.lp!$ALQ$2</definedName>
    <definedName name="Variable_lease_Mon_01003_Type" localSheetId="0" hidden="1">monday_model.lp!$ALQ$1782</definedName>
    <definedName name="Variable_lease_Mon_01004" localSheetId="0" hidden="1">monday_model.lp!$ALR$2</definedName>
    <definedName name="Variable_lease_Mon_01004_Type" localSheetId="0" hidden="1">monday_model.lp!$ALR$1782</definedName>
    <definedName name="Variable_lease_Mon_01005" localSheetId="0" hidden="1">monday_model.lp!$ALS$2</definedName>
    <definedName name="Variable_lease_Mon_01005_Type" localSheetId="0" hidden="1">monday_model.lp!$ALS$1782</definedName>
    <definedName name="Variable_lease_Mon_01006" localSheetId="0" hidden="1">monday_model.lp!$ALT$2</definedName>
    <definedName name="Variable_lease_Mon_01006_Type" localSheetId="0" hidden="1">monday_model.lp!$ALT$1782</definedName>
    <definedName name="Variable_lease_Mon_01007" localSheetId="0" hidden="1">monday_model.lp!$ALU$2</definedName>
    <definedName name="Variable_lease_Mon_01007_Type" localSheetId="0" hidden="1">monday_model.lp!$ALU$1782</definedName>
    <definedName name="Variable_lease_Mon_01008" localSheetId="0" hidden="1">monday_model.lp!$ALV$2</definedName>
    <definedName name="Variable_lease_Mon_01008_Type" localSheetId="0" hidden="1">monday_model.lp!$ALV$1782</definedName>
    <definedName name="Variable_lease_Mon_01009" localSheetId="0" hidden="1">monday_model.lp!$ALW$2</definedName>
    <definedName name="Variable_lease_Mon_01009_Type" localSheetId="0" hidden="1">monday_model.lp!$ALW$1782</definedName>
    <definedName name="Variable_lease_Mon_01010" localSheetId="0" hidden="1">monday_model.lp!$ALX$2</definedName>
    <definedName name="Variable_lease_Mon_01010_Type" localSheetId="0" hidden="1">monday_model.lp!$ALX$1782</definedName>
    <definedName name="Variable_lease_Mon_01011" localSheetId="0" hidden="1">monday_model.lp!$ALY$2</definedName>
    <definedName name="Variable_lease_Mon_01011_Type" localSheetId="0" hidden="1">monday_model.lp!$ALY$1782</definedName>
    <definedName name="Variable_lease_Mon_01012" localSheetId="0" hidden="1">monday_model.lp!$ALZ$2</definedName>
    <definedName name="Variable_lease_Mon_01012_Type" localSheetId="0" hidden="1">monday_model.lp!$ALZ$1782</definedName>
    <definedName name="Variable_lease_Mon_01013" localSheetId="0" hidden="1">monday_model.lp!$AMA$2</definedName>
    <definedName name="Variable_lease_Mon_01013_Type" localSheetId="0" hidden="1">monday_model.lp!$AMA$1782</definedName>
    <definedName name="Variable_lease_Mon_01014" localSheetId="0" hidden="1">monday_model.lp!$AMB$2</definedName>
    <definedName name="Variable_lease_Mon_01014_Type" localSheetId="0" hidden="1">monday_model.lp!$AMB$1782</definedName>
    <definedName name="Variable_lease_Mon_01015" localSheetId="0" hidden="1">monday_model.lp!$AMC$2</definedName>
    <definedName name="Variable_lease_Mon_01015_Type" localSheetId="0" hidden="1">monday_model.lp!$AMC$1782</definedName>
    <definedName name="Variable_lease_Mon_01016" localSheetId="0" hidden="1">monday_model.lp!$AMD$2</definedName>
    <definedName name="Variable_lease_Mon_01016_Type" localSheetId="0" hidden="1">monday_model.lp!$AMD$1782</definedName>
    <definedName name="Variable_lease_Mon_01017" localSheetId="0" hidden="1">monday_model.lp!$AME$2</definedName>
    <definedName name="Variable_lease_Mon_01017_Type" localSheetId="0" hidden="1">monday_model.lp!$AME$1782</definedName>
    <definedName name="Variable_lease_Mon_01018" localSheetId="0" hidden="1">monday_model.lp!$AMF$2</definedName>
    <definedName name="Variable_lease_Mon_01018_Type" localSheetId="0" hidden="1">monday_model.lp!$AMF$1782</definedName>
    <definedName name="Variable_lease_Mon_01019" localSheetId="0" hidden="1">monday_model.lp!$AMG$2</definedName>
    <definedName name="Variable_lease_Mon_01019_Type" localSheetId="0" hidden="1">monday_model.lp!$AMG$1782</definedName>
    <definedName name="Variable_lease_Mon_01020" localSheetId="0" hidden="1">monday_model.lp!$AMH$2</definedName>
    <definedName name="Variable_lease_Mon_01020_Type" localSheetId="0" hidden="1">monday_model.lp!$AMH$1782</definedName>
    <definedName name="Variable_lease_Mon_01021" localSheetId="0" hidden="1">monday_model.lp!$AMI$2</definedName>
    <definedName name="Variable_lease_Mon_01021_Type" localSheetId="0" hidden="1">monday_model.lp!$AMI$1782</definedName>
    <definedName name="Variable_lease_Mon_01022" localSheetId="0" hidden="1">monday_model.lp!$AMJ$2</definedName>
    <definedName name="Variable_lease_Mon_01022_Type" localSheetId="0" hidden="1">monday_model.lp!$AMJ$1782</definedName>
    <definedName name="Variable_lease_Mon_01023" localSheetId="0" hidden="1">monday_model.lp!$AMK$2</definedName>
    <definedName name="Variable_lease_Mon_01023_Type" localSheetId="0" hidden="1">monday_model.lp!$AMK$1782</definedName>
    <definedName name="Variable_lease_Mon_01024" localSheetId="0" hidden="1">monday_model.lp!$AML$2</definedName>
    <definedName name="Variable_lease_Mon_01024_Type" localSheetId="0" hidden="1">monday_model.lp!$AML$1782</definedName>
    <definedName name="Variable_lease_Mon_01025" localSheetId="0" hidden="1">monday_model.lp!$AMM$2</definedName>
    <definedName name="Variable_lease_Mon_01025_Type" localSheetId="0" hidden="1">monday_model.lp!$AMM$1782</definedName>
    <definedName name="Variable_lease_Mon_01026" localSheetId="0" hidden="1">monday_model.lp!$AMN$2</definedName>
    <definedName name="Variable_lease_Mon_01026_Type" localSheetId="0" hidden="1">monday_model.lp!$AMN$1782</definedName>
    <definedName name="Variable_lease_Mon_01027" localSheetId="0" hidden="1">monday_model.lp!$AMO$2</definedName>
    <definedName name="Variable_lease_Mon_01027_Type" localSheetId="0" hidden="1">monday_model.lp!$AMO$1782</definedName>
    <definedName name="Variable_lease_Mon_01028" localSheetId="0" hidden="1">monday_model.lp!$AMP$2</definedName>
    <definedName name="Variable_lease_Mon_01028_Type" localSheetId="0" hidden="1">monday_model.lp!$AMP$1782</definedName>
    <definedName name="Variable_lease_Mon_01029" localSheetId="0" hidden="1">monday_model.lp!$AMQ$2</definedName>
    <definedName name="Variable_lease_Mon_01029_Type" localSheetId="0" hidden="1">monday_model.lp!$AMQ$1782</definedName>
    <definedName name="Variable_lease_Mon_01030" localSheetId="0" hidden="1">monday_model.lp!$AMR$2</definedName>
    <definedName name="Variable_lease_Mon_01030_Type" localSheetId="0" hidden="1">monday_model.lp!$AMR$1782</definedName>
    <definedName name="Variable_lease_Mon_01031" localSheetId="0" hidden="1">monday_model.lp!$AMS$2</definedName>
    <definedName name="Variable_lease_Mon_01031_Type" localSheetId="0" hidden="1">monday_model.lp!$AMS$1782</definedName>
    <definedName name="Variable_lease_Mon_01032" localSheetId="0" hidden="1">monday_model.lp!$AMT$2</definedName>
    <definedName name="Variable_lease_Mon_01032_Type" localSheetId="0" hidden="1">monday_model.lp!$AMT$1782</definedName>
    <definedName name="Variable_lease_Mon_01033" localSheetId="0" hidden="1">monday_model.lp!$AMU$2</definedName>
    <definedName name="Variable_lease_Mon_01033_Type" localSheetId="0" hidden="1">monday_model.lp!$AMU$1782</definedName>
    <definedName name="Variable_lease_Mon_01034" localSheetId="0" hidden="1">monday_model.lp!$AMV$2</definedName>
    <definedName name="Variable_lease_Mon_01034_Type" localSheetId="0" hidden="1">monday_model.lp!$AMV$1782</definedName>
    <definedName name="Variable_lease_Mon_01035" localSheetId="0" hidden="1">monday_model.lp!$AMW$2</definedName>
    <definedName name="Variable_lease_Mon_01035_Type" localSheetId="0" hidden="1">monday_model.lp!$AMW$1782</definedName>
    <definedName name="Variable_lease_Mon_01036" localSheetId="0" hidden="1">monday_model.lp!$AMX$2</definedName>
    <definedName name="Variable_lease_Mon_01036_Type" localSheetId="0" hidden="1">monday_model.lp!$AMX$1782</definedName>
    <definedName name="Variable_lease_Mon_01037" localSheetId="0" hidden="1">monday_model.lp!$AMY$2</definedName>
    <definedName name="Variable_lease_Mon_01037_Type" localSheetId="0" hidden="1">monday_model.lp!$AMY$1782</definedName>
    <definedName name="Variable_lease_Mon_01038" localSheetId="0" hidden="1">monday_model.lp!$AMZ$2</definedName>
    <definedName name="Variable_lease_Mon_01038_Type" localSheetId="0" hidden="1">monday_model.lp!$AMZ$1782</definedName>
    <definedName name="Variable_lease_Mon_01039" localSheetId="0" hidden="1">monday_model.lp!$ANA$2</definedName>
    <definedName name="Variable_lease_Mon_01039_Type" localSheetId="0" hidden="1">monday_model.lp!$ANA$1782</definedName>
    <definedName name="Variable_lease_Mon_01040" localSheetId="0" hidden="1">monday_model.lp!$ANB$2</definedName>
    <definedName name="Variable_lease_Mon_01040_Type" localSheetId="0" hidden="1">monday_model.lp!$ANB$1782</definedName>
    <definedName name="Variable_lease_Mon_01041" localSheetId="0" hidden="1">monday_model.lp!$ANC$2</definedName>
    <definedName name="Variable_lease_Mon_01041_Type" localSheetId="0" hidden="1">monday_model.lp!$ANC$1782</definedName>
    <definedName name="Variable_lease_Mon_01042" localSheetId="0" hidden="1">monday_model.lp!$AND$2</definedName>
    <definedName name="Variable_lease_Mon_01042_Type" localSheetId="0" hidden="1">monday_model.lp!$AND$1782</definedName>
    <definedName name="Variable_lease_Mon_01043" localSheetId="0" hidden="1">monday_model.lp!$ANE$2</definedName>
    <definedName name="Variable_lease_Mon_01043_Type" localSheetId="0" hidden="1">monday_model.lp!$ANE$1782</definedName>
    <definedName name="Variable_lease_Mon_01044" localSheetId="0" hidden="1">monday_model.lp!$ANF$2</definedName>
    <definedName name="Variable_lease_Mon_01044_Type" localSheetId="0" hidden="1">monday_model.lp!$ANF$1782</definedName>
    <definedName name="Variable_lease_Mon_01045" localSheetId="0" hidden="1">monday_model.lp!$ANG$2</definedName>
    <definedName name="Variable_lease_Mon_01045_Type" localSheetId="0" hidden="1">monday_model.lp!$ANG$1782</definedName>
    <definedName name="Variable_lease_Mon_01046" localSheetId="0" hidden="1">monday_model.lp!$ANH$2</definedName>
    <definedName name="Variable_lease_Mon_01046_Type" localSheetId="0" hidden="1">monday_model.lp!$ANH$1782</definedName>
    <definedName name="Variable_lease_Mon_01047" localSheetId="0" hidden="1">monday_model.lp!$ANI$2</definedName>
    <definedName name="Variable_lease_Mon_01047_Type" localSheetId="0" hidden="1">monday_model.lp!$ANI$1782</definedName>
    <definedName name="Variable_lease_Mon_01048" localSheetId="0" hidden="1">monday_model.lp!$ANJ$2</definedName>
    <definedName name="Variable_lease_Mon_01048_Type" localSheetId="0" hidden="1">monday_model.lp!$ANJ$1782</definedName>
    <definedName name="Variable_lease_Mon_01049" localSheetId="0" hidden="1">monday_model.lp!$ANK$2</definedName>
    <definedName name="Variable_lease_Mon_01049_Type" localSheetId="0" hidden="1">monday_model.lp!$ANK$1782</definedName>
    <definedName name="Variable_lease_Mon_01050" localSheetId="0" hidden="1">monday_model.lp!$ANL$2</definedName>
    <definedName name="Variable_lease_Mon_01050_Type" localSheetId="0" hidden="1">monday_model.lp!$ANL$1782</definedName>
    <definedName name="Variable_lease_Mon_01051" localSheetId="0" hidden="1">monday_model.lp!$ANM$2</definedName>
    <definedName name="Variable_lease_Mon_01051_Type" localSheetId="0" hidden="1">monday_model.lp!$ANM$1782</definedName>
    <definedName name="Variable_lease_Mon_01052" localSheetId="0" hidden="1">monday_model.lp!$ANN$2</definedName>
    <definedName name="Variable_lease_Mon_01052_Type" localSheetId="0" hidden="1">monday_model.lp!$ANN$1782</definedName>
    <definedName name="Variable_lease_Mon_01053" localSheetId="0" hidden="1">monday_model.lp!$ANO$2</definedName>
    <definedName name="Variable_lease_Mon_01053_Type" localSheetId="0" hidden="1">monday_model.lp!$ANO$1782</definedName>
    <definedName name="Variable_lease_Mon_01054" localSheetId="0" hidden="1">monday_model.lp!$ANP$2</definedName>
    <definedName name="Variable_lease_Mon_01054_Type" localSheetId="0" hidden="1">monday_model.lp!$ANP$1782</definedName>
    <definedName name="Variable_lease_Mon_01055" localSheetId="0" hidden="1">monday_model.lp!$ANQ$2</definedName>
    <definedName name="Variable_lease_Mon_01055_Type" localSheetId="0" hidden="1">monday_model.lp!$ANQ$1782</definedName>
    <definedName name="Variable_lease_Mon_01056" localSheetId="0" hidden="1">monday_model.lp!$ANR$2</definedName>
    <definedName name="Variable_lease_Mon_01056_Type" localSheetId="0" hidden="1">monday_model.lp!$ANR$1782</definedName>
    <definedName name="Variable_lease_Mon_01057" localSheetId="0" hidden="1">monday_model.lp!$ANS$2</definedName>
    <definedName name="Variable_lease_Mon_01057_Type" localSheetId="0" hidden="1">monday_model.lp!$ANS$1782</definedName>
    <definedName name="Variable_lease_Mon_01058" localSheetId="0" hidden="1">monday_model.lp!$ANT$2</definedName>
    <definedName name="Variable_lease_Mon_01058_Type" localSheetId="0" hidden="1">monday_model.lp!$ANT$1782</definedName>
    <definedName name="Variable_lease_Mon_01059" localSheetId="0" hidden="1">monday_model.lp!$ANU$2</definedName>
    <definedName name="Variable_lease_Mon_01059_Type" localSheetId="0" hidden="1">monday_model.lp!$ANU$1782</definedName>
    <definedName name="Variable_lease_Mon_01060" localSheetId="0" hidden="1">monday_model.lp!$ANV$2</definedName>
    <definedName name="Variable_lease_Mon_01060_Type" localSheetId="0" hidden="1">monday_model.lp!$ANV$1782</definedName>
    <definedName name="Variable_lease_Mon_01061" localSheetId="0" hidden="1">monday_model.lp!$ANW$2</definedName>
    <definedName name="Variable_lease_Mon_01061_Type" localSheetId="0" hidden="1">monday_model.lp!$ANW$1782</definedName>
    <definedName name="Variable_lease_Mon_01062" localSheetId="0" hidden="1">monday_model.lp!$ANX$2</definedName>
    <definedName name="Variable_lease_Mon_01062_Type" localSheetId="0" hidden="1">monday_model.lp!$ANX$1782</definedName>
    <definedName name="Variable_lease_Mon_01063" localSheetId="0" hidden="1">monday_model.lp!$ANY$2</definedName>
    <definedName name="Variable_lease_Mon_01063_Type" localSheetId="0" hidden="1">monday_model.lp!$ANY$1782</definedName>
    <definedName name="Variable_lease_Mon_01064" localSheetId="0" hidden="1">monday_model.lp!$ANZ$2</definedName>
    <definedName name="Variable_lease_Mon_01064_Type" localSheetId="0" hidden="1">monday_model.lp!$ANZ$1782</definedName>
    <definedName name="Variable_lease_Mon_01065" localSheetId="0" hidden="1">monday_model.lp!$AOA$2</definedName>
    <definedName name="Variable_lease_Mon_01065_Type" localSheetId="0" hidden="1">monday_model.lp!$AOA$1782</definedName>
    <definedName name="Variable_lease_Mon_01066" localSheetId="0" hidden="1">monday_model.lp!$AOB$2</definedName>
    <definedName name="Variable_lease_Mon_01066_Type" localSheetId="0" hidden="1">monday_model.lp!$AOB$1782</definedName>
    <definedName name="Variable_lease_Mon_01067" localSheetId="0" hidden="1">monday_model.lp!$AOC$2</definedName>
    <definedName name="Variable_lease_Mon_01067_Type" localSheetId="0" hidden="1">monday_model.lp!$AOC$1782</definedName>
    <definedName name="Variable_lease_Mon_01068" localSheetId="0" hidden="1">monday_model.lp!$AOD$2</definedName>
    <definedName name="Variable_lease_Mon_01068_Type" localSheetId="0" hidden="1">monday_model.lp!$AOD$1782</definedName>
    <definedName name="Variable_lease_Mon_01069" localSheetId="0" hidden="1">monday_model.lp!$AOE$2</definedName>
    <definedName name="Variable_lease_Mon_01069_Type" localSheetId="0" hidden="1">monday_model.lp!$AOE$1782</definedName>
    <definedName name="Variable_lease_Mon_01070" localSheetId="0" hidden="1">monday_model.lp!$AOF$2</definedName>
    <definedName name="Variable_lease_Mon_01070_Type" localSheetId="0" hidden="1">monday_model.lp!$AOF$1782</definedName>
    <definedName name="Variable_lease_Mon_01071" localSheetId="0" hidden="1">monday_model.lp!$AOG$2</definedName>
    <definedName name="Variable_lease_Mon_01071_Type" localSheetId="0" hidden="1">monday_model.lp!$AOG$1782</definedName>
    <definedName name="Variable_lease_Mon_01072" localSheetId="0" hidden="1">monday_model.lp!$AOH$2</definedName>
    <definedName name="Variable_lease_Mon_01072_Type" localSheetId="0" hidden="1">monday_model.lp!$AOH$1782</definedName>
    <definedName name="Variable_lease_Mon_01073" localSheetId="0" hidden="1">monday_model.lp!$AOI$2</definedName>
    <definedName name="Variable_lease_Mon_01073_Type" localSheetId="0" hidden="1">monday_model.lp!$AOI$1782</definedName>
    <definedName name="Variable_lease_Mon_01074" localSheetId="0" hidden="1">monday_model.lp!$AOJ$2</definedName>
    <definedName name="Variable_lease_Mon_01074_Type" localSheetId="0" hidden="1">monday_model.lp!$AOJ$1782</definedName>
    <definedName name="Variable_lease_Mon_01075" localSheetId="0" hidden="1">monday_model.lp!$AOK$2</definedName>
    <definedName name="Variable_lease_Mon_01075_Type" localSheetId="0" hidden="1">monday_model.lp!$AOK$1782</definedName>
    <definedName name="Variable_lease_Mon_01076" localSheetId="0" hidden="1">monday_model.lp!$AOL$2</definedName>
    <definedName name="Variable_lease_Mon_01076_Type" localSheetId="0" hidden="1">monday_model.lp!$AOL$1782</definedName>
    <definedName name="Variable_lease_Mon_01077" localSheetId="0" hidden="1">monday_model.lp!$AOM$2</definedName>
    <definedName name="Variable_lease_Mon_01077_Type" localSheetId="0" hidden="1">monday_model.lp!$AOM$1782</definedName>
    <definedName name="Variable_lease_Mon_01078" localSheetId="0" hidden="1">monday_model.lp!$AON$2</definedName>
    <definedName name="Variable_lease_Mon_01078_Type" localSheetId="0" hidden="1">monday_model.lp!$AON$1782</definedName>
    <definedName name="Variable_lease_Mon_01079" localSheetId="0" hidden="1">monday_model.lp!$AOO$2</definedName>
    <definedName name="Variable_lease_Mon_01079_Type" localSheetId="0" hidden="1">monday_model.lp!$AOO$1782</definedName>
    <definedName name="Variable_lease_Mon_01080" localSheetId="0" hidden="1">monday_model.lp!$AOP$2</definedName>
    <definedName name="Variable_lease_Mon_01080_Type" localSheetId="0" hidden="1">monday_model.lp!$AOP$1782</definedName>
    <definedName name="Variable_lease_Mon_01081" localSheetId="0" hidden="1">monday_model.lp!$AOQ$2</definedName>
    <definedName name="Variable_lease_Mon_01081_Type" localSheetId="0" hidden="1">monday_model.lp!$AOQ$1782</definedName>
    <definedName name="Variable_lease_Mon_01082" localSheetId="0" hidden="1">monday_model.lp!$AOR$2</definedName>
    <definedName name="Variable_lease_Mon_01082_Type" localSheetId="0" hidden="1">monday_model.lp!$AOR$1782</definedName>
    <definedName name="Variable_lease_Mon_01083" localSheetId="0" hidden="1">monday_model.lp!$AOS$2</definedName>
    <definedName name="Variable_lease_Mon_01083_Type" localSheetId="0" hidden="1">monday_model.lp!$AOS$1782</definedName>
    <definedName name="Variable_lease_Mon_01084" localSheetId="0" hidden="1">monday_model.lp!$AOT$2</definedName>
    <definedName name="Variable_lease_Mon_01084_Type" localSheetId="0" hidden="1">monday_model.lp!$AOT$1782</definedName>
    <definedName name="Variable_lease_Mon_01085" localSheetId="0" hidden="1">monday_model.lp!$AOU$2</definedName>
    <definedName name="Variable_lease_Mon_01085_Type" localSheetId="0" hidden="1">monday_model.lp!$AOU$1782</definedName>
    <definedName name="Variable_lease_Mon_01086" localSheetId="0" hidden="1">monday_model.lp!$AOV$2</definedName>
    <definedName name="Variable_lease_Mon_01086_Type" localSheetId="0" hidden="1">monday_model.lp!$AOV$1782</definedName>
    <definedName name="Variable_lease_Mon_01087" localSheetId="0" hidden="1">monday_model.lp!$AOW$2</definedName>
    <definedName name="Variable_lease_Mon_01087_Type" localSheetId="0" hidden="1">monday_model.lp!$AOW$1782</definedName>
    <definedName name="Variable_lease_Mon_01088" localSheetId="0" hidden="1">monday_model.lp!$AOX$2</definedName>
    <definedName name="Variable_lease_Mon_01088_Type" localSheetId="0" hidden="1">monday_model.lp!$AOX$1782</definedName>
    <definedName name="Variable_lease_Mon_01089" localSheetId="0" hidden="1">monday_model.lp!$AOY$2</definedName>
    <definedName name="Variable_lease_Mon_01089_Type" localSheetId="0" hidden="1">monday_model.lp!$AOY$1782</definedName>
    <definedName name="Variable_lease_Mon_01090" localSheetId="0" hidden="1">monday_model.lp!$AOZ$2</definedName>
    <definedName name="Variable_lease_Mon_01090_Type" localSheetId="0" hidden="1">monday_model.lp!$AOZ$1782</definedName>
    <definedName name="Variable_lease_Mon_01091" localSheetId="0" hidden="1">monday_model.lp!$APA$2</definedName>
    <definedName name="Variable_lease_Mon_01091_Type" localSheetId="0" hidden="1">monday_model.lp!$APA$1782</definedName>
    <definedName name="Variable_lease_Mon_01092" localSheetId="0" hidden="1">monday_model.lp!$APB$2</definedName>
    <definedName name="Variable_lease_Mon_01092_Type" localSheetId="0" hidden="1">monday_model.lp!$APB$1782</definedName>
    <definedName name="Variable_lease_Mon_01093" localSheetId="0" hidden="1">monday_model.lp!$APC$2</definedName>
    <definedName name="Variable_lease_Mon_01093_Type" localSheetId="0" hidden="1">monday_model.lp!$APC$1782</definedName>
    <definedName name="Variable_lease_Mon_01094" localSheetId="0" hidden="1">monday_model.lp!$APD$2</definedName>
    <definedName name="Variable_lease_Mon_01094_Type" localSheetId="0" hidden="1">monday_model.lp!$APD$1782</definedName>
    <definedName name="Variable_lease_Mon_01095" localSheetId="0" hidden="1">monday_model.lp!$APE$2</definedName>
    <definedName name="Variable_lease_Mon_01095_Type" localSheetId="0" hidden="1">monday_model.lp!$APE$1782</definedName>
    <definedName name="Variable_lease_Mon_01096" localSheetId="0" hidden="1">monday_model.lp!$APF$2</definedName>
    <definedName name="Variable_lease_Mon_01096_Type" localSheetId="0" hidden="1">monday_model.lp!$APF$1782</definedName>
    <definedName name="Variable_lease_Mon_01097" localSheetId="0" hidden="1">monday_model.lp!$APG$2</definedName>
    <definedName name="Variable_lease_Mon_01097_Type" localSheetId="0" hidden="1">monday_model.lp!$APG$1782</definedName>
    <definedName name="Variable_lease_Mon_01098" localSheetId="0" hidden="1">monday_model.lp!$APH$2</definedName>
    <definedName name="Variable_lease_Mon_01098_Type" localSheetId="0" hidden="1">monday_model.lp!$APH$1782</definedName>
    <definedName name="Variable_lease_Mon_01099" localSheetId="0" hidden="1">monday_model.lp!$API$2</definedName>
    <definedName name="Variable_lease_Mon_01099_Type" localSheetId="0" hidden="1">monday_model.lp!$API$1782</definedName>
    <definedName name="Variable_lease_Mon_01100" localSheetId="0" hidden="1">monday_model.lp!$APJ$2</definedName>
    <definedName name="Variable_lease_Mon_01100_Type" localSheetId="0" hidden="1">monday_model.lp!$APJ$1782</definedName>
    <definedName name="Variable_lease_Mon_01101" localSheetId="0" hidden="1">monday_model.lp!$APK$2</definedName>
    <definedName name="Variable_lease_Mon_01101_Type" localSheetId="0" hidden="1">monday_model.lp!$APK$1782</definedName>
    <definedName name="Variable_lease_Mon_01102" localSheetId="0" hidden="1">monday_model.lp!$APL$2</definedName>
    <definedName name="Variable_lease_Mon_01102_Type" localSheetId="0" hidden="1">monday_model.lp!$APL$1782</definedName>
    <definedName name="Variable_lease_Mon_01103" localSheetId="0" hidden="1">monday_model.lp!$APM$2</definedName>
    <definedName name="Variable_lease_Mon_01103_Type" localSheetId="0" hidden="1">monday_model.lp!$APM$1782</definedName>
    <definedName name="Variable_lease_Mon_01104" localSheetId="0" hidden="1">monday_model.lp!$APN$2</definedName>
    <definedName name="Variable_lease_Mon_01104_Type" localSheetId="0" hidden="1">monday_model.lp!$APN$1782</definedName>
    <definedName name="Variable_lease_Mon_01105" localSheetId="0" hidden="1">monday_model.lp!$APO$2</definedName>
    <definedName name="Variable_lease_Mon_01105_Type" localSheetId="0" hidden="1">monday_model.lp!$APO$1782</definedName>
    <definedName name="Variable_lease_Mon_01106" localSheetId="0" hidden="1">monday_model.lp!$APP$2</definedName>
    <definedName name="Variable_lease_Mon_01106_Type" localSheetId="0" hidden="1">monday_model.lp!$APP$1782</definedName>
    <definedName name="Variable_lease_Mon_01107" localSheetId="0" hidden="1">monday_model.lp!$APQ$2</definedName>
    <definedName name="Variable_lease_Mon_01107_Type" localSheetId="0" hidden="1">monday_model.lp!$APQ$1782</definedName>
    <definedName name="Variable_lease_Mon_01108" localSheetId="0" hidden="1">monday_model.lp!$APR$2</definedName>
    <definedName name="Variable_lease_Mon_01108_Type" localSheetId="0" hidden="1">monday_model.lp!$APR$1782</definedName>
    <definedName name="Variable_lease_Mon_01109" localSheetId="0" hidden="1">monday_model.lp!$APS$2</definedName>
    <definedName name="Variable_lease_Mon_01109_Type" localSheetId="0" hidden="1">monday_model.lp!$APS$1782</definedName>
    <definedName name="Variable_lease_Mon_01110" localSheetId="0" hidden="1">monday_model.lp!$APT$2</definedName>
    <definedName name="Variable_lease_Mon_01110_Type" localSheetId="0" hidden="1">monday_model.lp!$APT$1782</definedName>
    <definedName name="Variable_lease_Mon_01111" localSheetId="0" hidden="1">monday_model.lp!$APU$2</definedName>
    <definedName name="Variable_lease_Mon_01111_Type" localSheetId="0" hidden="1">monday_model.lp!$APU$1782</definedName>
    <definedName name="Variable_lease_Mon_01112" localSheetId="0" hidden="1">monday_model.lp!$APV$2</definedName>
    <definedName name="Variable_lease_Mon_01112_Type" localSheetId="0" hidden="1">monday_model.lp!$APV$1782</definedName>
    <definedName name="Variable_lease_Mon_01113" localSheetId="0" hidden="1">monday_model.lp!$APW$2</definedName>
    <definedName name="Variable_lease_Mon_01113_Type" localSheetId="0" hidden="1">monday_model.lp!$APW$1782</definedName>
    <definedName name="Variable_lease_Mon_01114" localSheetId="0" hidden="1">monday_model.lp!$APX$2</definedName>
    <definedName name="Variable_lease_Mon_01114_Type" localSheetId="0" hidden="1">monday_model.lp!$APX$1782</definedName>
    <definedName name="Variable_lease_Mon_01115" localSheetId="0" hidden="1">monday_model.lp!$APY$2</definedName>
    <definedName name="Variable_lease_Mon_01115_Type" localSheetId="0" hidden="1">monday_model.lp!$APY$1782</definedName>
    <definedName name="Variable_lease_Mon_01116" localSheetId="0" hidden="1">monday_model.lp!$APZ$2</definedName>
    <definedName name="Variable_lease_Mon_01116_Type" localSheetId="0" hidden="1">monday_model.lp!$APZ$1782</definedName>
    <definedName name="Variable_lease_Mon_01117" localSheetId="0" hidden="1">monday_model.lp!$AQA$2</definedName>
    <definedName name="Variable_lease_Mon_01117_Type" localSheetId="0" hidden="1">monday_model.lp!$AQA$1782</definedName>
    <definedName name="Variable_lease_Mon_01118" localSheetId="0" hidden="1">monday_model.lp!$AQB$2</definedName>
    <definedName name="Variable_lease_Mon_01118_Type" localSheetId="0" hidden="1">monday_model.lp!$AQB$1782</definedName>
    <definedName name="Variable_lease_Mon_01119" localSheetId="0" hidden="1">monday_model.lp!$AQC$2</definedName>
    <definedName name="Variable_lease_Mon_01119_Type" localSheetId="0" hidden="1">monday_model.lp!$AQC$1782</definedName>
    <definedName name="Variable_lease_Mon_01120" localSheetId="0" hidden="1">monday_model.lp!$AQD$2</definedName>
    <definedName name="Variable_lease_Mon_01120_Type" localSheetId="0" hidden="1">monday_model.lp!$AQD$1782</definedName>
    <definedName name="Variable_lease_Mon_01121" localSheetId="0" hidden="1">monday_model.lp!$AQE$2</definedName>
    <definedName name="Variable_lease_Mon_01121_Type" localSheetId="0" hidden="1">monday_model.lp!$AQE$1782</definedName>
    <definedName name="Variable_lease_Mon_01122" localSheetId="0" hidden="1">monday_model.lp!$AQF$2</definedName>
    <definedName name="Variable_lease_Mon_01122_Type" localSheetId="0" hidden="1">monday_model.lp!$AQF$1782</definedName>
    <definedName name="Variable_lease_Mon_01123" localSheetId="0" hidden="1">monday_model.lp!$AQG$2</definedName>
    <definedName name="Variable_lease_Mon_01123_Type" localSheetId="0" hidden="1">monday_model.lp!$AQG$1782</definedName>
    <definedName name="Variable_lease_Mon_01124" localSheetId="0" hidden="1">monday_model.lp!$AQH$2</definedName>
    <definedName name="Variable_lease_Mon_01124_Type" localSheetId="0" hidden="1">monday_model.lp!$AQH$1782</definedName>
    <definedName name="Variable_lease_Mon_01125" localSheetId="0" hidden="1">monday_model.lp!$AQI$2</definedName>
    <definedName name="Variable_lease_Mon_01125_Type" localSheetId="0" hidden="1">monday_model.lp!$AQI$1782</definedName>
    <definedName name="Variable_lease_Mon_01126" localSheetId="0" hidden="1">monday_model.lp!$AQJ$2</definedName>
    <definedName name="Variable_lease_Mon_01126_Type" localSheetId="0" hidden="1">monday_model.lp!$AQJ$1782</definedName>
    <definedName name="Variable_lease_Mon_01127" localSheetId="0" hidden="1">monday_model.lp!$AQK$2</definedName>
    <definedName name="Variable_lease_Mon_01127_Type" localSheetId="0" hidden="1">monday_model.lp!$AQK$1782</definedName>
    <definedName name="Variable_lease_Mon_01128" localSheetId="0" hidden="1">monday_model.lp!$AQL$2</definedName>
    <definedName name="Variable_lease_Mon_01128_Type" localSheetId="0" hidden="1">monday_model.lp!$AQL$1782</definedName>
    <definedName name="Variable_lease_Mon_01129" localSheetId="0" hidden="1">monday_model.lp!$AQM$2</definedName>
    <definedName name="Variable_lease_Mon_01129_Type" localSheetId="0" hidden="1">monday_model.lp!$AQM$1782</definedName>
    <definedName name="Variable_lease_Mon_01130" localSheetId="0" hidden="1">monday_model.lp!$AQN$2</definedName>
    <definedName name="Variable_lease_Mon_01130_Type" localSheetId="0" hidden="1">monday_model.lp!$AQN$1782</definedName>
    <definedName name="Variable_lease_Mon_01131" localSheetId="0" hidden="1">monday_model.lp!$AQO$2</definedName>
    <definedName name="Variable_lease_Mon_01131_Type" localSheetId="0" hidden="1">monday_model.lp!$AQO$1782</definedName>
    <definedName name="Variable_lease_Mon_01132" localSheetId="0" hidden="1">monday_model.lp!$AQP$2</definedName>
    <definedName name="Variable_lease_Mon_01132_Type" localSheetId="0" hidden="1">monday_model.lp!$AQP$1782</definedName>
    <definedName name="Variable_lease_Mon_01133" localSheetId="0" hidden="1">monday_model.lp!$AQQ$2</definedName>
    <definedName name="Variable_lease_Mon_01133_Type" localSheetId="0" hidden="1">monday_model.lp!$AQQ$1782</definedName>
    <definedName name="Variable_lease_Mon_01134" localSheetId="0" hidden="1">monday_model.lp!$AQR$2</definedName>
    <definedName name="Variable_lease_Mon_01134_Type" localSheetId="0" hidden="1">monday_model.lp!$AQR$1782</definedName>
    <definedName name="Variable_lease_Mon_01135" localSheetId="0" hidden="1">monday_model.lp!$AQS$2</definedName>
    <definedName name="Variable_lease_Mon_01135_Type" localSheetId="0" hidden="1">monday_model.lp!$AQS$1782</definedName>
    <definedName name="Variable_lease_Mon_01136" localSheetId="0" hidden="1">monday_model.lp!$AQT$2</definedName>
    <definedName name="Variable_lease_Mon_01136_Type" localSheetId="0" hidden="1">monday_model.lp!$AQT$1782</definedName>
    <definedName name="Variable_lease_Mon_01137" localSheetId="0" hidden="1">monday_model.lp!$AQU$2</definedName>
    <definedName name="Variable_lease_Mon_01137_Type" localSheetId="0" hidden="1">monday_model.lp!$AQU$1782</definedName>
    <definedName name="Variable_lease_Mon_01138" localSheetId="0" hidden="1">monday_model.lp!$AQV$2</definedName>
    <definedName name="Variable_lease_Mon_01138_Type" localSheetId="0" hidden="1">monday_model.lp!$AQV$1782</definedName>
    <definedName name="Variable_lease_Mon_01139" localSheetId="0" hidden="1">monday_model.lp!$AQW$2</definedName>
    <definedName name="Variable_lease_Mon_01139_Type" localSheetId="0" hidden="1">monday_model.lp!$AQW$1782</definedName>
    <definedName name="Variable_lease_Mon_01140" localSheetId="0" hidden="1">monday_model.lp!$AQX$2</definedName>
    <definedName name="Variable_lease_Mon_01140_Type" localSheetId="0" hidden="1">monday_model.lp!$AQX$1782</definedName>
    <definedName name="Variable_lease_Mon_01141" localSheetId="0" hidden="1">monday_model.lp!$AQY$2</definedName>
    <definedName name="Variable_lease_Mon_01141_Type" localSheetId="0" hidden="1">monday_model.lp!$AQY$1782</definedName>
    <definedName name="Variable_lease_Mon_01142" localSheetId="0" hidden="1">monday_model.lp!$AQZ$2</definedName>
    <definedName name="Variable_lease_Mon_01142_Type" localSheetId="0" hidden="1">monday_model.lp!$AQZ$1782</definedName>
    <definedName name="Variable_lease_Mon_01143" localSheetId="0" hidden="1">monday_model.lp!$ARA$2</definedName>
    <definedName name="Variable_lease_Mon_01143_Type" localSheetId="0" hidden="1">monday_model.lp!$ARA$1782</definedName>
    <definedName name="Variable_lease_Mon_01144" localSheetId="0" hidden="1">monday_model.lp!$ARB$2</definedName>
    <definedName name="Variable_lease_Mon_01144_Type" localSheetId="0" hidden="1">monday_model.lp!$ARB$1782</definedName>
    <definedName name="Variable_lease_Mon_01145" localSheetId="0" hidden="1">monday_model.lp!$ARC$2</definedName>
    <definedName name="Variable_lease_Mon_01145_Type" localSheetId="0" hidden="1">monday_model.lp!$ARC$1782</definedName>
    <definedName name="Variable_lease_Mon_01146" localSheetId="0" hidden="1">monday_model.lp!$ARD$2</definedName>
    <definedName name="Variable_lease_Mon_01146_Type" localSheetId="0" hidden="1">monday_model.lp!$ARD$1782</definedName>
    <definedName name="Variable_lease_Mon_01147" localSheetId="0" hidden="1">monday_model.lp!$ARE$2</definedName>
    <definedName name="Variable_lease_Mon_01147_Type" localSheetId="0" hidden="1">monday_model.lp!$ARE$1782</definedName>
    <definedName name="Variable_lease_Mon_01148" localSheetId="0" hidden="1">monday_model.lp!$ARF$2</definedName>
    <definedName name="Variable_lease_Mon_01148_Type" localSheetId="0" hidden="1">monday_model.lp!$ARF$1782</definedName>
    <definedName name="Variable_lease_Mon_01149" localSheetId="0" hidden="1">monday_model.lp!$ARG$2</definedName>
    <definedName name="Variable_lease_Mon_01149_Type" localSheetId="0" hidden="1">monday_model.lp!$ARG$1782</definedName>
    <definedName name="Variable_lease_Mon_01150" localSheetId="0" hidden="1">monday_model.lp!$ARH$2</definedName>
    <definedName name="Variable_lease_Mon_01150_Type" localSheetId="0" hidden="1">monday_model.lp!$ARH$1782</definedName>
    <definedName name="Variable_lease_Mon_01151" localSheetId="0" hidden="1">monday_model.lp!$ARI$2</definedName>
    <definedName name="Variable_lease_Mon_01151_Type" localSheetId="0" hidden="1">monday_model.lp!$ARI$1782</definedName>
    <definedName name="Variable_lease_Mon_01152" localSheetId="0" hidden="1">monday_model.lp!$ARJ$2</definedName>
    <definedName name="Variable_lease_Mon_01152_Type" localSheetId="0" hidden="1">monday_model.lp!$ARJ$1782</definedName>
    <definedName name="Variable_lease_Mon_01153" localSheetId="0" hidden="1">monday_model.lp!$ARK$2</definedName>
    <definedName name="Variable_lease_Mon_01153_Type" localSheetId="0" hidden="1">monday_model.lp!$ARK$1782</definedName>
    <definedName name="Variable_lease_Mon_01154" localSheetId="0" hidden="1">monday_model.lp!$ARL$2</definedName>
    <definedName name="Variable_lease_Mon_01154_Type" localSheetId="0" hidden="1">monday_model.lp!$ARL$1782</definedName>
    <definedName name="Variable_lease_Mon_01155" localSheetId="0" hidden="1">monday_model.lp!$ARM$2</definedName>
    <definedName name="Variable_lease_Mon_01155_Type" localSheetId="0" hidden="1">monday_model.lp!$ARM$1782</definedName>
    <definedName name="Variable_lease_Mon_01156" localSheetId="0" hidden="1">monday_model.lp!$ARN$2</definedName>
    <definedName name="Variable_lease_Mon_01156_Type" localSheetId="0" hidden="1">monday_model.lp!$ARN$1782</definedName>
    <definedName name="Variable_lease_Mon_01157" localSheetId="0" hidden="1">monday_model.lp!$ARO$2</definedName>
    <definedName name="Variable_lease_Mon_01157_Type" localSheetId="0" hidden="1">monday_model.lp!$ARO$1782</definedName>
    <definedName name="Variable_lease_Mon_01158" localSheetId="0" hidden="1">monday_model.lp!$ARP$2</definedName>
    <definedName name="Variable_lease_Mon_01158_Type" localSheetId="0" hidden="1">monday_model.lp!$ARP$1782</definedName>
    <definedName name="Variable_lease_Mon_01159" localSheetId="0" hidden="1">monday_model.lp!$ARQ$2</definedName>
    <definedName name="Variable_lease_Mon_01159_Type" localSheetId="0" hidden="1">monday_model.lp!$ARQ$1782</definedName>
    <definedName name="Variable_lease_Mon_01160" localSheetId="0" hidden="1">monday_model.lp!$ARR$2</definedName>
    <definedName name="Variable_lease_Mon_01160_Type" localSheetId="0" hidden="1">monday_model.lp!$ARR$1782</definedName>
    <definedName name="Variable_lease_Mon_01161" localSheetId="0" hidden="1">monday_model.lp!$ARS$2</definedName>
    <definedName name="Variable_lease_Mon_01161_Type" localSheetId="0" hidden="1">monday_model.lp!$ARS$1782</definedName>
    <definedName name="Variable_lease_Mon_01162" localSheetId="0" hidden="1">monday_model.lp!$ART$2</definedName>
    <definedName name="Variable_lease_Mon_01162_Type" localSheetId="0" hidden="1">monday_model.lp!$ART$1782</definedName>
    <definedName name="Variable_lease_Mon_01163" localSheetId="0" hidden="1">monday_model.lp!$ARU$2</definedName>
    <definedName name="Variable_lease_Mon_01163_Type" localSheetId="0" hidden="1">monday_model.lp!$ARU$1782</definedName>
    <definedName name="Variable_lease_Mon_01164" localSheetId="0" hidden="1">monday_model.lp!$ARV$2</definedName>
    <definedName name="Variable_lease_Mon_01164_Type" localSheetId="0" hidden="1">monday_model.lp!$ARV$1782</definedName>
    <definedName name="Variable_lease_Mon_01165" localSheetId="0" hidden="1">monday_model.lp!$ARW$2</definedName>
    <definedName name="Variable_lease_Mon_01165_Type" localSheetId="0" hidden="1">monday_model.lp!$ARW$1782</definedName>
    <definedName name="Variable_lease_Mon_01166" localSheetId="0" hidden="1">monday_model.lp!$ARX$2</definedName>
    <definedName name="Variable_lease_Mon_01166_Type" localSheetId="0" hidden="1">monday_model.lp!$ARX$1782</definedName>
    <definedName name="Variable_lease_Mon_01167" localSheetId="0" hidden="1">monday_model.lp!$ARY$2</definedName>
    <definedName name="Variable_lease_Mon_01167_Type" localSheetId="0" hidden="1">monday_model.lp!$ARY$1782</definedName>
    <definedName name="Variable_lease_Mon_01168" localSheetId="0" hidden="1">monday_model.lp!$ARZ$2</definedName>
    <definedName name="Variable_lease_Mon_01168_Type" localSheetId="0" hidden="1">monday_model.lp!$ARZ$1782</definedName>
    <definedName name="Variable_lease_Mon_01169" localSheetId="0" hidden="1">monday_model.lp!$ASA$2</definedName>
    <definedName name="Variable_lease_Mon_01169_Type" localSheetId="0" hidden="1">monday_model.lp!$ASA$1782</definedName>
    <definedName name="Variable_lease_Mon_01170" localSheetId="0" hidden="1">monday_model.lp!$ASB$2</definedName>
    <definedName name="Variable_lease_Mon_01170_Type" localSheetId="0" hidden="1">monday_model.lp!$ASB$1782</definedName>
    <definedName name="Variable_lease_Mon_01171" localSheetId="0" hidden="1">monday_model.lp!$ASC$2</definedName>
    <definedName name="Variable_lease_Mon_01171_Type" localSheetId="0" hidden="1">monday_model.lp!$ASC$1782</definedName>
    <definedName name="Variable_lease_Mon_01172" localSheetId="0" hidden="1">monday_model.lp!$ASD$2</definedName>
    <definedName name="Variable_lease_Mon_01172_Type" localSheetId="0" hidden="1">monday_model.lp!$ASD$1782</definedName>
    <definedName name="Variable_lease_Mon_01173" localSheetId="0" hidden="1">monday_model.lp!$ASE$2</definedName>
    <definedName name="Variable_lease_Mon_01173_Type" localSheetId="0" hidden="1">monday_model.lp!$ASE$1782</definedName>
    <definedName name="Variable_lease_Mon_01174" localSheetId="0" hidden="1">monday_model.lp!$ASF$2</definedName>
    <definedName name="Variable_lease_Mon_01174_Type" localSheetId="0" hidden="1">monday_model.lp!$ASF$1782</definedName>
    <definedName name="Variable_lease_Mon_01175" localSheetId="0" hidden="1">monday_model.lp!$ASG$2</definedName>
    <definedName name="Variable_lease_Mon_01175_Type" localSheetId="0" hidden="1">monday_model.lp!$ASG$1782</definedName>
    <definedName name="Variable_lease_Mon_01176" localSheetId="0" hidden="1">monday_model.lp!$ASH$2</definedName>
    <definedName name="Variable_lease_Mon_01176_Type" localSheetId="0" hidden="1">monday_model.lp!$ASH$1782</definedName>
    <definedName name="Variable_lease_Mon_01177" localSheetId="0" hidden="1">monday_model.lp!$ASI$2</definedName>
    <definedName name="Variable_lease_Mon_01177_Type" localSheetId="0" hidden="1">monday_model.lp!$ASI$1782</definedName>
    <definedName name="Variable_lease_Mon_01178" localSheetId="0" hidden="1">monday_model.lp!$ASJ$2</definedName>
    <definedName name="Variable_lease_Mon_01178_Type" localSheetId="0" hidden="1">monday_model.lp!$ASJ$1782</definedName>
    <definedName name="Variable_lease_Mon_01179" localSheetId="0" hidden="1">monday_model.lp!$ASK$2</definedName>
    <definedName name="Variable_lease_Mon_01179_Type" localSheetId="0" hidden="1">monday_model.lp!$ASK$1782</definedName>
    <definedName name="Variable_lease_Mon_01180" localSheetId="0" hidden="1">monday_model.lp!$ASL$2</definedName>
    <definedName name="Variable_lease_Mon_01180_Type" localSheetId="0" hidden="1">monday_model.lp!$ASL$1782</definedName>
    <definedName name="Variable_lease_Mon_01181" localSheetId="0" hidden="1">monday_model.lp!$ASM$2</definedName>
    <definedName name="Variable_lease_Mon_01181_Type" localSheetId="0" hidden="1">monday_model.lp!$ASM$1782</definedName>
    <definedName name="Variable_lease_Mon_01182" localSheetId="0" hidden="1">monday_model.lp!$ASN$2</definedName>
    <definedName name="Variable_lease_Mon_01182_Type" localSheetId="0" hidden="1">monday_model.lp!$ASN$1782</definedName>
    <definedName name="Variable_lease_Mon_01183" localSheetId="0" hidden="1">monday_model.lp!$ASO$2</definedName>
    <definedName name="Variable_lease_Mon_01183_Type" localSheetId="0" hidden="1">monday_model.lp!$ASO$1782</definedName>
    <definedName name="Variable_lease_Mon_01184" localSheetId="0" hidden="1">monday_model.lp!$ASP$2</definedName>
    <definedName name="Variable_lease_Mon_01184_Type" localSheetId="0" hidden="1">monday_model.lp!$ASP$1782</definedName>
    <definedName name="Variable_lease_Mon_01185" localSheetId="0" hidden="1">monday_model.lp!$ASQ$2</definedName>
    <definedName name="Variable_lease_Mon_01185_Type" localSheetId="0" hidden="1">monday_model.lp!$ASQ$1782</definedName>
    <definedName name="Variable_lease_Mon_01186" localSheetId="0" hidden="1">monday_model.lp!$ASR$2</definedName>
    <definedName name="Variable_lease_Mon_01186_Type" localSheetId="0" hidden="1">monday_model.lp!$ASR$1782</definedName>
    <definedName name="Variable_lease_Mon_01187" localSheetId="0" hidden="1">monday_model.lp!$ASS$2</definedName>
    <definedName name="Variable_lease_Mon_01187_Type" localSheetId="0" hidden="1">monday_model.lp!$ASS$1782</definedName>
    <definedName name="Variable_lease_Mon_01188" localSheetId="0" hidden="1">monday_model.lp!$AST$2</definedName>
    <definedName name="Variable_lease_Mon_01188_Type" localSheetId="0" hidden="1">monday_model.lp!$AST$1782</definedName>
    <definedName name="Variable_lease_Mon_01189" localSheetId="0" hidden="1">monday_model.lp!$ASU$2</definedName>
    <definedName name="Variable_lease_Mon_01189_Type" localSheetId="0" hidden="1">monday_model.lp!$ASU$1782</definedName>
    <definedName name="Variable_lease_Mon_01190" localSheetId="0" hidden="1">monday_model.lp!$ASV$2</definedName>
    <definedName name="Variable_lease_Mon_01190_Type" localSheetId="0" hidden="1">monday_model.lp!$ASV$1782</definedName>
    <definedName name="Variable_lease_Mon_01191" localSheetId="0" hidden="1">monday_model.lp!$ASW$2</definedName>
    <definedName name="Variable_lease_Mon_01191_Type" localSheetId="0" hidden="1">monday_model.lp!$ASW$1782</definedName>
    <definedName name="Variable_lease_Mon_01192" localSheetId="0" hidden="1">monday_model.lp!$ASX$2</definedName>
    <definedName name="Variable_lease_Mon_01192_Type" localSheetId="0" hidden="1">monday_model.lp!$ASX$1782</definedName>
    <definedName name="Variable_lease_Mon_01193" localSheetId="0" hidden="1">monday_model.lp!$ASY$2</definedName>
    <definedName name="Variable_lease_Mon_01193_Type" localSheetId="0" hidden="1">monday_model.lp!$ASY$1782</definedName>
    <definedName name="Variable_lease_Mon_01194" localSheetId="0" hidden="1">monday_model.lp!$ASZ$2</definedName>
    <definedName name="Variable_lease_Mon_01194_Type" localSheetId="0" hidden="1">monday_model.lp!$ASZ$1782</definedName>
    <definedName name="Variable_lease_Mon_01195" localSheetId="0" hidden="1">monday_model.lp!$ATA$2</definedName>
    <definedName name="Variable_lease_Mon_01195_Type" localSheetId="0" hidden="1">monday_model.lp!$ATA$1782</definedName>
    <definedName name="Variable_lease_Mon_01196" localSheetId="0" hidden="1">monday_model.lp!$ATB$2</definedName>
    <definedName name="Variable_lease_Mon_01196_Type" localSheetId="0" hidden="1">monday_model.lp!$ATB$1782</definedName>
    <definedName name="Variable_lease_Mon_01197" localSheetId="0" hidden="1">monday_model.lp!$ATC$2</definedName>
    <definedName name="Variable_lease_Mon_01197_Type" localSheetId="0" hidden="1">monday_model.lp!$ATC$1782</definedName>
    <definedName name="Variable_lease_Mon_01198" localSheetId="0" hidden="1">monday_model.lp!$ATD$2</definedName>
    <definedName name="Variable_lease_Mon_01198_Type" localSheetId="0" hidden="1">monday_model.lp!$ATD$1782</definedName>
    <definedName name="Variable_lease_Mon_01199" localSheetId="0" hidden="1">monday_model.lp!$ATE$2</definedName>
    <definedName name="Variable_lease_Mon_01199_Type" localSheetId="0" hidden="1">monday_model.lp!$ATE$1782</definedName>
    <definedName name="Variable_lease_Mon_01200" localSheetId="0" hidden="1">monday_model.lp!$ATF$2</definedName>
    <definedName name="Variable_lease_Mon_01200_Type" localSheetId="0" hidden="1">monday_model.lp!$ATF$1782</definedName>
    <definedName name="Variable_lease_Mon_01201" localSheetId="0" hidden="1">monday_model.lp!$ATG$2</definedName>
    <definedName name="Variable_lease_Mon_01201_Type" localSheetId="0" hidden="1">monday_model.lp!$ATG$1782</definedName>
    <definedName name="Variable_lease_Mon_01202" localSheetId="0" hidden="1">monday_model.lp!$ATH$2</definedName>
    <definedName name="Variable_lease_Mon_01202_Type" localSheetId="0" hidden="1">monday_model.lp!$ATH$1782</definedName>
    <definedName name="Variable_lease_Mon_01203" localSheetId="0" hidden="1">monday_model.lp!$ATI$2</definedName>
    <definedName name="Variable_lease_Mon_01203_Type" localSheetId="0" hidden="1">monday_model.lp!$ATI$1782</definedName>
    <definedName name="Variable_lease_Mon_01204" localSheetId="0" hidden="1">monday_model.lp!$ATJ$2</definedName>
    <definedName name="Variable_lease_Mon_01204_Type" localSheetId="0" hidden="1">monday_model.lp!$ATJ$1782</definedName>
    <definedName name="Variable_lease_Mon_01205" localSheetId="0" hidden="1">monday_model.lp!$ATK$2</definedName>
    <definedName name="Variable_lease_Mon_01205_Type" localSheetId="0" hidden="1">monday_model.lp!$ATK$1782</definedName>
    <definedName name="Variable_lease_Mon_01206" localSheetId="0" hidden="1">monday_model.lp!$ATL$2</definedName>
    <definedName name="Variable_lease_Mon_01206_Type" localSheetId="0" hidden="1">monday_model.lp!$ATL$1782</definedName>
    <definedName name="Variable_lease_Mon_01207" localSheetId="0" hidden="1">monday_model.lp!$ATM$2</definedName>
    <definedName name="Variable_lease_Mon_01207_Type" localSheetId="0" hidden="1">monday_model.lp!$ATM$1782</definedName>
    <definedName name="Variable_lease_Mon_01208" localSheetId="0" hidden="1">monday_model.lp!$ATN$2</definedName>
    <definedName name="Variable_lease_Mon_01208_Type" localSheetId="0" hidden="1">monday_model.lp!$ATN$1782</definedName>
    <definedName name="Variable_lease_Mon_01209" localSheetId="0" hidden="1">monday_model.lp!$ATO$2</definedName>
    <definedName name="Variable_lease_Mon_01209_Type" localSheetId="0" hidden="1">monday_model.lp!$ATO$1782</definedName>
    <definedName name="Variable_lease_Mon_01210" localSheetId="0" hidden="1">monday_model.lp!$ATP$2</definedName>
    <definedName name="Variable_lease_Mon_01210_Type" localSheetId="0" hidden="1">monday_model.lp!$ATP$1782</definedName>
    <definedName name="Variable_lease_Mon_01211" localSheetId="0" hidden="1">monday_model.lp!$ATQ$2</definedName>
    <definedName name="Variable_lease_Mon_01211_Type" localSheetId="0" hidden="1">monday_model.lp!$ATQ$1782</definedName>
    <definedName name="Variable_lease_Mon_01212" localSheetId="0" hidden="1">monday_model.lp!$ATR$2</definedName>
    <definedName name="Variable_lease_Mon_01212_Type" localSheetId="0" hidden="1">monday_model.lp!$ATR$1782</definedName>
    <definedName name="Variable_lease_Mon_01213" localSheetId="0" hidden="1">monday_model.lp!$ATS$2</definedName>
    <definedName name="Variable_lease_Mon_01213_Type" localSheetId="0" hidden="1">monday_model.lp!$ATS$1782</definedName>
    <definedName name="Variable_lease_Mon_01214" localSheetId="0" hidden="1">monday_model.lp!$ATT$2</definedName>
    <definedName name="Variable_lease_Mon_01214_Type" localSheetId="0" hidden="1">monday_model.lp!$ATT$1782</definedName>
    <definedName name="Variable_lease_Mon_01215" localSheetId="0" hidden="1">monday_model.lp!$ATU$2</definedName>
    <definedName name="Variable_lease_Mon_01215_Type" localSheetId="0" hidden="1">monday_model.lp!$ATU$1782</definedName>
    <definedName name="Variable_lease_Mon_01216" localSheetId="0" hidden="1">monday_model.lp!$ATV$2</definedName>
    <definedName name="Variable_lease_Mon_01216_Type" localSheetId="0" hidden="1">monday_model.lp!$ATV$1782</definedName>
    <definedName name="Variable_lease_Mon_01217" localSheetId="0" hidden="1">monday_model.lp!$ATW$2</definedName>
    <definedName name="Variable_lease_Mon_01217_Type" localSheetId="0" hidden="1">monday_model.lp!$ATW$1782</definedName>
    <definedName name="Variable_lease_Mon_01218" localSheetId="0" hidden="1">monday_model.lp!$ATX$2</definedName>
    <definedName name="Variable_lease_Mon_01218_Type" localSheetId="0" hidden="1">monday_model.lp!$ATX$1782</definedName>
    <definedName name="Variable_lease_Mon_01219" localSheetId="0" hidden="1">monday_model.lp!$ATY$2</definedName>
    <definedName name="Variable_lease_Mon_01219_Type" localSheetId="0" hidden="1">monday_model.lp!$ATY$1782</definedName>
    <definedName name="Variable_lease_Mon_01220" localSheetId="0" hidden="1">monday_model.lp!$ATZ$2</definedName>
    <definedName name="Variable_lease_Mon_01220_Type" localSheetId="0" hidden="1">monday_model.lp!$ATZ$1782</definedName>
    <definedName name="Variable_lease_Mon_01221" localSheetId="0" hidden="1">monday_model.lp!$AUA$2</definedName>
    <definedName name="Variable_lease_Mon_01221_Type" localSheetId="0" hidden="1">monday_model.lp!$AUA$1782</definedName>
    <definedName name="Variable_lease_Mon_01222" localSheetId="0" hidden="1">monday_model.lp!$AUB$2</definedName>
    <definedName name="Variable_lease_Mon_01222_Type" localSheetId="0" hidden="1">monday_model.lp!$AUB$1782</definedName>
    <definedName name="Variable_lease_Mon_01223" localSheetId="0" hidden="1">monday_model.lp!$AUC$2</definedName>
    <definedName name="Variable_lease_Mon_01223_Type" localSheetId="0" hidden="1">monday_model.lp!$AUC$1782</definedName>
    <definedName name="Variable_lease_Mon_01224" localSheetId="0" hidden="1">monday_model.lp!$AUD$2</definedName>
    <definedName name="Variable_lease_Mon_01224_Type" localSheetId="0" hidden="1">monday_model.lp!$AUD$1782</definedName>
    <definedName name="Variable_lease_Mon_01225" localSheetId="0" hidden="1">monday_model.lp!$AUE$2</definedName>
    <definedName name="Variable_lease_Mon_01225_Type" localSheetId="0" hidden="1">monday_model.lp!$AUE$1782</definedName>
    <definedName name="Variable_lease_Mon_01226" localSheetId="0" hidden="1">monday_model.lp!$AUF$2</definedName>
    <definedName name="Variable_lease_Mon_01226_Type" localSheetId="0" hidden="1">monday_model.lp!$AUF$1782</definedName>
    <definedName name="Variable_lease_Mon_01227" localSheetId="0" hidden="1">monday_model.lp!$AUG$2</definedName>
    <definedName name="Variable_lease_Mon_01227_Type" localSheetId="0" hidden="1">monday_model.lp!$AUG$1782</definedName>
    <definedName name="Variable_lease_Mon_01228" localSheetId="0" hidden="1">monday_model.lp!$AUH$2</definedName>
    <definedName name="Variable_lease_Mon_01228_Type" localSheetId="0" hidden="1">monday_model.lp!$AUH$1782</definedName>
    <definedName name="Variable_lease_Mon_01229" localSheetId="0" hidden="1">monday_model.lp!$AUI$2</definedName>
    <definedName name="Variable_lease_Mon_01229_Type" localSheetId="0" hidden="1">monday_model.lp!$AUI$1782</definedName>
    <definedName name="Variable_lease_Mon_01230" localSheetId="0" hidden="1">monday_model.lp!$AUJ$2</definedName>
    <definedName name="Variable_lease_Mon_01230_Type" localSheetId="0" hidden="1">monday_model.lp!$AUJ$1782</definedName>
    <definedName name="Variable_lease_Mon_01231" localSheetId="0" hidden="1">monday_model.lp!$AUK$2</definedName>
    <definedName name="Variable_lease_Mon_01231_Type" localSheetId="0" hidden="1">monday_model.lp!$AUK$1782</definedName>
    <definedName name="Variable_lease_Mon_01232" localSheetId="0" hidden="1">monday_model.lp!$AUL$2</definedName>
    <definedName name="Variable_lease_Mon_01232_Type" localSheetId="0" hidden="1">monday_model.lp!$AUL$1782</definedName>
    <definedName name="Variable_lease_Mon_01233" localSheetId="0" hidden="1">monday_model.lp!$AUM$2</definedName>
    <definedName name="Variable_lease_Mon_01233_Type" localSheetId="0" hidden="1">monday_model.lp!$AUM$1782</definedName>
    <definedName name="Variable_lease_Mon_01234" localSheetId="0" hidden="1">monday_model.lp!$AUN$2</definedName>
    <definedName name="Variable_lease_Mon_01234_Type" localSheetId="0" hidden="1">monday_model.lp!$AUN$1782</definedName>
    <definedName name="Variable_lease_Mon_01235" localSheetId="0" hidden="1">monday_model.lp!$AUO$2</definedName>
    <definedName name="Variable_lease_Mon_01235_Type" localSheetId="0" hidden="1">monday_model.lp!$AUO$1782</definedName>
    <definedName name="Variable_lease_Mon_01236" localSheetId="0" hidden="1">monday_model.lp!$AUP$2</definedName>
    <definedName name="Variable_lease_Mon_01236_Type" localSheetId="0" hidden="1">monday_model.lp!$AUP$1782</definedName>
    <definedName name="Variable_lease_Mon_01237" localSheetId="0" hidden="1">monday_model.lp!$AUQ$2</definedName>
    <definedName name="Variable_lease_Mon_01237_Type" localSheetId="0" hidden="1">monday_model.lp!$AUQ$1782</definedName>
    <definedName name="Variable_lease_Mon_01238" localSheetId="0" hidden="1">monday_model.lp!$AUR$2</definedName>
    <definedName name="Variable_lease_Mon_01238_Type" localSheetId="0" hidden="1">monday_model.lp!$AUR$1782</definedName>
    <definedName name="Variable_lease_Mon_01239" localSheetId="0" hidden="1">monday_model.lp!$AUS$2</definedName>
    <definedName name="Variable_lease_Mon_01239_Type" localSheetId="0" hidden="1">monday_model.lp!$AUS$1782</definedName>
    <definedName name="Variable_lease_Mon_01240" localSheetId="0" hidden="1">monday_model.lp!$AUT$2</definedName>
    <definedName name="Variable_lease_Mon_01240_Type" localSheetId="0" hidden="1">monday_model.lp!$AUT$1782</definedName>
    <definedName name="Variable_lease_Mon_01241" localSheetId="0" hidden="1">monday_model.lp!$AUU$2</definedName>
    <definedName name="Variable_lease_Mon_01241_Type" localSheetId="0" hidden="1">monday_model.lp!$AUU$1782</definedName>
    <definedName name="Variable_lease_Mon_01242" localSheetId="0" hidden="1">monday_model.lp!$AUV$2</definedName>
    <definedName name="Variable_lease_Mon_01242_Type" localSheetId="0" hidden="1">monday_model.lp!$AUV$1782</definedName>
    <definedName name="Variable_lease_Mon_01243" localSheetId="0" hidden="1">monday_model.lp!$AUW$2</definedName>
    <definedName name="Variable_lease_Mon_01243_Type" localSheetId="0" hidden="1">monday_model.lp!$AUW$1782</definedName>
    <definedName name="Variable_lease_Mon_01244" localSheetId="0" hidden="1">monday_model.lp!$AUX$2</definedName>
    <definedName name="Variable_lease_Mon_01244_Type" localSheetId="0" hidden="1">monday_model.lp!$AUX$1782</definedName>
    <definedName name="Variable_lease_Mon_01245" localSheetId="0" hidden="1">monday_model.lp!$AUY$2</definedName>
    <definedName name="Variable_lease_Mon_01245_Type" localSheetId="0" hidden="1">monday_model.lp!$AUY$1782</definedName>
    <definedName name="Variable_lease_Mon_01246" localSheetId="0" hidden="1">monday_model.lp!$AUZ$2</definedName>
    <definedName name="Variable_lease_Mon_01246_Type" localSheetId="0" hidden="1">monday_model.lp!$AUZ$1782</definedName>
    <definedName name="Variable_lease_Mon_01247" localSheetId="0" hidden="1">monday_model.lp!$AVA$2</definedName>
    <definedName name="Variable_lease_Mon_01247_Type" localSheetId="0" hidden="1">monday_model.lp!$AVA$1782</definedName>
    <definedName name="Variable_lease_Mon_01248" localSheetId="0" hidden="1">monday_model.lp!$AVB$2</definedName>
    <definedName name="Variable_lease_Mon_01248_Type" localSheetId="0" hidden="1">monday_model.lp!$AVB$1782</definedName>
    <definedName name="Variable_lease_Mon_01249" localSheetId="0" hidden="1">monday_model.lp!$AVC$2</definedName>
    <definedName name="Variable_lease_Mon_01249_Type" localSheetId="0" hidden="1">monday_model.lp!$AVC$1782</definedName>
    <definedName name="Variable_lease_Mon_01250" localSheetId="0" hidden="1">monday_model.lp!$AVD$2</definedName>
    <definedName name="Variable_lease_Mon_01250_Type" localSheetId="0" hidden="1">monday_model.lp!$AVD$1782</definedName>
    <definedName name="Variable_lease_Mon_01251" localSheetId="0" hidden="1">monday_model.lp!$AVE$2</definedName>
    <definedName name="Variable_lease_Mon_01251_Type" localSheetId="0" hidden="1">monday_model.lp!$AVE$1782</definedName>
    <definedName name="Variable_lease_Mon_01252" localSheetId="0" hidden="1">monday_model.lp!$AVF$2</definedName>
    <definedName name="Variable_lease_Mon_01252_Type" localSheetId="0" hidden="1">monday_model.lp!$AVF$1782</definedName>
    <definedName name="Variable_lease_Mon_01253" localSheetId="0" hidden="1">monday_model.lp!$AVG$2</definedName>
    <definedName name="Variable_lease_Mon_01253_Type" localSheetId="0" hidden="1">monday_model.lp!$AVG$1782</definedName>
    <definedName name="Variable_lease_Mon_01254" localSheetId="0" hidden="1">monday_model.lp!$AVH$2</definedName>
    <definedName name="Variable_lease_Mon_01254_Type" localSheetId="0" hidden="1">monday_model.lp!$AVH$1782</definedName>
    <definedName name="Variable_lease_Mon_01255" localSheetId="0" hidden="1">monday_model.lp!$AVI$2</definedName>
    <definedName name="Variable_lease_Mon_01255_Type" localSheetId="0" hidden="1">monday_model.lp!$AVI$1782</definedName>
    <definedName name="Variable_lease_Mon_01256" localSheetId="0" hidden="1">monday_model.lp!$AVJ$2</definedName>
    <definedName name="Variable_lease_Mon_01256_Type" localSheetId="0" hidden="1">monday_model.lp!$AVJ$1782</definedName>
    <definedName name="Variable_lease_Mon_01257" localSheetId="0" hidden="1">monday_model.lp!$AVK$2</definedName>
    <definedName name="Variable_lease_Mon_01257_Type" localSheetId="0" hidden="1">monday_model.lp!$AVK$1782</definedName>
    <definedName name="Variable_lease_Mon_01258" localSheetId="0" hidden="1">monday_model.lp!$AVL$2</definedName>
    <definedName name="Variable_lease_Mon_01258_Type" localSheetId="0" hidden="1">monday_model.lp!$AVL$1782</definedName>
    <definedName name="Variable_lease_Mon_01259" localSheetId="0" hidden="1">monday_model.lp!$AVM$2</definedName>
    <definedName name="Variable_lease_Mon_01259_Type" localSheetId="0" hidden="1">monday_model.lp!$AVM$1782</definedName>
    <definedName name="Variable_lease_Mon_01260" localSheetId="0" hidden="1">monday_model.lp!$AVN$2</definedName>
    <definedName name="Variable_lease_Mon_01260_Type" localSheetId="0" hidden="1">monday_model.lp!$AVN$1782</definedName>
    <definedName name="Variable_lease_Mon_01261" localSheetId="0" hidden="1">monday_model.lp!$AVO$2</definedName>
    <definedName name="Variable_lease_Mon_01261_Type" localSheetId="0" hidden="1">monday_model.lp!$AVO$1782</definedName>
    <definedName name="Variable_lease_Mon_01262" localSheetId="0" hidden="1">monday_model.lp!$AVP$2</definedName>
    <definedName name="Variable_lease_Mon_01262_Type" localSheetId="0" hidden="1">monday_model.lp!$AVP$1782</definedName>
    <definedName name="Variable_lease_Mon_01263" localSheetId="0" hidden="1">monday_model.lp!$AVQ$2</definedName>
    <definedName name="Variable_lease_Mon_01263_Type" localSheetId="0" hidden="1">monday_model.lp!$AVQ$1782</definedName>
    <definedName name="Variable_lease_Mon_01264" localSheetId="0" hidden="1">monday_model.lp!$AVR$2</definedName>
    <definedName name="Variable_lease_Mon_01264_Type" localSheetId="0" hidden="1">monday_model.lp!$AVR$1782</definedName>
    <definedName name="Variable_lease_Mon_01265" localSheetId="0" hidden="1">monday_model.lp!$AVS$2</definedName>
    <definedName name="Variable_lease_Mon_01265_Type" localSheetId="0" hidden="1">monday_model.lp!$AVS$1782</definedName>
    <definedName name="Variable_lease_Mon_01266" localSheetId="0" hidden="1">monday_model.lp!$AVT$2</definedName>
    <definedName name="Variable_lease_Mon_01266_Type" localSheetId="0" hidden="1">monday_model.lp!$AVT$1782</definedName>
    <definedName name="Variable_lease_Mon_01267" localSheetId="0" hidden="1">monday_model.lp!$AVU$2</definedName>
    <definedName name="Variable_lease_Mon_01267_Type" localSheetId="0" hidden="1">monday_model.lp!$AVU$1782</definedName>
    <definedName name="Variable_lease_Mon_01268" localSheetId="0" hidden="1">monday_model.lp!$AVV$2</definedName>
    <definedName name="Variable_lease_Mon_01268_Type" localSheetId="0" hidden="1">monday_model.lp!$AVV$1782</definedName>
    <definedName name="Variable_lease_Mon_01269" localSheetId="0" hidden="1">monday_model.lp!$AVW$2</definedName>
    <definedName name="Variable_lease_Mon_01269_Type" localSheetId="0" hidden="1">monday_model.lp!$AVW$1782</definedName>
    <definedName name="Variable_lease_Mon_01270" localSheetId="0" hidden="1">monday_model.lp!$AVX$2</definedName>
    <definedName name="Variable_lease_Mon_01270_Type" localSheetId="0" hidden="1">monday_model.lp!$AVX$1782</definedName>
    <definedName name="Variable_lease_Mon_01271" localSheetId="0" hidden="1">monday_model.lp!$AVY$2</definedName>
    <definedName name="Variable_lease_Mon_01271_Type" localSheetId="0" hidden="1">monday_model.lp!$AVY$1782</definedName>
    <definedName name="Variable_lease_Mon_01272" localSheetId="0" hidden="1">monday_model.lp!$AVZ$2</definedName>
    <definedName name="Variable_lease_Mon_01272_Type" localSheetId="0" hidden="1">monday_model.lp!$AVZ$1782</definedName>
    <definedName name="Variable_lease_Mon_01273" localSheetId="0" hidden="1">monday_model.lp!$AWA$2</definedName>
    <definedName name="Variable_lease_Mon_01273_Type" localSheetId="0" hidden="1">monday_model.lp!$AWA$1782</definedName>
    <definedName name="Variable_lease_Mon_01274" localSheetId="0" hidden="1">monday_model.lp!$AWB$2</definedName>
    <definedName name="Variable_lease_Mon_01274_Type" localSheetId="0" hidden="1">monday_model.lp!$AWB$1782</definedName>
    <definedName name="Variable_lease_Mon_01275" localSheetId="0" hidden="1">monday_model.lp!$AWC$2</definedName>
    <definedName name="Variable_lease_Mon_01275_Type" localSheetId="0" hidden="1">monday_model.lp!$AWC$1782</definedName>
    <definedName name="Variable_lease_Mon_01276" localSheetId="0" hidden="1">monday_model.lp!$AWD$2</definedName>
    <definedName name="Variable_lease_Mon_01276_Type" localSheetId="0" hidden="1">monday_model.lp!$AWD$1782</definedName>
    <definedName name="Variable_lease_Mon_01277" localSheetId="0" hidden="1">monday_model.lp!$AWE$2</definedName>
    <definedName name="Variable_lease_Mon_01277_Type" localSheetId="0" hidden="1">monday_model.lp!$AWE$1782</definedName>
    <definedName name="Variable_lease_Mon_01278" localSheetId="0" hidden="1">monday_model.lp!$AWF$2</definedName>
    <definedName name="Variable_lease_Mon_01278_Type" localSheetId="0" hidden="1">monday_model.lp!$AWF$1782</definedName>
    <definedName name="Variable_lease_Mon_01279" localSheetId="0" hidden="1">monday_model.lp!$AWG$2</definedName>
    <definedName name="Variable_lease_Mon_01279_Type" localSheetId="0" hidden="1">monday_model.lp!$AWG$1782</definedName>
    <definedName name="Variable_lease_Mon_01280" localSheetId="0" hidden="1">monday_model.lp!$AWH$2</definedName>
    <definedName name="Variable_lease_Mon_01280_Type" localSheetId="0" hidden="1">monday_model.lp!$AWH$1782</definedName>
    <definedName name="Variable_lease_Mon_01281" localSheetId="0" hidden="1">monday_model.lp!$AWI$2</definedName>
    <definedName name="Variable_lease_Mon_01281_Type" localSheetId="0" hidden="1">monday_model.lp!$AWI$1782</definedName>
    <definedName name="Variable_lease_Mon_01282" localSheetId="0" hidden="1">monday_model.lp!$AWJ$2</definedName>
    <definedName name="Variable_lease_Mon_01282_Type" localSheetId="0" hidden="1">monday_model.lp!$AWJ$1782</definedName>
    <definedName name="Variable_lease_Mon_01283" localSheetId="0" hidden="1">monday_model.lp!$AWK$2</definedName>
    <definedName name="Variable_lease_Mon_01283_Type" localSheetId="0" hidden="1">monday_model.lp!$AWK$1782</definedName>
    <definedName name="Variable_lease_Mon_01284" localSheetId="0" hidden="1">monday_model.lp!$AWL$2</definedName>
    <definedName name="Variable_lease_Mon_01284_Type" localSheetId="0" hidden="1">monday_model.lp!$AWL$1782</definedName>
    <definedName name="Variable_lease_Mon_01285" localSheetId="0" hidden="1">monday_model.lp!$AWM$2</definedName>
    <definedName name="Variable_lease_Mon_01285_Type" localSheetId="0" hidden="1">monday_model.lp!$AWM$1782</definedName>
    <definedName name="Variable_lease_Mon_01286" localSheetId="0" hidden="1">monday_model.lp!$AWN$2</definedName>
    <definedName name="Variable_lease_Mon_01286_Type" localSheetId="0" hidden="1">monday_model.lp!$AWN$1782</definedName>
    <definedName name="Variable_lease_Mon_01287" localSheetId="0" hidden="1">monday_model.lp!$AWO$2</definedName>
    <definedName name="Variable_lease_Mon_01287_Type" localSheetId="0" hidden="1">monday_model.lp!$AWO$1782</definedName>
    <definedName name="Variable_lease_Mon_01288" localSheetId="0" hidden="1">monday_model.lp!$AWP$2</definedName>
    <definedName name="Variable_lease_Mon_01288_Type" localSheetId="0" hidden="1">monday_model.lp!$AWP$1782</definedName>
    <definedName name="Variable_lease_Mon_01289" localSheetId="0" hidden="1">monday_model.lp!$AWQ$2</definedName>
    <definedName name="Variable_lease_Mon_01289_Type" localSheetId="0" hidden="1">monday_model.lp!$AWQ$1782</definedName>
    <definedName name="Variable_lease_Mon_01290" localSheetId="0" hidden="1">monday_model.lp!$AWR$2</definedName>
    <definedName name="Variable_lease_Mon_01290_Type" localSheetId="0" hidden="1">monday_model.lp!$AWR$1782</definedName>
    <definedName name="Variable_lease_Mon_01291" localSheetId="0" hidden="1">monday_model.lp!$AWS$2</definedName>
    <definedName name="Variable_lease_Mon_01291_Type" localSheetId="0" hidden="1">monday_model.lp!$AWS$1782</definedName>
    <definedName name="Variable_lease_Mon_01292" localSheetId="0" hidden="1">monday_model.lp!$AWT$2</definedName>
    <definedName name="Variable_lease_Mon_01292_Type" localSheetId="0" hidden="1">monday_model.lp!$AWT$1782</definedName>
    <definedName name="Variable_lease_Mon_01293" localSheetId="0" hidden="1">monday_model.lp!$AWU$2</definedName>
    <definedName name="Variable_lease_Mon_01293_Type" localSheetId="0" hidden="1">monday_model.lp!$AWU$1782</definedName>
    <definedName name="Variable_lease_Mon_01294" localSheetId="0" hidden="1">monday_model.lp!$AWV$2</definedName>
    <definedName name="Variable_lease_Mon_01294_Type" localSheetId="0" hidden="1">monday_model.lp!$AWV$1782</definedName>
    <definedName name="Variable_lease_Mon_01295" localSheetId="0" hidden="1">monday_model.lp!$AWW$2</definedName>
    <definedName name="Variable_lease_Mon_01295_Type" localSheetId="0" hidden="1">monday_model.lp!$AWW$1782</definedName>
    <definedName name="Variable_lease_Mon_01296" localSheetId="0" hidden="1">monday_model.lp!$AWX$2</definedName>
    <definedName name="Variable_lease_Mon_01296_Type" localSheetId="0" hidden="1">monday_model.lp!$AWX$1782</definedName>
    <definedName name="Variable_lease_Mon_01297" localSheetId="0" hidden="1">monday_model.lp!$AWY$2</definedName>
    <definedName name="Variable_lease_Mon_01297_Type" localSheetId="0" hidden="1">monday_model.lp!$AWY$1782</definedName>
    <definedName name="Variable_lease_Mon_01298" localSheetId="0" hidden="1">monday_model.lp!$AWZ$2</definedName>
    <definedName name="Variable_lease_Mon_01298_Type" localSheetId="0" hidden="1">monday_model.lp!$AWZ$1782</definedName>
    <definedName name="Variable_lease_Mon_01299" localSheetId="0" hidden="1">monday_model.lp!$AXA$2</definedName>
    <definedName name="Variable_lease_Mon_01299_Type" localSheetId="0" hidden="1">monday_model.lp!$AXA$1782</definedName>
    <definedName name="Variable_lease_Mon_01300" localSheetId="0" hidden="1">monday_model.lp!$AXB$2</definedName>
    <definedName name="Variable_lease_Mon_01300_Type" localSheetId="0" hidden="1">monday_model.lp!$AXB$1782</definedName>
    <definedName name="Variable_lease_Mon_01301" localSheetId="0" hidden="1">monday_model.lp!$AXC$2</definedName>
    <definedName name="Variable_lease_Mon_01301_Type" localSheetId="0" hidden="1">monday_model.lp!$AXC$1782</definedName>
    <definedName name="Variable_lease_Mon_01302" localSheetId="0" hidden="1">monday_model.lp!$AXD$2</definedName>
    <definedName name="Variable_lease_Mon_01302_Type" localSheetId="0" hidden="1">monday_model.lp!$AXD$1782</definedName>
    <definedName name="Variable_lease_Mon_01303" localSheetId="0" hidden="1">monday_model.lp!$AXE$2</definedName>
    <definedName name="Variable_lease_Mon_01303_Type" localSheetId="0" hidden="1">monday_model.lp!$AXE$1782</definedName>
    <definedName name="Variable_lease_Mon_01304" localSheetId="0" hidden="1">monday_model.lp!$AXF$2</definedName>
    <definedName name="Variable_lease_Mon_01304_Type" localSheetId="0" hidden="1">monday_model.lp!$AXF$1782</definedName>
    <definedName name="Variable_lease_Mon_01305" localSheetId="0" hidden="1">monday_model.lp!$AXG$2</definedName>
    <definedName name="Variable_lease_Mon_01305_Type" localSheetId="0" hidden="1">monday_model.lp!$AXG$1782</definedName>
    <definedName name="Variable_lease_Mon_01306" localSheetId="0" hidden="1">monday_model.lp!$AXH$2</definedName>
    <definedName name="Variable_lease_Mon_01306_Type" localSheetId="0" hidden="1">monday_model.lp!$AXH$1782</definedName>
    <definedName name="Variable_lease_Mon_01307" localSheetId="0" hidden="1">monday_model.lp!$AXI$2</definedName>
    <definedName name="Variable_lease_Mon_01307_Type" localSheetId="0" hidden="1">monday_model.lp!$AXI$1782</definedName>
    <definedName name="Variable_lease_Mon_01308" localSheetId="0" hidden="1">monday_model.lp!$AXJ$2</definedName>
    <definedName name="Variable_lease_Mon_01308_Type" localSheetId="0" hidden="1">monday_model.lp!$AXJ$1782</definedName>
    <definedName name="Variable_lease_Mon_01309" localSheetId="0" hidden="1">monday_model.lp!$AXK$2</definedName>
    <definedName name="Variable_lease_Mon_01309_Type" localSheetId="0" hidden="1">monday_model.lp!$AXK$1782</definedName>
    <definedName name="Variable_lease_Mon_01310" localSheetId="0" hidden="1">monday_model.lp!$AXL$2</definedName>
    <definedName name="Variable_lease_Mon_01310_Type" localSheetId="0" hidden="1">monday_model.lp!$AXL$1782</definedName>
    <definedName name="Variable_lease_Mon_01311" localSheetId="0" hidden="1">monday_model.lp!$AXM$2</definedName>
    <definedName name="Variable_lease_Mon_01311_Type" localSheetId="0" hidden="1">monday_model.lp!$AXM$1782</definedName>
    <definedName name="Variable_lease_Mon_01312" localSheetId="0" hidden="1">monday_model.lp!$AXN$2</definedName>
    <definedName name="Variable_lease_Mon_01312_Type" localSheetId="0" hidden="1">monday_model.lp!$AXN$1782</definedName>
    <definedName name="Variable_lease_Mon_01313" localSheetId="0" hidden="1">monday_model.lp!$AXO$2</definedName>
    <definedName name="Variable_lease_Mon_01313_Type" localSheetId="0" hidden="1">monday_model.lp!$AXO$1782</definedName>
    <definedName name="Variable_lease_Mon_01314" localSheetId="0" hidden="1">monday_model.lp!$AXP$2</definedName>
    <definedName name="Variable_lease_Mon_01314_Type" localSheetId="0" hidden="1">monday_model.lp!$AXP$1782</definedName>
    <definedName name="Variable_lease_Mon_01315" localSheetId="0" hidden="1">monday_model.lp!$AXQ$2</definedName>
    <definedName name="Variable_lease_Mon_01315_Type" localSheetId="0" hidden="1">monday_model.lp!$AXQ$1782</definedName>
    <definedName name="Variable_lease_Mon_01316" localSheetId="0" hidden="1">monday_model.lp!$AXR$2</definedName>
    <definedName name="Variable_lease_Mon_01316_Type" localSheetId="0" hidden="1">monday_model.lp!$AXR$1782</definedName>
    <definedName name="Variable_lease_Mon_01317" localSheetId="0" hidden="1">monday_model.lp!$AXS$2</definedName>
    <definedName name="Variable_lease_Mon_01317_Type" localSheetId="0" hidden="1">monday_model.lp!$AXS$1782</definedName>
    <definedName name="Variable_lease_Mon_01318" localSheetId="0" hidden="1">monday_model.lp!$AXT$2</definedName>
    <definedName name="Variable_lease_Mon_01318_Type" localSheetId="0" hidden="1">monday_model.lp!$AXT$1782</definedName>
    <definedName name="Variable_lease_Mon_01319" localSheetId="0" hidden="1">monday_model.lp!$AXU$2</definedName>
    <definedName name="Variable_lease_Mon_01319_Type" localSheetId="0" hidden="1">monday_model.lp!$AXU$1782</definedName>
    <definedName name="Variable_lease_Mon_01320" localSheetId="0" hidden="1">monday_model.lp!$AXV$2</definedName>
    <definedName name="Variable_lease_Mon_01320_Type" localSheetId="0" hidden="1">monday_model.lp!$AXV$1782</definedName>
    <definedName name="Variable_lease_Mon_01321" localSheetId="0" hidden="1">monday_model.lp!$AXW$2</definedName>
    <definedName name="Variable_lease_Mon_01321_Type" localSheetId="0" hidden="1">monday_model.lp!$AXW$1782</definedName>
    <definedName name="Variable_lease_Mon_01322" localSheetId="0" hidden="1">monday_model.lp!$AXX$2</definedName>
    <definedName name="Variable_lease_Mon_01322_Type" localSheetId="0" hidden="1">monday_model.lp!$AXX$1782</definedName>
    <definedName name="Variable_lease_Mon_01323" localSheetId="0" hidden="1">monday_model.lp!$AXY$2</definedName>
    <definedName name="Variable_lease_Mon_01323_Type" localSheetId="0" hidden="1">monday_model.lp!$AXY$1782</definedName>
    <definedName name="Variable_lease_Mon_01324" localSheetId="0" hidden="1">monday_model.lp!$AXZ$2</definedName>
    <definedName name="Variable_lease_Mon_01324_Type" localSheetId="0" hidden="1">monday_model.lp!$AXZ$1782</definedName>
    <definedName name="Variable_lease_Mon_01325" localSheetId="0" hidden="1">monday_model.lp!$AYA$2</definedName>
    <definedName name="Variable_lease_Mon_01325_Type" localSheetId="0" hidden="1">monday_model.lp!$AYA$1782</definedName>
    <definedName name="Variable_lease_Mon_01326" localSheetId="0" hidden="1">monday_model.lp!$AYB$2</definedName>
    <definedName name="Variable_lease_Mon_01326_Type" localSheetId="0" hidden="1">monday_model.lp!$AYB$1782</definedName>
    <definedName name="Variable_lease_Mon_01327" localSheetId="0" hidden="1">monday_model.lp!$AYC$2</definedName>
    <definedName name="Variable_lease_Mon_01327_Type" localSheetId="0" hidden="1">monday_model.lp!$AYC$1782</definedName>
    <definedName name="Variable_lease_Mon_01328" localSheetId="0" hidden="1">monday_model.lp!$AYD$2</definedName>
    <definedName name="Variable_lease_Mon_01328_Type" localSheetId="0" hidden="1">monday_model.lp!$AYD$1782</definedName>
    <definedName name="Variable_lease_Mon_01329" localSheetId="0" hidden="1">monday_model.lp!$AYE$2</definedName>
    <definedName name="Variable_lease_Mon_01329_Type" localSheetId="0" hidden="1">monday_model.lp!$AYE$1782</definedName>
    <definedName name="Variable_lease_Mon_01330" localSheetId="0" hidden="1">monday_model.lp!$AYF$2</definedName>
    <definedName name="Variable_lease_Mon_01330_Type" localSheetId="0" hidden="1">monday_model.lp!$AYF$1782</definedName>
    <definedName name="Variable_lease_Mon_01331" localSheetId="0" hidden="1">monday_model.lp!$AYG$2</definedName>
    <definedName name="Variable_lease_Mon_01331_Type" localSheetId="0" hidden="1">monday_model.lp!$AYG$1782</definedName>
    <definedName name="Variable_lease_Mon_01332" localSheetId="0" hidden="1">monday_model.lp!$AYH$2</definedName>
    <definedName name="Variable_lease_Mon_01332_Type" localSheetId="0" hidden="1">monday_model.lp!$AYH$1782</definedName>
    <definedName name="Variable_lease_Mon_01333" localSheetId="0" hidden="1">monday_model.lp!$AYI$2</definedName>
    <definedName name="Variable_lease_Mon_01333_Type" localSheetId="0" hidden="1">monday_model.lp!$AYI$1782</definedName>
    <definedName name="Variable_lease_Mon_01334" localSheetId="0" hidden="1">monday_model.lp!$AYJ$2</definedName>
    <definedName name="Variable_lease_Mon_01334_Type" localSheetId="0" hidden="1">monday_model.lp!$AYJ$1782</definedName>
    <definedName name="Variable_lease_Mon_01335" localSheetId="0" hidden="1">monday_model.lp!$AYK$2</definedName>
    <definedName name="Variable_lease_Mon_01335_Type" localSheetId="0" hidden="1">monday_model.lp!$AYK$1782</definedName>
    <definedName name="Variable_lease_Mon_01336" localSheetId="0" hidden="1">monday_model.lp!$AYL$2</definedName>
    <definedName name="Variable_lease_Mon_01336_Type" localSheetId="0" hidden="1">monday_model.lp!$AYL$1782</definedName>
    <definedName name="Variable_lease_Mon_01337" localSheetId="0" hidden="1">monday_model.lp!$AYM$2</definedName>
    <definedName name="Variable_lease_Mon_01337_Type" localSheetId="0" hidden="1">monday_model.lp!$AYM$1782</definedName>
    <definedName name="Variable_lease_Mon_01338" localSheetId="0" hidden="1">monday_model.lp!$AYN$2</definedName>
    <definedName name="Variable_lease_Mon_01338_Type" localSheetId="0" hidden="1">monday_model.lp!$AYN$1782</definedName>
    <definedName name="Variable_lease_Mon_01339" localSheetId="0" hidden="1">monday_model.lp!$AYO$2</definedName>
    <definedName name="Variable_lease_Mon_01339_Type" localSheetId="0" hidden="1">monday_model.lp!$AYO$1782</definedName>
    <definedName name="Variable_lease_Mon_01340" localSheetId="0" hidden="1">monday_model.lp!$AYP$2</definedName>
    <definedName name="Variable_lease_Mon_01340_Type" localSheetId="0" hidden="1">monday_model.lp!$AYP$1782</definedName>
    <definedName name="Variable_lease_Mon_01341" localSheetId="0" hidden="1">monday_model.lp!$AYQ$2</definedName>
    <definedName name="Variable_lease_Mon_01341_Type" localSheetId="0" hidden="1">monday_model.lp!$AYQ$1782</definedName>
    <definedName name="Variable_lease_Mon_01342" localSheetId="0" hidden="1">monday_model.lp!$AYR$2</definedName>
    <definedName name="Variable_lease_Mon_01342_Type" localSheetId="0" hidden="1">monday_model.lp!$AYR$1782</definedName>
    <definedName name="Variable_lease_Mon_01343" localSheetId="0" hidden="1">monday_model.lp!$AYS$2</definedName>
    <definedName name="Variable_lease_Mon_01343_Type" localSheetId="0" hidden="1">monday_model.lp!$AYS$1782</definedName>
    <definedName name="Variable_lease_Mon_01344" localSheetId="0" hidden="1">monday_model.lp!$AYT$2</definedName>
    <definedName name="Variable_lease_Mon_01344_Type" localSheetId="0" hidden="1">monday_model.lp!$AYT$1782</definedName>
    <definedName name="Variable_lease_Mon_01345" localSheetId="0" hidden="1">monday_model.lp!$AYU$2</definedName>
    <definedName name="Variable_lease_Mon_01345_Type" localSheetId="0" hidden="1">monday_model.lp!$AYU$1782</definedName>
    <definedName name="Variable_lease_Mon_01346" localSheetId="0" hidden="1">monday_model.lp!$AYV$2</definedName>
    <definedName name="Variable_lease_Mon_01346_Type" localSheetId="0" hidden="1">monday_model.lp!$AYV$1782</definedName>
    <definedName name="Variable_lease_Mon_01347" localSheetId="0" hidden="1">monday_model.lp!$AYW$2</definedName>
    <definedName name="Variable_lease_Mon_01347_Type" localSheetId="0" hidden="1">monday_model.lp!$AYW$1782</definedName>
    <definedName name="Variable_lease_Mon_01348" localSheetId="0" hidden="1">monday_model.lp!$AYX$2</definedName>
    <definedName name="Variable_lease_Mon_01348_Type" localSheetId="0" hidden="1">monday_model.lp!$AYX$1782</definedName>
    <definedName name="Variable_lease_Mon_01349" localSheetId="0" hidden="1">monday_model.lp!$AYY$2</definedName>
    <definedName name="Variable_lease_Mon_01349_Type" localSheetId="0" hidden="1">monday_model.lp!$AYY$1782</definedName>
    <definedName name="Variable_lease_Mon_01350" localSheetId="0" hidden="1">monday_model.lp!$AYZ$2</definedName>
    <definedName name="Variable_lease_Mon_01350_Type" localSheetId="0" hidden="1">monday_model.lp!$AYZ$1782</definedName>
    <definedName name="Variable_lease_Mon_01351" localSheetId="0" hidden="1">monday_model.lp!$AZA$2</definedName>
    <definedName name="Variable_lease_Mon_01351_Type" localSheetId="0" hidden="1">monday_model.lp!$AZA$1782</definedName>
    <definedName name="Variable_lease_Mon_01352" localSheetId="0" hidden="1">monday_model.lp!$AZB$2</definedName>
    <definedName name="Variable_lease_Mon_01352_Type" localSheetId="0" hidden="1">monday_model.lp!$AZB$1782</definedName>
    <definedName name="Variable_lease_Mon_01353" localSheetId="0" hidden="1">monday_model.lp!$AZC$2</definedName>
    <definedName name="Variable_lease_Mon_01353_Type" localSheetId="0" hidden="1">monday_model.lp!$AZC$1782</definedName>
    <definedName name="Variable_lease_Mon_01354" localSheetId="0" hidden="1">monday_model.lp!$AZD$2</definedName>
    <definedName name="Variable_lease_Mon_01354_Type" localSheetId="0" hidden="1">monday_model.lp!$AZD$1782</definedName>
    <definedName name="Variable_lease_Mon_01355" localSheetId="0" hidden="1">monday_model.lp!$AZE$2</definedName>
    <definedName name="Variable_lease_Mon_01355_Type" localSheetId="0" hidden="1">monday_model.lp!$AZE$1782</definedName>
    <definedName name="Variable_lease_Mon_01356" localSheetId="0" hidden="1">monday_model.lp!$AZF$2</definedName>
    <definedName name="Variable_lease_Mon_01356_Type" localSheetId="0" hidden="1">monday_model.lp!$AZF$1782</definedName>
    <definedName name="Variable_lease_Mon_01357" localSheetId="0" hidden="1">monday_model.lp!$AZG$2</definedName>
    <definedName name="Variable_lease_Mon_01357_Type" localSheetId="0" hidden="1">monday_model.lp!$AZG$1782</definedName>
    <definedName name="Variable_lease_Mon_01358" localSheetId="0" hidden="1">monday_model.lp!$AZH$2</definedName>
    <definedName name="Variable_lease_Mon_01358_Type" localSheetId="0" hidden="1">monday_model.lp!$AZH$1782</definedName>
    <definedName name="Variable_lease_Mon_01359" localSheetId="0" hidden="1">monday_model.lp!$AZI$2</definedName>
    <definedName name="Variable_lease_Mon_01359_Type" localSheetId="0" hidden="1">monday_model.lp!$AZI$1782</definedName>
    <definedName name="Variable_lease_Mon_01360" localSheetId="0" hidden="1">monday_model.lp!$AZJ$2</definedName>
    <definedName name="Variable_lease_Mon_01360_Type" localSheetId="0" hidden="1">monday_model.lp!$AZJ$1782</definedName>
    <definedName name="Variable_lease_Mon_01361" localSheetId="0" hidden="1">monday_model.lp!$AZK$2</definedName>
    <definedName name="Variable_lease_Mon_01361_Type" localSheetId="0" hidden="1">monday_model.lp!$AZK$1782</definedName>
    <definedName name="Variable_lease_Mon_01362" localSheetId="0" hidden="1">monday_model.lp!$AZL$2</definedName>
    <definedName name="Variable_lease_Mon_01362_Type" localSheetId="0" hidden="1">monday_model.lp!$AZL$1782</definedName>
    <definedName name="Variable_lease_Mon_01363" localSheetId="0" hidden="1">monday_model.lp!$AZM$2</definedName>
    <definedName name="Variable_lease_Mon_01363_Type" localSheetId="0" hidden="1">monday_model.lp!$AZM$1782</definedName>
    <definedName name="Variable_lease_Mon_01364" localSheetId="0" hidden="1">monday_model.lp!$AZN$2</definedName>
    <definedName name="Variable_lease_Mon_01364_Type" localSheetId="0" hidden="1">monday_model.lp!$AZN$1782</definedName>
    <definedName name="Variable_lease_Mon_01365" localSheetId="0" hidden="1">monday_model.lp!$AZO$2</definedName>
    <definedName name="Variable_lease_Mon_01365_Type" localSheetId="0" hidden="1">monday_model.lp!$AZO$1782</definedName>
    <definedName name="Variable_lease_Mon_01366" localSheetId="0" hidden="1">monday_model.lp!$AZP$2</definedName>
    <definedName name="Variable_lease_Mon_01366_Type" localSheetId="0" hidden="1">monday_model.lp!$AZP$1782</definedName>
    <definedName name="Variable_lease_Mon_01367" localSheetId="0" hidden="1">monday_model.lp!$AZQ$2</definedName>
    <definedName name="Variable_lease_Mon_01367_Type" localSheetId="0" hidden="1">monday_model.lp!$AZQ$1782</definedName>
    <definedName name="Variable_lease_Mon_01368" localSheetId="0" hidden="1">monday_model.lp!$AZR$2</definedName>
    <definedName name="Variable_lease_Mon_01368_Type" localSheetId="0" hidden="1">monday_model.lp!$AZR$1782</definedName>
    <definedName name="Variable_lease_Mon_01369" localSheetId="0" hidden="1">monday_model.lp!$AZS$2</definedName>
    <definedName name="Variable_lease_Mon_01369_Type" localSheetId="0" hidden="1">monday_model.lp!$AZS$1782</definedName>
    <definedName name="Variable_lease_Mon_01370" localSheetId="0" hidden="1">monday_model.lp!$AZT$2</definedName>
    <definedName name="Variable_lease_Mon_01370_Type" localSheetId="0" hidden="1">monday_model.lp!$AZT$1782</definedName>
    <definedName name="Variable_lease_Mon_01371" localSheetId="0" hidden="1">monday_model.lp!$AZU$2</definedName>
    <definedName name="Variable_lease_Mon_01371_Type" localSheetId="0" hidden="1">monday_model.lp!$AZU$1782</definedName>
    <definedName name="Variable_lease_Mon_01372" localSheetId="0" hidden="1">monday_model.lp!$AZV$2</definedName>
    <definedName name="Variable_lease_Mon_01372_Type" localSheetId="0" hidden="1">monday_model.lp!$AZV$1782</definedName>
    <definedName name="Variable_lease_Mon_01373" localSheetId="0" hidden="1">monday_model.lp!$AZW$2</definedName>
    <definedName name="Variable_lease_Mon_01373_Type" localSheetId="0" hidden="1">monday_model.lp!$AZW$1782</definedName>
    <definedName name="Variable_lease_Mon_01374" localSheetId="0" hidden="1">monday_model.lp!$AZX$2</definedName>
    <definedName name="Variable_lease_Mon_01374_Type" localSheetId="0" hidden="1">monday_model.lp!$AZX$1782</definedName>
    <definedName name="Variable_lease_Mon_01375" localSheetId="0" hidden="1">monday_model.lp!$AZY$2</definedName>
    <definedName name="Variable_lease_Mon_01375_Type" localSheetId="0" hidden="1">monday_model.lp!$AZY$1782</definedName>
    <definedName name="Variable_lease_Mon_01376" localSheetId="0" hidden="1">monday_model.lp!$AZZ$2</definedName>
    <definedName name="Variable_lease_Mon_01376_Type" localSheetId="0" hidden="1">monday_model.lp!$AZZ$1782</definedName>
    <definedName name="Variable_lease_Mon_01377" localSheetId="0" hidden="1">monday_model.lp!$BAA$2</definedName>
    <definedName name="Variable_lease_Mon_01377_Type" localSheetId="0" hidden="1">monday_model.lp!$BAA$1782</definedName>
    <definedName name="Variable_lease_Mon_01378" localSheetId="0" hidden="1">monday_model.lp!$BAB$2</definedName>
    <definedName name="Variable_lease_Mon_01378_Type" localSheetId="0" hidden="1">monday_model.lp!$BAB$1782</definedName>
    <definedName name="Variable_lease_Mon_01379" localSheetId="0" hidden="1">monday_model.lp!$BAC$2</definedName>
    <definedName name="Variable_lease_Mon_01379_Type" localSheetId="0" hidden="1">monday_model.lp!$BAC$1782</definedName>
    <definedName name="Variable_lease_Mon_01380" localSheetId="0" hidden="1">monday_model.lp!$BAD$2</definedName>
    <definedName name="Variable_lease_Mon_01380_Type" localSheetId="0" hidden="1">monday_model.lp!$BAD$1782</definedName>
    <definedName name="Variable_lease_Mon_01381" localSheetId="0" hidden="1">monday_model.lp!$BAE$2</definedName>
    <definedName name="Variable_lease_Mon_01381_Type" localSheetId="0" hidden="1">monday_model.lp!$BAE$1782</definedName>
    <definedName name="Variable_lease_Mon_01382" localSheetId="0" hidden="1">monday_model.lp!$BAF$2</definedName>
    <definedName name="Variable_lease_Mon_01382_Type" localSheetId="0" hidden="1">monday_model.lp!$BAF$1782</definedName>
    <definedName name="Variable_lease_Mon_01383" localSheetId="0" hidden="1">monday_model.lp!$BAG$2</definedName>
    <definedName name="Variable_lease_Mon_01383_Type" localSheetId="0" hidden="1">monday_model.lp!$BAG$1782</definedName>
    <definedName name="Variable_lease_Mon_01384" localSheetId="0" hidden="1">monday_model.lp!$BAH$2</definedName>
    <definedName name="Variable_lease_Mon_01384_Type" localSheetId="0" hidden="1">monday_model.lp!$BAH$1782</definedName>
    <definedName name="Variable_lease_Mon_01385" localSheetId="0" hidden="1">monday_model.lp!$BAI$2</definedName>
    <definedName name="Variable_lease_Mon_01385_Type" localSheetId="0" hidden="1">monday_model.lp!$BAI$1782</definedName>
    <definedName name="Variable_lease_Mon_01386" localSheetId="0" hidden="1">monday_model.lp!$BAJ$2</definedName>
    <definedName name="Variable_lease_Mon_01386_Type" localSheetId="0" hidden="1">monday_model.lp!$BAJ$1782</definedName>
    <definedName name="Variable_lease_Mon_01387" localSheetId="0" hidden="1">monday_model.lp!$BAK$2</definedName>
    <definedName name="Variable_lease_Mon_01387_Type" localSheetId="0" hidden="1">monday_model.lp!$BAK$1782</definedName>
    <definedName name="Variable_lease_Mon_01388" localSheetId="0" hidden="1">monday_model.lp!$BAL$2</definedName>
    <definedName name="Variable_lease_Mon_01388_Type" localSheetId="0" hidden="1">monday_model.lp!$BAL$1782</definedName>
    <definedName name="Variable_lease_Mon_01389" localSheetId="0" hidden="1">monday_model.lp!$BAM$2</definedName>
    <definedName name="Variable_lease_Mon_01389_Type" localSheetId="0" hidden="1">monday_model.lp!$BAM$1782</definedName>
    <definedName name="Variable_lease_Mon_01390" localSheetId="0" hidden="1">monday_model.lp!$BAN$2</definedName>
    <definedName name="Variable_lease_Mon_01390_Type" localSheetId="0" hidden="1">monday_model.lp!$BAN$1782</definedName>
    <definedName name="Variable_lease_Mon_01391" localSheetId="0" hidden="1">monday_model.lp!$BAO$2</definedName>
    <definedName name="Variable_lease_Mon_01391_Type" localSheetId="0" hidden="1">monday_model.lp!$BAO$1782</definedName>
    <definedName name="Variable_lease_Mon_01392" localSheetId="0" hidden="1">monday_model.lp!$BAP$2</definedName>
    <definedName name="Variable_lease_Mon_01392_Type" localSheetId="0" hidden="1">monday_model.lp!$BAP$1782</definedName>
    <definedName name="Variable_lease_Mon_01393" localSheetId="0" hidden="1">monday_model.lp!$BAQ$2</definedName>
    <definedName name="Variable_lease_Mon_01393_Type" localSheetId="0" hidden="1">monday_model.lp!$BAQ$1782</definedName>
    <definedName name="Variable_lease_Mon_01394" localSheetId="0" hidden="1">monday_model.lp!$BAR$2</definedName>
    <definedName name="Variable_lease_Mon_01394_Type" localSheetId="0" hidden="1">monday_model.lp!$BAR$1782</definedName>
    <definedName name="Variable_lease_Mon_01395" localSheetId="0" hidden="1">monday_model.lp!$BAS$2</definedName>
    <definedName name="Variable_lease_Mon_01395_Type" localSheetId="0" hidden="1">monday_model.lp!$BAS$1782</definedName>
    <definedName name="Variable_lease_Mon_01396" localSheetId="0" hidden="1">monday_model.lp!$BAT$2</definedName>
    <definedName name="Variable_lease_Mon_01396_Type" localSheetId="0" hidden="1">monday_model.lp!$BAT$1782</definedName>
    <definedName name="Variable_lease_Mon_01397" localSheetId="0" hidden="1">monday_model.lp!$BAU$2</definedName>
    <definedName name="Variable_lease_Mon_01397_Type" localSheetId="0" hidden="1">monday_model.lp!$BAU$1782</definedName>
    <definedName name="Variable_lease_Mon_01398" localSheetId="0" hidden="1">monday_model.lp!$BAV$2</definedName>
    <definedName name="Variable_lease_Mon_01398_Type" localSheetId="0" hidden="1">monday_model.lp!$BAV$1782</definedName>
    <definedName name="Variable_lease_Mon_01399" localSheetId="0" hidden="1">monday_model.lp!$BAW$2</definedName>
    <definedName name="Variable_lease_Mon_01399_Type" localSheetId="0" hidden="1">monday_model.lp!$BAW$1782</definedName>
    <definedName name="Variable_lease_Mon_01400" localSheetId="0" hidden="1">monday_model.lp!$BAX$2</definedName>
    <definedName name="Variable_lease_Mon_01400_Type" localSheetId="0" hidden="1">monday_model.lp!$BAX$1782</definedName>
    <definedName name="Variable_lease_Mon_01401" localSheetId="0" hidden="1">monday_model.lp!$BAY$2</definedName>
    <definedName name="Variable_lease_Mon_01401_Type" localSheetId="0" hidden="1">monday_model.lp!$BAY$1782</definedName>
    <definedName name="Variable_lease_Mon_01402" localSheetId="0" hidden="1">monday_model.lp!$BAZ$2</definedName>
    <definedName name="Variable_lease_Mon_01402_Type" localSheetId="0" hidden="1">monday_model.lp!$BAZ$1782</definedName>
    <definedName name="Variable_lease_Mon_01403" localSheetId="0" hidden="1">monday_model.lp!$BBA$2</definedName>
    <definedName name="Variable_lease_Mon_01403_Type" localSheetId="0" hidden="1">monday_model.lp!$BBA$1782</definedName>
    <definedName name="Variable_lease_Mon_01404" localSheetId="0" hidden="1">monday_model.lp!$BBB$2</definedName>
    <definedName name="Variable_lease_Mon_01404_Type" localSheetId="0" hidden="1">monday_model.lp!$BBB$1782</definedName>
    <definedName name="Variable_lease_Mon_01405" localSheetId="0" hidden="1">monday_model.lp!$BBC$2</definedName>
    <definedName name="Variable_lease_Mon_01405_Type" localSheetId="0" hidden="1">monday_model.lp!$BBC$1782</definedName>
    <definedName name="Variable_lease_Mon_01406" localSheetId="0" hidden="1">monday_model.lp!$BBD$2</definedName>
    <definedName name="Variable_lease_Mon_01406_Type" localSheetId="0" hidden="1">monday_model.lp!$BBD$1782</definedName>
    <definedName name="Variable_lease_Mon_01407" localSheetId="0" hidden="1">monday_model.lp!$BBE$2</definedName>
    <definedName name="Variable_lease_Mon_01407_Type" localSheetId="0" hidden="1">monday_model.lp!$BBE$1782</definedName>
    <definedName name="Variable_lease_Mon_01408" localSheetId="0" hidden="1">monday_model.lp!$BBF$2</definedName>
    <definedName name="Variable_lease_Mon_01408_Type" localSheetId="0" hidden="1">monday_model.lp!$BBF$1782</definedName>
    <definedName name="Variable_lease_Mon_01409" localSheetId="0" hidden="1">monday_model.lp!$BBG$2</definedName>
    <definedName name="Variable_lease_Mon_01409_Type" localSheetId="0" hidden="1">monday_model.lp!$BBG$1782</definedName>
    <definedName name="Variable_lease_Mon_01410" localSheetId="0" hidden="1">monday_model.lp!$BBH$2</definedName>
    <definedName name="Variable_lease_Mon_01410_Type" localSheetId="0" hidden="1">monday_model.lp!$BBH$1782</definedName>
    <definedName name="Variable_lease_Mon_01411" localSheetId="0" hidden="1">monday_model.lp!$BBI$2</definedName>
    <definedName name="Variable_lease_Mon_01411_Type" localSheetId="0" hidden="1">monday_model.lp!$BBI$1782</definedName>
    <definedName name="Variable_lease_Mon_01412" localSheetId="0" hidden="1">monday_model.lp!$BBJ$2</definedName>
    <definedName name="Variable_lease_Mon_01412_Type" localSheetId="0" hidden="1">monday_model.lp!$BBJ$1782</definedName>
    <definedName name="Variable_lease_Mon_01413" localSheetId="0" hidden="1">monday_model.lp!$BBK$2</definedName>
    <definedName name="Variable_lease_Mon_01413_Type" localSheetId="0" hidden="1">monday_model.lp!$BBK$1782</definedName>
    <definedName name="Variable_lease_Mon_01414" localSheetId="0" hidden="1">monday_model.lp!$BBL$2</definedName>
    <definedName name="Variable_lease_Mon_01414_Type" localSheetId="0" hidden="1">monday_model.lp!$BBL$1782</definedName>
    <definedName name="Variable_lease_Mon_01415" localSheetId="0" hidden="1">monday_model.lp!$BBM$2</definedName>
    <definedName name="Variable_lease_Mon_01415_Type" localSheetId="0" hidden="1">monday_model.lp!$BBM$1782</definedName>
    <definedName name="Variable_lease_Mon_01416" localSheetId="0" hidden="1">monday_model.lp!$BBN$2</definedName>
    <definedName name="Variable_lease_Mon_01416_Type" localSheetId="0" hidden="1">monday_model.lp!$BBN$1782</definedName>
    <definedName name="Variable_lease_Mon_01417" localSheetId="0" hidden="1">monday_model.lp!$BBO$2</definedName>
    <definedName name="Variable_lease_Mon_01417_Type" localSheetId="0" hidden="1">monday_model.lp!$BBO$1782</definedName>
    <definedName name="Variable_lease_Mon_01418" localSheetId="0" hidden="1">monday_model.lp!$BBP$2</definedName>
    <definedName name="Variable_lease_Mon_01418_Type" localSheetId="0" hidden="1">monday_model.lp!$BBP$1782</definedName>
    <definedName name="Variable_lease_Mon_01419" localSheetId="0" hidden="1">monday_model.lp!$BBQ$2</definedName>
    <definedName name="Variable_lease_Mon_01419_Type" localSheetId="0" hidden="1">monday_model.lp!$BBQ$1782</definedName>
    <definedName name="Variable_lease_Mon_01420" localSheetId="0" hidden="1">monday_model.lp!$BBR$2</definedName>
    <definedName name="Variable_lease_Mon_01420_Type" localSheetId="0" hidden="1">monday_model.lp!$BBR$1782</definedName>
    <definedName name="Variable_lease_Mon_01421" localSheetId="0" hidden="1">monday_model.lp!$BBS$2</definedName>
    <definedName name="Variable_lease_Mon_01421_Type" localSheetId="0" hidden="1">monday_model.lp!$BBS$1782</definedName>
    <definedName name="Variable_lease_Mon_01422" localSheetId="0" hidden="1">monday_model.lp!$BBT$2</definedName>
    <definedName name="Variable_lease_Mon_01422_Type" localSheetId="0" hidden="1">monday_model.lp!$BBT$1782</definedName>
    <definedName name="Variable_lease_Mon_01423" localSheetId="0" hidden="1">monday_model.lp!$BBU$2</definedName>
    <definedName name="Variable_lease_Mon_01423_Type" localSheetId="0" hidden="1">monday_model.lp!$BBU$1782</definedName>
    <definedName name="Variable_lease_Mon_01424" localSheetId="0" hidden="1">monday_model.lp!$BBV$2</definedName>
    <definedName name="Variable_lease_Mon_01424_Type" localSheetId="0" hidden="1">monday_model.lp!$BBV$1782</definedName>
    <definedName name="Variable_lease_Mon_01425" localSheetId="0" hidden="1">monday_model.lp!$BBW$2</definedName>
    <definedName name="Variable_lease_Mon_01425_Type" localSheetId="0" hidden="1">monday_model.lp!$BBW$1782</definedName>
    <definedName name="Variable_lease_Mon_01426" localSheetId="0" hidden="1">monday_model.lp!$BBX$2</definedName>
    <definedName name="Variable_lease_Mon_01426_Type" localSheetId="0" hidden="1">monday_model.lp!$BBX$1782</definedName>
    <definedName name="Variable_lease_Mon_01427" localSheetId="0" hidden="1">monday_model.lp!$BBY$2</definedName>
    <definedName name="Variable_lease_Mon_01427_Type" localSheetId="0" hidden="1">monday_model.lp!$BBY$1782</definedName>
    <definedName name="Variable_lease_Mon_01428" localSheetId="0" hidden="1">monday_model.lp!$BBZ$2</definedName>
    <definedName name="Variable_lease_Mon_01428_Type" localSheetId="0" hidden="1">monday_model.lp!$BBZ$1782</definedName>
    <definedName name="Variable_lease_Mon_01429" localSheetId="0" hidden="1">monday_model.lp!$BCA$2</definedName>
    <definedName name="Variable_lease_Mon_01429_Type" localSheetId="0" hidden="1">monday_model.lp!$BCA$1782</definedName>
    <definedName name="Variable_lease_Mon_01430" localSheetId="0" hidden="1">monday_model.lp!$BCB$2</definedName>
    <definedName name="Variable_lease_Mon_01430_Type" localSheetId="0" hidden="1">monday_model.lp!$BCB$1782</definedName>
    <definedName name="Variable_lease_Mon_01431" localSheetId="0" hidden="1">monday_model.lp!$BCC$2</definedName>
    <definedName name="Variable_lease_Mon_01431_Type" localSheetId="0" hidden="1">monday_model.lp!$BCC$1782</definedName>
    <definedName name="Variable_lease_Mon_01432" localSheetId="0" hidden="1">monday_model.lp!$BCD$2</definedName>
    <definedName name="Variable_lease_Mon_01432_Type" localSheetId="0" hidden="1">monday_model.lp!$BCD$1782</definedName>
    <definedName name="Variable_lease_Mon_01433" localSheetId="0" hidden="1">monday_model.lp!$BCE$2</definedName>
    <definedName name="Variable_lease_Mon_01433_Type" localSheetId="0" hidden="1">monday_model.lp!$BCE$1782</definedName>
    <definedName name="Variable_lease_Mon_01434" localSheetId="0" hidden="1">monday_model.lp!$BCF$2</definedName>
    <definedName name="Variable_lease_Mon_01434_Type" localSheetId="0" hidden="1">monday_model.lp!$BCF$1782</definedName>
    <definedName name="Variable_lease_Mon_01435" localSheetId="0" hidden="1">monday_model.lp!$BCG$2</definedName>
    <definedName name="Variable_lease_Mon_01435_Type" localSheetId="0" hidden="1">monday_model.lp!$BCG$1782</definedName>
    <definedName name="Variable_lease_Mon_01436" localSheetId="0" hidden="1">monday_model.lp!$BCH$2</definedName>
    <definedName name="Variable_lease_Mon_01436_Type" localSheetId="0" hidden="1">monday_model.lp!$BCH$1782</definedName>
    <definedName name="Variable_lease_Mon_01437" localSheetId="0" hidden="1">monday_model.lp!$BCI$2</definedName>
    <definedName name="Variable_lease_Mon_01437_Type" localSheetId="0" hidden="1">monday_model.lp!$BCI$1782</definedName>
    <definedName name="Variable_lease_Mon_01438" localSheetId="0" hidden="1">monday_model.lp!$BCJ$2</definedName>
    <definedName name="Variable_lease_Mon_01438_Type" localSheetId="0" hidden="1">monday_model.lp!$BCJ$1782</definedName>
    <definedName name="Variable_lease_Mon_01439" localSheetId="0" hidden="1">monday_model.lp!$BCK$2</definedName>
    <definedName name="Variable_lease_Mon_01439_Type" localSheetId="0" hidden="1">monday_model.lp!$BCK$1782</definedName>
    <definedName name="Variable_lease_Mon_01440" localSheetId="0" hidden="1">monday_model.lp!$BCL$2</definedName>
    <definedName name="Variable_lease_Mon_01440_Type" localSheetId="0" hidden="1">monday_model.lp!$BCL$1782</definedName>
    <definedName name="Variable_lease_Mon_01441" localSheetId="0" hidden="1">monday_model.lp!$BCM$2</definedName>
    <definedName name="Variable_lease_Mon_01441_Type" localSheetId="0" hidden="1">monday_model.lp!$BCM$1782</definedName>
    <definedName name="Variable_lease_Mon_01442" localSheetId="0" hidden="1">monday_model.lp!$BCN$2</definedName>
    <definedName name="Variable_lease_Mon_01442_Type" localSheetId="0" hidden="1">monday_model.lp!$BCN$1782</definedName>
    <definedName name="Variable_lease_Mon_01443" localSheetId="0" hidden="1">monday_model.lp!$BCO$2</definedName>
    <definedName name="Variable_lease_Mon_01443_Type" localSheetId="0" hidden="1">monday_model.lp!$BCO$1782</definedName>
    <definedName name="Variable_lease_Mon_01444" localSheetId="0" hidden="1">monday_model.lp!$BCP$2</definedName>
    <definedName name="Variable_lease_Mon_01444_Type" localSheetId="0" hidden="1">monday_model.lp!$BCP$1782</definedName>
    <definedName name="Variable_lease_Mon_01445" localSheetId="0" hidden="1">monday_model.lp!$BCQ$2</definedName>
    <definedName name="Variable_lease_Mon_01445_Type" localSheetId="0" hidden="1">monday_model.lp!$BCQ$1782</definedName>
    <definedName name="Variable_lease_Mon_01446" localSheetId="0" hidden="1">monday_model.lp!$BCR$2</definedName>
    <definedName name="Variable_lease_Mon_01446_Type" localSheetId="0" hidden="1">monday_model.lp!$BCR$1782</definedName>
    <definedName name="Variable_lease_Mon_01447" localSheetId="0" hidden="1">monday_model.lp!$BCS$2</definedName>
    <definedName name="Variable_lease_Mon_01447_Type" localSheetId="0" hidden="1">monday_model.lp!$BCS$1782</definedName>
    <definedName name="Variable_lease_Mon_01448" localSheetId="0" hidden="1">monday_model.lp!$BCT$2</definedName>
    <definedName name="Variable_lease_Mon_01448_Type" localSheetId="0" hidden="1">monday_model.lp!$BCT$1782</definedName>
    <definedName name="Variable_lease_Mon_01449" localSheetId="0" hidden="1">monday_model.lp!$BCU$2</definedName>
    <definedName name="Variable_lease_Mon_01449_Type" localSheetId="0" hidden="1">monday_model.lp!$BCU$1782</definedName>
    <definedName name="Variable_lease_Mon_01450" localSheetId="0" hidden="1">monday_model.lp!$BCV$2</definedName>
    <definedName name="Variable_lease_Mon_01450_Type" localSheetId="0" hidden="1">monday_model.lp!$BCV$1782</definedName>
    <definedName name="Variable_lease_Mon_01451" localSheetId="0" hidden="1">monday_model.lp!$BCW$2</definedName>
    <definedName name="Variable_lease_Mon_01451_Type" localSheetId="0" hidden="1">monday_model.lp!$BCW$1782</definedName>
    <definedName name="Variable_lease_Mon_01452" localSheetId="0" hidden="1">monday_model.lp!$BCX$2</definedName>
    <definedName name="Variable_lease_Mon_01452_Type" localSheetId="0" hidden="1">monday_model.lp!$BCX$1782</definedName>
    <definedName name="Variable_lease_Mon_01453" localSheetId="0" hidden="1">monday_model.lp!$BCY$2</definedName>
    <definedName name="Variable_lease_Mon_01453_Type" localSheetId="0" hidden="1">monday_model.lp!$BCY$1782</definedName>
    <definedName name="Variable_lease_Mon_01454" localSheetId="0" hidden="1">monday_model.lp!$BCZ$2</definedName>
    <definedName name="Variable_lease_Mon_01454_Type" localSheetId="0" hidden="1">monday_model.lp!$BCZ$1782</definedName>
    <definedName name="Variable_lease_Mon_01455" localSheetId="0" hidden="1">monday_model.lp!$BDA$2</definedName>
    <definedName name="Variable_lease_Mon_01455_Type" localSheetId="0" hidden="1">monday_model.lp!$BDA$1782</definedName>
    <definedName name="Variable_lease_Mon_01456" localSheetId="0" hidden="1">monday_model.lp!$BDB$2</definedName>
    <definedName name="Variable_lease_Mon_01456_Type" localSheetId="0" hidden="1">monday_model.lp!$BDB$1782</definedName>
    <definedName name="Variable_lease_Mon_01457" localSheetId="0" hidden="1">monday_model.lp!$BDC$2</definedName>
    <definedName name="Variable_lease_Mon_01457_Type" localSheetId="0" hidden="1">monday_model.lp!$BDC$1782</definedName>
    <definedName name="Variable_lease_Mon_01458" localSheetId="0" hidden="1">monday_model.lp!$BDD$2</definedName>
    <definedName name="Variable_lease_Mon_01458_Type" localSheetId="0" hidden="1">monday_model.lp!$BDD$1782</definedName>
    <definedName name="Variable_lease_Mon_01459" localSheetId="0" hidden="1">monday_model.lp!$BDE$2</definedName>
    <definedName name="Variable_lease_Mon_01459_Type" localSheetId="0" hidden="1">monday_model.lp!$BDE$1782</definedName>
    <definedName name="Variable_lease_Mon_01460" localSheetId="0" hidden="1">monday_model.lp!$BDF$2</definedName>
    <definedName name="Variable_lease_Mon_01460_Type" localSheetId="0" hidden="1">monday_model.lp!$BDF$1782</definedName>
    <definedName name="Variable_lease_Mon_01461" localSheetId="0" hidden="1">monday_model.lp!$BDG$2</definedName>
    <definedName name="Variable_lease_Mon_01461_Type" localSheetId="0" hidden="1">monday_model.lp!$BDG$1782</definedName>
    <definedName name="Variable_lease_Mon_01462" localSheetId="0" hidden="1">monday_model.lp!$BDH$2</definedName>
    <definedName name="Variable_lease_Mon_01462_Type" localSheetId="0" hidden="1">monday_model.lp!$BDH$1782</definedName>
    <definedName name="Variable_lease_Mon_01463" localSheetId="0" hidden="1">monday_model.lp!$BDI$2</definedName>
    <definedName name="Variable_lease_Mon_01463_Type" localSheetId="0" hidden="1">monday_model.lp!$BDI$1782</definedName>
    <definedName name="Variable_lease_Mon_01464" localSheetId="0" hidden="1">monday_model.lp!$BDJ$2</definedName>
    <definedName name="Variable_lease_Mon_01464_Type" localSheetId="0" hidden="1">monday_model.lp!$BDJ$1782</definedName>
    <definedName name="Variable_lease_Mon_01465" localSheetId="0" hidden="1">monday_model.lp!$BDK$2</definedName>
    <definedName name="Variable_lease_Mon_01465_Type" localSheetId="0" hidden="1">monday_model.lp!$BDK$1782</definedName>
    <definedName name="Variable_lease_Mon_01466" localSheetId="0" hidden="1">monday_model.lp!$BDL$2</definedName>
    <definedName name="Variable_lease_Mon_01466_Type" localSheetId="0" hidden="1">monday_model.lp!$BDL$1782</definedName>
    <definedName name="Variable_lease_Mon_01467" localSheetId="0" hidden="1">monday_model.lp!$BDM$2</definedName>
    <definedName name="Variable_lease_Mon_01467_Type" localSheetId="0" hidden="1">monday_model.lp!$BDM$1782</definedName>
    <definedName name="Variable_lease_Mon_01468" localSheetId="0" hidden="1">monday_model.lp!$BDN$2</definedName>
    <definedName name="Variable_lease_Mon_01468_Type" localSheetId="0" hidden="1">monday_model.lp!$BDN$1782</definedName>
    <definedName name="Variable_lease_Mon_01469" localSheetId="0" hidden="1">monday_model.lp!$BDO$2</definedName>
    <definedName name="Variable_lease_Mon_01469_Type" localSheetId="0" hidden="1">monday_model.lp!$BDO$1782</definedName>
    <definedName name="Variable_lease_Mon_01470" localSheetId="0" hidden="1">monday_model.lp!$BDP$2</definedName>
    <definedName name="Variable_lease_Mon_01470_Type" localSheetId="0" hidden="1">monday_model.lp!$BDP$1782</definedName>
    <definedName name="Variable_lease_Mon_01471" localSheetId="0" hidden="1">monday_model.lp!$BDQ$2</definedName>
    <definedName name="Variable_lease_Mon_01471_Type" localSheetId="0" hidden="1">monday_model.lp!$BDQ$1782</definedName>
    <definedName name="Variable_lease_Mon_01472" localSheetId="0" hidden="1">monday_model.lp!$BDR$2</definedName>
    <definedName name="Variable_lease_Mon_01472_Type" localSheetId="0" hidden="1">monday_model.lp!$BDR$1782</definedName>
    <definedName name="Variable_lease_Mon_01473" localSheetId="0" hidden="1">monday_model.lp!$BDS$2</definedName>
    <definedName name="Variable_lease_Mon_01473_Type" localSheetId="0" hidden="1">monday_model.lp!$BDS$1782</definedName>
    <definedName name="Variable_lease_Mon_01474" localSheetId="0" hidden="1">monday_model.lp!$BDT$2</definedName>
    <definedName name="Variable_lease_Mon_01474_Type" localSheetId="0" hidden="1">monday_model.lp!$BDT$1782</definedName>
    <definedName name="Variable_lease_Mon_01475" localSheetId="0" hidden="1">monday_model.lp!$BDU$2</definedName>
    <definedName name="Variable_lease_Mon_01475_Type" localSheetId="0" hidden="1">monday_model.lp!$BDU$1782</definedName>
    <definedName name="Variable_lease_Mon_01476" localSheetId="0" hidden="1">monday_model.lp!$BDV$2</definedName>
    <definedName name="Variable_lease_Mon_01476_Type" localSheetId="0" hidden="1">monday_model.lp!$BDV$1782</definedName>
    <definedName name="Variable_lease_Mon_01477" localSheetId="0" hidden="1">monday_model.lp!$BDW$2</definedName>
    <definedName name="Variable_lease_Mon_01477_Type" localSheetId="0" hidden="1">monday_model.lp!$BDW$1782</definedName>
    <definedName name="Variable_lease_Mon_01478" localSheetId="0" hidden="1">monday_model.lp!$BDX$2</definedName>
    <definedName name="Variable_lease_Mon_01478_Type" localSheetId="0" hidden="1">monday_model.lp!$BDX$1782</definedName>
    <definedName name="Variable_lease_Mon_01479" localSheetId="0" hidden="1">monday_model.lp!$BDY$2</definedName>
    <definedName name="Variable_lease_Mon_01479_Type" localSheetId="0" hidden="1">monday_model.lp!$BDY$1782</definedName>
    <definedName name="Variable_lease_Mon_01480" localSheetId="0" hidden="1">monday_model.lp!$BDZ$2</definedName>
    <definedName name="Variable_lease_Mon_01480_Type" localSheetId="0" hidden="1">monday_model.lp!$BDZ$1782</definedName>
    <definedName name="Variable_lease_Mon_01481" localSheetId="0" hidden="1">monday_model.lp!$BEA$2</definedName>
    <definedName name="Variable_lease_Mon_01481_Type" localSheetId="0" hidden="1">monday_model.lp!$BEA$1782</definedName>
    <definedName name="Variable_lease_Mon_01482" localSheetId="0" hidden="1">monday_model.lp!$BEB$2</definedName>
    <definedName name="Variable_lease_Mon_01482_Type" localSheetId="0" hidden="1">monday_model.lp!$BEB$1782</definedName>
    <definedName name="Variable_lease_Mon_01483" localSheetId="0" hidden="1">monday_model.lp!$BEC$2</definedName>
    <definedName name="Variable_lease_Mon_01483_Type" localSheetId="0" hidden="1">monday_model.lp!$BEC$1782</definedName>
    <definedName name="Variable_lease_Mon_01484" localSheetId="0" hidden="1">monday_model.lp!$BED$2</definedName>
    <definedName name="Variable_lease_Mon_01484_Type" localSheetId="0" hidden="1">monday_model.lp!$BED$1782</definedName>
    <definedName name="Variable_lease_Mon_01485" localSheetId="0" hidden="1">monday_model.lp!$BEE$2</definedName>
    <definedName name="Variable_lease_Mon_01485_Type" localSheetId="0" hidden="1">monday_model.lp!$BEE$1782</definedName>
    <definedName name="Variable_lease_Mon_01486" localSheetId="0" hidden="1">monday_model.lp!$BEF$2</definedName>
    <definedName name="Variable_lease_Mon_01486_Type" localSheetId="0" hidden="1">monday_model.lp!$BEF$1782</definedName>
    <definedName name="Variable_lease_Mon_01487" localSheetId="0" hidden="1">monday_model.lp!$BEG$2</definedName>
    <definedName name="Variable_lease_Mon_01487_Type" localSheetId="0" hidden="1">monday_model.lp!$BEG$1782</definedName>
    <definedName name="Variable_lease_Mon_01488" localSheetId="0" hidden="1">monday_model.lp!$BEH$2</definedName>
    <definedName name="Variable_lease_Mon_01488_Type" localSheetId="0" hidden="1">monday_model.lp!$BEH$1782</definedName>
    <definedName name="Variable_lease_Mon_01489" localSheetId="0" hidden="1">monday_model.lp!$BEI$2</definedName>
    <definedName name="Variable_lease_Mon_01489_Type" localSheetId="0" hidden="1">monday_model.lp!$BEI$1782</definedName>
    <definedName name="Variable_lease_Mon_01490" localSheetId="0" hidden="1">monday_model.lp!$BEJ$2</definedName>
    <definedName name="Variable_lease_Mon_01490_Type" localSheetId="0" hidden="1">monday_model.lp!$BEJ$1782</definedName>
    <definedName name="Variable_lease_Mon_01491" localSheetId="0" hidden="1">monday_model.lp!$BEK$2</definedName>
    <definedName name="Variable_lease_Mon_01491_Type" localSheetId="0" hidden="1">monday_model.lp!$BEK$1782</definedName>
    <definedName name="Variable_lease_Mon_01492" localSheetId="0" hidden="1">monday_model.lp!$BEL$2</definedName>
    <definedName name="Variable_lease_Mon_01492_Type" localSheetId="0" hidden="1">monday_model.lp!$BEL$1782</definedName>
    <definedName name="Variable_lease_Mon_01493" localSheetId="0" hidden="1">monday_model.lp!$BEM$2</definedName>
    <definedName name="Variable_lease_Mon_01493_Type" localSheetId="0" hidden="1">monday_model.lp!$BEM$1782</definedName>
    <definedName name="Variable_lease_Mon_01494" localSheetId="0" hidden="1">monday_model.lp!$BEN$2</definedName>
    <definedName name="Variable_lease_Mon_01494_Type" localSheetId="0" hidden="1">monday_model.lp!$BEN$1782</definedName>
    <definedName name="Variable_lease_Mon_01495" localSheetId="0" hidden="1">monday_model.lp!$BEO$2</definedName>
    <definedName name="Variable_lease_Mon_01495_Type" localSheetId="0" hidden="1">monday_model.lp!$BEO$1782</definedName>
    <definedName name="Variable_lease_Mon_01496" localSheetId="0" hidden="1">monday_model.lp!$BEP$2</definedName>
    <definedName name="Variable_lease_Mon_01496_Type" localSheetId="0" hidden="1">monday_model.lp!$BEP$1782</definedName>
    <definedName name="Variable_lease_Mon_01497" localSheetId="0" hidden="1">monday_model.lp!$BEQ$2</definedName>
    <definedName name="Variable_lease_Mon_01497_Type" localSheetId="0" hidden="1">monday_model.lp!$BEQ$1782</definedName>
    <definedName name="Variable_lease_Mon_01498" localSheetId="0" hidden="1">monday_model.lp!$BER$2</definedName>
    <definedName name="Variable_lease_Mon_01498_Type" localSheetId="0" hidden="1">monday_model.lp!$BER$1782</definedName>
    <definedName name="Variable_lease_Mon_01499" localSheetId="0" hidden="1">monday_model.lp!$BES$2</definedName>
    <definedName name="Variable_lease_Mon_01499_Type" localSheetId="0" hidden="1">monday_model.lp!$BES$1782</definedName>
    <definedName name="Variable_lease_Mon_01500" localSheetId="0" hidden="1">monday_model.lp!$BET$2</definedName>
    <definedName name="Variable_lease_Mon_01500_Type" localSheetId="0" hidden="1">monday_model.lp!$BET$1782</definedName>
    <definedName name="Variable_lease_Mon_01501" localSheetId="0" hidden="1">monday_model.lp!$BEU$2</definedName>
    <definedName name="Variable_lease_Mon_01501_Type" localSheetId="0" hidden="1">monday_model.lp!$BEU$1782</definedName>
    <definedName name="Variable_lease_Mon_01502" localSheetId="0" hidden="1">monday_model.lp!$BEV$2</definedName>
    <definedName name="Variable_lease_Mon_01502_Type" localSheetId="0" hidden="1">monday_model.lp!$BEV$1782</definedName>
    <definedName name="Variable_lease_Mon_01503" localSheetId="0" hidden="1">monday_model.lp!$BEW$2</definedName>
    <definedName name="Variable_lease_Mon_01503_Type" localSheetId="0" hidden="1">monday_model.lp!$BEW$1782</definedName>
    <definedName name="Variable_lease_Mon_01504" localSheetId="0" hidden="1">monday_model.lp!$BEX$2</definedName>
    <definedName name="Variable_lease_Mon_01504_Type" localSheetId="0" hidden="1">monday_model.lp!$BEX$1782</definedName>
    <definedName name="Variable_lease_Mon_01505" localSheetId="0" hidden="1">monday_model.lp!$BEY$2</definedName>
    <definedName name="Variable_lease_Mon_01505_Type" localSheetId="0" hidden="1">monday_model.lp!$BEY$1782</definedName>
    <definedName name="Variable_lease_Mon_01506" localSheetId="0" hidden="1">monday_model.lp!$BEZ$2</definedName>
    <definedName name="Variable_lease_Mon_01506_Type" localSheetId="0" hidden="1">monday_model.lp!$BEZ$1782</definedName>
    <definedName name="Variable_lease_Mon_01507" localSheetId="0" hidden="1">monday_model.lp!$BFA$2</definedName>
    <definedName name="Variable_lease_Mon_01507_Type" localSheetId="0" hidden="1">monday_model.lp!$BFA$1782</definedName>
    <definedName name="Variable_lease_Mon_01508" localSheetId="0" hidden="1">monday_model.lp!$BFB$2</definedName>
    <definedName name="Variable_lease_Mon_01508_Type" localSheetId="0" hidden="1">monday_model.lp!$BFB$1782</definedName>
    <definedName name="Variable_lease_Mon_01509" localSheetId="0" hidden="1">monday_model.lp!$BFC$2</definedName>
    <definedName name="Variable_lease_Mon_01509_Type" localSheetId="0" hidden="1">monday_model.lp!$BFC$1782</definedName>
    <definedName name="Variable_lease_Mon_01510" localSheetId="0" hidden="1">monday_model.lp!$BFD$2</definedName>
    <definedName name="Variable_lease_Mon_01510_Type" localSheetId="0" hidden="1">monday_model.lp!$BFD$1782</definedName>
    <definedName name="Variable_lease_Mon_01511" localSheetId="0" hidden="1">monday_model.lp!$BFE$2</definedName>
    <definedName name="Variable_lease_Mon_01511_Type" localSheetId="0" hidden="1">monday_model.lp!$BFE$1782</definedName>
    <definedName name="Variable_lease_Mon_01512" localSheetId="0" hidden="1">monday_model.lp!$BFF$2</definedName>
    <definedName name="Variable_lease_Mon_01512_Type" localSheetId="0" hidden="1">monday_model.lp!$BFF$1782</definedName>
    <definedName name="Variable_lease_Mon_01513" localSheetId="0" hidden="1">monday_model.lp!$BFG$2</definedName>
    <definedName name="Variable_lease_Mon_01513_Type" localSheetId="0" hidden="1">monday_model.lp!$BFG$1782</definedName>
    <definedName name="Variable_lease_Mon_01514" localSheetId="0" hidden="1">monday_model.lp!$BFH$2</definedName>
    <definedName name="Variable_lease_Mon_01514_Type" localSheetId="0" hidden="1">monday_model.lp!$BFH$1782</definedName>
    <definedName name="Variable_lease_Mon_01515" localSheetId="0" hidden="1">monday_model.lp!$BFI$2</definedName>
    <definedName name="Variable_lease_Mon_01515_Type" localSheetId="0" hidden="1">monday_model.lp!$BFI$1782</definedName>
    <definedName name="Variable_lease_Mon_01516" localSheetId="0" hidden="1">monday_model.lp!$BFJ$2</definedName>
    <definedName name="Variable_lease_Mon_01516_Type" localSheetId="0" hidden="1">monday_model.lp!$BFJ$1782</definedName>
    <definedName name="Variable_lease_Mon_01517" localSheetId="0" hidden="1">monday_model.lp!$BFK$2</definedName>
    <definedName name="Variable_lease_Mon_01517_Type" localSheetId="0" hidden="1">monday_model.lp!$BFK$1782</definedName>
    <definedName name="Variable_lease_Mon_01518" localSheetId="0" hidden="1">monday_model.lp!$BFL$2</definedName>
    <definedName name="Variable_lease_Mon_01518_Type" localSheetId="0" hidden="1">monday_model.lp!$BFL$1782</definedName>
    <definedName name="Variable_lease_Mon_01519" localSheetId="0" hidden="1">monday_model.lp!$BFM$2</definedName>
    <definedName name="Variable_lease_Mon_01519_Type" localSheetId="0" hidden="1">monday_model.lp!$BFM$1782</definedName>
    <definedName name="Variable_lease_Mon_01520" localSheetId="0" hidden="1">monday_model.lp!$BFN$2</definedName>
    <definedName name="Variable_lease_Mon_01520_Type" localSheetId="0" hidden="1">monday_model.lp!$BFN$1782</definedName>
    <definedName name="Variable_lease_Mon_01521" localSheetId="0" hidden="1">monday_model.lp!$BFO$2</definedName>
    <definedName name="Variable_lease_Mon_01521_Type" localSheetId="0" hidden="1">monday_model.lp!$BFO$1782</definedName>
    <definedName name="Variable_lease_Mon_01522" localSheetId="0" hidden="1">monday_model.lp!$BFP$2</definedName>
    <definedName name="Variable_lease_Mon_01522_Type" localSheetId="0" hidden="1">monday_model.lp!$BFP$1782</definedName>
    <definedName name="Variable_lease_Mon_01523" localSheetId="0" hidden="1">monday_model.lp!$BFQ$2</definedName>
    <definedName name="Variable_lease_Mon_01523_Type" localSheetId="0" hidden="1">monday_model.lp!$BFQ$1782</definedName>
    <definedName name="Variable_lease_Mon_01524" localSheetId="0" hidden="1">monday_model.lp!$BFR$2</definedName>
    <definedName name="Variable_lease_Mon_01524_Type" localSheetId="0" hidden="1">monday_model.lp!$BFR$1782</definedName>
    <definedName name="Variable_lease_Mon_01525" localSheetId="0" hidden="1">monday_model.lp!$BFS$2</definedName>
    <definedName name="Variable_lease_Mon_01525_Type" localSheetId="0" hidden="1">monday_model.lp!$BFS$1782</definedName>
    <definedName name="Variable_lease_Mon_01526" localSheetId="0" hidden="1">monday_model.lp!$BFT$2</definedName>
    <definedName name="Variable_lease_Mon_01526_Type" localSheetId="0" hidden="1">monday_model.lp!$BFT$1782</definedName>
    <definedName name="Variable_lease_Mon_01527" localSheetId="0" hidden="1">monday_model.lp!$BFU$2</definedName>
    <definedName name="Variable_lease_Mon_01527_Type" localSheetId="0" hidden="1">monday_model.lp!$BFU$1782</definedName>
    <definedName name="Variable_lease_Mon_01528" localSheetId="0" hidden="1">monday_model.lp!$BFV$2</definedName>
    <definedName name="Variable_lease_Mon_01528_Type" localSheetId="0" hidden="1">monday_model.lp!$BFV$1782</definedName>
    <definedName name="Variable_lease_Mon_01529" localSheetId="0" hidden="1">monday_model.lp!$BFW$2</definedName>
    <definedName name="Variable_lease_Mon_01529_Type" localSheetId="0" hidden="1">monday_model.lp!$BFW$1782</definedName>
    <definedName name="Variable_lease_Mon_01530" localSheetId="0" hidden="1">monday_model.lp!$BFX$2</definedName>
    <definedName name="Variable_lease_Mon_01530_Type" localSheetId="0" hidden="1">monday_model.lp!$BFX$1782</definedName>
    <definedName name="Variable_lease_Mon_01531" localSheetId="0" hidden="1">monday_model.lp!$BFY$2</definedName>
    <definedName name="Variable_lease_Mon_01531_Type" localSheetId="0" hidden="1">monday_model.lp!$BFY$1782</definedName>
    <definedName name="Variable_lease_Mon_01532" localSheetId="0" hidden="1">monday_model.lp!$BFZ$2</definedName>
    <definedName name="Variable_lease_Mon_01532_Type" localSheetId="0" hidden="1">monday_model.lp!$BFZ$1782</definedName>
    <definedName name="Variable_lease_Mon_01533" localSheetId="0" hidden="1">monday_model.lp!$BGA$2</definedName>
    <definedName name="Variable_lease_Mon_01533_Type" localSheetId="0" hidden="1">monday_model.lp!$BGA$1782</definedName>
    <definedName name="Variable_lease_Mon_01534" localSheetId="0" hidden="1">monday_model.lp!$BGB$2</definedName>
    <definedName name="Variable_lease_Mon_01534_Type" localSheetId="0" hidden="1">monday_model.lp!$BGB$1782</definedName>
    <definedName name="Variable_lease_Mon_01535" localSheetId="0" hidden="1">monday_model.lp!$BGC$2</definedName>
    <definedName name="Variable_lease_Mon_01535_Type" localSheetId="0" hidden="1">monday_model.lp!$BGC$1782</definedName>
    <definedName name="Variable_lease_Mon_01536" localSheetId="0" hidden="1">monday_model.lp!$BGD$2</definedName>
    <definedName name="Variable_lease_Mon_01536_Type" localSheetId="0" hidden="1">monday_model.lp!$BGD$1782</definedName>
    <definedName name="Variable_lease_Mon_01537" localSheetId="0" hidden="1">monday_model.lp!$BGE$2</definedName>
    <definedName name="Variable_lease_Mon_01537_Type" localSheetId="0" hidden="1">monday_model.lp!$BGE$1782</definedName>
    <definedName name="Variable_lease_Mon_01538" localSheetId="0" hidden="1">monday_model.lp!$BGF$2</definedName>
    <definedName name="Variable_lease_Mon_01538_Type" localSheetId="0" hidden="1">monday_model.lp!$BGF$1782</definedName>
    <definedName name="Variable_lease_Mon_01539" localSheetId="0" hidden="1">monday_model.lp!$BGG$2</definedName>
    <definedName name="Variable_lease_Mon_01539_Type" localSheetId="0" hidden="1">monday_model.lp!$BGG$1782</definedName>
    <definedName name="Variable_lease_Mon_01540" localSheetId="0" hidden="1">monday_model.lp!$BGH$2</definedName>
    <definedName name="Variable_lease_Mon_01540_Type" localSheetId="0" hidden="1">monday_model.lp!$BGH$1782</definedName>
    <definedName name="Variable_lease_Mon_01541" localSheetId="0" hidden="1">monday_model.lp!$BGI$2</definedName>
    <definedName name="Variable_lease_Mon_01541_Type" localSheetId="0" hidden="1">monday_model.lp!$BGI$1782</definedName>
    <definedName name="Variable_lease_Mon_01542" localSheetId="0" hidden="1">monday_model.lp!$BGJ$2</definedName>
    <definedName name="Variable_lease_Mon_01542_Type" localSheetId="0" hidden="1">monday_model.lp!$BGJ$1782</definedName>
    <definedName name="Variable_lease_Mon_01543" localSheetId="0" hidden="1">monday_model.lp!$BGK$2</definedName>
    <definedName name="Variable_lease_Mon_01543_Type" localSheetId="0" hidden="1">monday_model.lp!$BGK$1782</definedName>
    <definedName name="Variable_lease_Mon_01544" localSheetId="0" hidden="1">monday_model.lp!$BGL$2</definedName>
    <definedName name="Variable_lease_Mon_01544_Type" localSheetId="0" hidden="1">monday_model.lp!$BGL$1782</definedName>
    <definedName name="Variable_lease_Mon_01545" localSheetId="0" hidden="1">monday_model.lp!$BGM$2</definedName>
    <definedName name="Variable_lease_Mon_01545_Type" localSheetId="0" hidden="1">monday_model.lp!$BGM$1782</definedName>
    <definedName name="Variable_lease_Mon_01546" localSheetId="0" hidden="1">monday_model.lp!$BGN$2</definedName>
    <definedName name="Variable_lease_Mon_01546_Type" localSheetId="0" hidden="1">monday_model.lp!$BGN$1782</definedName>
    <definedName name="Variable_lease_Mon_01547" localSheetId="0" hidden="1">monday_model.lp!$BGO$2</definedName>
    <definedName name="Variable_lease_Mon_01547_Type" localSheetId="0" hidden="1">monday_model.lp!$BGO$1782</definedName>
    <definedName name="Variable_lease_Mon_01548" localSheetId="0" hidden="1">monday_model.lp!$BGP$2</definedName>
    <definedName name="Variable_lease_Mon_01548_Type" localSheetId="0" hidden="1">monday_model.lp!$BGP$1782</definedName>
    <definedName name="Variable_lease_Mon_01549" localSheetId="0" hidden="1">monday_model.lp!$BGQ$2</definedName>
    <definedName name="Variable_lease_Mon_01549_Type" localSheetId="0" hidden="1">monday_model.lp!$BGQ$1782</definedName>
    <definedName name="Variable_lease_Mon_01550" localSheetId="0" hidden="1">monday_model.lp!$BGR$2</definedName>
    <definedName name="Variable_lease_Mon_01550_Type" localSheetId="0" hidden="1">monday_model.lp!$BGR$1782</definedName>
    <definedName name="Variable_lease_Mon_01551" localSheetId="0" hidden="1">monday_model.lp!$BGS$2</definedName>
    <definedName name="Variable_lease_Mon_01551_Type" localSheetId="0" hidden="1">monday_model.lp!$BGS$1782</definedName>
    <definedName name="Variable_lease_Mon_01552" localSheetId="0" hidden="1">monday_model.lp!$BGT$2</definedName>
    <definedName name="Variable_lease_Mon_01552_Type" localSheetId="0" hidden="1">monday_model.lp!$BGT$1782</definedName>
    <definedName name="Variable_lease_Mon_01553" localSheetId="0" hidden="1">monday_model.lp!$BGU$2</definedName>
    <definedName name="Variable_lease_Mon_01553_Type" localSheetId="0" hidden="1">monday_model.lp!$BGU$1782</definedName>
    <definedName name="Variable_lease_Mon_01554" localSheetId="0" hidden="1">monday_model.lp!$BGV$2</definedName>
    <definedName name="Variable_lease_Mon_01554_Type" localSheetId="0" hidden="1">monday_model.lp!$BGV$1782</definedName>
    <definedName name="Variable_lease_Mon_01555" localSheetId="0" hidden="1">monday_model.lp!$BGW$2</definedName>
    <definedName name="Variable_lease_Mon_01555_Type" localSheetId="0" hidden="1">monday_model.lp!$BGW$1782</definedName>
    <definedName name="Variable_lease_Mon_01556" localSheetId="0" hidden="1">monday_model.lp!$BGX$2</definedName>
    <definedName name="Variable_lease_Mon_01556_Type" localSheetId="0" hidden="1">monday_model.lp!$BGX$1782</definedName>
    <definedName name="Variable_lease_Mon_01557" localSheetId="0" hidden="1">monday_model.lp!$BGY$2</definedName>
    <definedName name="Variable_lease_Mon_01557_Type" localSheetId="0" hidden="1">monday_model.lp!$BGY$1782</definedName>
    <definedName name="Variable_lease_Mon_01558" localSheetId="0" hidden="1">monday_model.lp!$BGZ$2</definedName>
    <definedName name="Variable_lease_Mon_01558_Type" localSheetId="0" hidden="1">monday_model.lp!$BGZ$1782</definedName>
    <definedName name="Variable_lease_Mon_01559" localSheetId="0" hidden="1">monday_model.lp!$BHA$2</definedName>
    <definedName name="Variable_lease_Mon_01559_Type" localSheetId="0" hidden="1">monday_model.lp!$BHA$1782</definedName>
    <definedName name="Variable_lease_Mon_01560" localSheetId="0" hidden="1">monday_model.lp!$BHB$2</definedName>
    <definedName name="Variable_lease_Mon_01560_Type" localSheetId="0" hidden="1">monday_model.lp!$BHB$1782</definedName>
    <definedName name="Variable_lease_Mon_01561" localSheetId="0" hidden="1">monday_model.lp!$BHC$2</definedName>
    <definedName name="Variable_lease_Mon_01561_Type" localSheetId="0" hidden="1">monday_model.lp!$BHC$1782</definedName>
    <definedName name="Variable_lease_Mon_01562" localSheetId="0" hidden="1">monday_model.lp!$BHD$2</definedName>
    <definedName name="Variable_lease_Mon_01562_Type" localSheetId="0" hidden="1">monday_model.lp!$BHD$1782</definedName>
    <definedName name="Variable_lease_Mon_01563" localSheetId="0" hidden="1">monday_model.lp!$BHE$2</definedName>
    <definedName name="Variable_lease_Mon_01563_Type" localSheetId="0" hidden="1">monday_model.lp!$BHE$1782</definedName>
    <definedName name="Variable_lease_Mon_01564" localSheetId="0" hidden="1">monday_model.lp!$BHF$2</definedName>
    <definedName name="Variable_lease_Mon_01564_Type" localSheetId="0" hidden="1">monday_model.lp!$BHF$1782</definedName>
    <definedName name="Variable_lease_Mon_01565" localSheetId="0" hidden="1">monday_model.lp!$BHG$2</definedName>
    <definedName name="Variable_lease_Mon_01565_Type" localSheetId="0" hidden="1">monday_model.lp!$BHG$1782</definedName>
    <definedName name="Variable_lease_Mon_01566" localSheetId="0" hidden="1">monday_model.lp!$BHH$2</definedName>
    <definedName name="Variable_lease_Mon_01566_Type" localSheetId="0" hidden="1">monday_model.lp!$BHH$1782</definedName>
    <definedName name="Variable_lease_Mon_01567" localSheetId="0" hidden="1">monday_model.lp!$BHI$2</definedName>
    <definedName name="Variable_lease_Mon_01567_Type" localSheetId="0" hidden="1">monday_model.lp!$BHI$1782</definedName>
    <definedName name="Variable_lease_Mon_01568" localSheetId="0" hidden="1">monday_model.lp!$BHJ$2</definedName>
    <definedName name="Variable_lease_Mon_01568_Type" localSheetId="0" hidden="1">monday_model.lp!$BHJ$1782</definedName>
    <definedName name="Variable_lease_Mon_01569" localSheetId="0" hidden="1">monday_model.lp!$BHK$2</definedName>
    <definedName name="Variable_lease_Mon_01569_Type" localSheetId="0" hidden="1">monday_model.lp!$BHK$1782</definedName>
    <definedName name="Variable_lease_Mon_01570" localSheetId="0" hidden="1">monday_model.lp!$BHL$2</definedName>
    <definedName name="Variable_lease_Mon_01570_Type" localSheetId="0" hidden="1">monday_model.lp!$BHL$1782</definedName>
    <definedName name="Variable_lease_Mon_01571" localSheetId="0" hidden="1">monday_model.lp!$BHM$2</definedName>
    <definedName name="Variable_lease_Mon_01571_Type" localSheetId="0" hidden="1">monday_model.lp!$BHM$1782</definedName>
    <definedName name="Variable_lease_Mon_01572" localSheetId="0" hidden="1">monday_model.lp!$BHN$2</definedName>
    <definedName name="Variable_lease_Mon_01572_Type" localSheetId="0" hidden="1">monday_model.lp!$BHN$1782</definedName>
    <definedName name="Variable_lease_Mon_01573" localSheetId="0" hidden="1">monday_model.lp!$BHO$2</definedName>
    <definedName name="Variable_lease_Mon_01573_Type" localSheetId="0" hidden="1">monday_model.lp!$BHO$1782</definedName>
    <definedName name="Variable_lease_Mon_01574" localSheetId="0" hidden="1">monday_model.lp!$BHP$2</definedName>
    <definedName name="Variable_lease_Mon_01574_Type" localSheetId="0" hidden="1">monday_model.lp!$BHP$1782</definedName>
    <definedName name="Variable_lease_Mon_01575" localSheetId="0" hidden="1">monday_model.lp!$BHQ$2</definedName>
    <definedName name="Variable_lease_Mon_01575_Type" localSheetId="0" hidden="1">monday_model.lp!$BHQ$1782</definedName>
    <definedName name="Variable_lease_Mon_01576" localSheetId="0" hidden="1">monday_model.lp!$BHR$2</definedName>
    <definedName name="Variable_lease_Mon_01576_Type" localSheetId="0" hidden="1">monday_model.lp!$BHR$1782</definedName>
    <definedName name="Variable_lease_Mon_01577" localSheetId="0" hidden="1">monday_model.lp!$BHS$2</definedName>
    <definedName name="Variable_lease_Mon_01577_Type" localSheetId="0" hidden="1">monday_model.lp!$BHS$1782</definedName>
    <definedName name="Variable_lease_Mon_01578" localSheetId="0" hidden="1">monday_model.lp!$BHT$2</definedName>
    <definedName name="Variable_lease_Mon_01578_Type" localSheetId="0" hidden="1">monday_model.lp!$BHT$1782</definedName>
    <definedName name="Variable_lease_Mon_01579" localSheetId="0" hidden="1">monday_model.lp!$BHU$2</definedName>
    <definedName name="Variable_lease_Mon_01579_Type" localSheetId="0" hidden="1">monday_model.lp!$BHU$1782</definedName>
    <definedName name="Variable_lease_Mon_01580" localSheetId="0" hidden="1">monday_model.lp!$BHV$2</definedName>
    <definedName name="Variable_lease_Mon_01580_Type" localSheetId="0" hidden="1">monday_model.lp!$BHV$1782</definedName>
    <definedName name="Variable_lease_Mon_01581" localSheetId="0" hidden="1">monday_model.lp!$BHW$2</definedName>
    <definedName name="Variable_lease_Mon_01581_Type" localSheetId="0" hidden="1">monday_model.lp!$BHW$1782</definedName>
    <definedName name="Variable_lease_Mon_01582" localSheetId="0" hidden="1">monday_model.lp!$BHX$2</definedName>
    <definedName name="Variable_lease_Mon_01582_Type" localSheetId="0" hidden="1">monday_model.lp!$BHX$1782</definedName>
    <definedName name="Variable_lease_Mon_01583" localSheetId="0" hidden="1">monday_model.lp!$BHY$2</definedName>
    <definedName name="Variable_lease_Mon_01583_Type" localSheetId="0" hidden="1">monday_model.lp!$BHY$1782</definedName>
    <definedName name="Variable_lease_Mon_01584" localSheetId="0" hidden="1">monday_model.lp!$BHZ$2</definedName>
    <definedName name="Variable_lease_Mon_01584_Type" localSheetId="0" hidden="1">monday_model.lp!$BHZ$1782</definedName>
    <definedName name="Variable_lease_Mon_01585" localSheetId="0" hidden="1">monday_model.lp!$BIA$2</definedName>
    <definedName name="Variable_lease_Mon_01585_Type" localSheetId="0" hidden="1">monday_model.lp!$BIA$1782</definedName>
    <definedName name="Variable_lease_Mon_01586" localSheetId="0" hidden="1">monday_model.lp!$BIB$2</definedName>
    <definedName name="Variable_lease_Mon_01586_Type" localSheetId="0" hidden="1">monday_model.lp!$BIB$1782</definedName>
    <definedName name="Variable_lease_Mon_01587" localSheetId="0" hidden="1">monday_model.lp!$BIC$2</definedName>
    <definedName name="Variable_lease_Mon_01587_Type" localSheetId="0" hidden="1">monday_model.lp!$BIC$1782</definedName>
    <definedName name="Variable_lease_Mon_01588" localSheetId="0" hidden="1">monday_model.lp!$BID$2</definedName>
    <definedName name="Variable_lease_Mon_01588_Type" localSheetId="0" hidden="1">monday_model.lp!$BID$1782</definedName>
    <definedName name="Variable_lease_Mon_01589" localSheetId="0" hidden="1">monday_model.lp!$BIE$2</definedName>
    <definedName name="Variable_lease_Mon_01589_Type" localSheetId="0" hidden="1">monday_model.lp!$BIE$1782</definedName>
    <definedName name="Variable_lease_Mon_01590" localSheetId="0" hidden="1">monday_model.lp!$BIF$2</definedName>
    <definedName name="Variable_lease_Mon_01590_Type" localSheetId="0" hidden="1">monday_model.lp!$BIF$1782</definedName>
    <definedName name="Variable_lease_Mon_01591" localSheetId="0" hidden="1">monday_model.lp!$BIG$2</definedName>
    <definedName name="Variable_lease_Mon_01591_Type" localSheetId="0" hidden="1">monday_model.lp!$BIG$1782</definedName>
    <definedName name="Variable_lease_Mon_01592" localSheetId="0" hidden="1">monday_model.lp!$BIH$2</definedName>
    <definedName name="Variable_lease_Mon_01592_Type" localSheetId="0" hidden="1">monday_model.lp!$BIH$1782</definedName>
    <definedName name="Variable_lease_Mon_01593" localSheetId="0" hidden="1">monday_model.lp!$BII$2</definedName>
    <definedName name="Variable_lease_Mon_01593_Type" localSheetId="0" hidden="1">monday_model.lp!$BII$1782</definedName>
    <definedName name="Variable_lease_Mon_01594" localSheetId="0" hidden="1">monday_model.lp!$BIJ$2</definedName>
    <definedName name="Variable_lease_Mon_01594_Type" localSheetId="0" hidden="1">monday_model.lp!$BIJ$1782</definedName>
    <definedName name="Variable_lease_Mon_01595" localSheetId="0" hidden="1">monday_model.lp!$BIK$2</definedName>
    <definedName name="Variable_lease_Mon_01595_Type" localSheetId="0" hidden="1">monday_model.lp!$BIK$1782</definedName>
    <definedName name="Variable_lease_Mon_01596" localSheetId="0" hidden="1">monday_model.lp!$BIL$2</definedName>
    <definedName name="Variable_lease_Mon_01596_Type" localSheetId="0" hidden="1">monday_model.lp!$BIL$1782</definedName>
    <definedName name="Variable_lease_Mon_01597" localSheetId="0" hidden="1">monday_model.lp!$BIM$2</definedName>
    <definedName name="Variable_lease_Mon_01597_Type" localSheetId="0" hidden="1">monday_model.lp!$BIM$1782</definedName>
    <definedName name="Variable_lease_Mon_01598" localSheetId="0" hidden="1">monday_model.lp!$BIN$2</definedName>
    <definedName name="Variable_lease_Mon_01598_Type" localSheetId="0" hidden="1">monday_model.lp!$BIN$1782</definedName>
    <definedName name="Variable_lease_Mon_01599" localSheetId="0" hidden="1">monday_model.lp!$BIO$2</definedName>
    <definedName name="Variable_lease_Mon_01599_Type" localSheetId="0" hidden="1">monday_model.lp!$BIO$1782</definedName>
    <definedName name="Variable_lease_Mon_01600" localSheetId="0" hidden="1">monday_model.lp!$BIP$2</definedName>
    <definedName name="Variable_lease_Mon_01600_Type" localSheetId="0" hidden="1">monday_model.lp!$BIP$1782</definedName>
    <definedName name="Variable_lease_Mon_01601" localSheetId="0" hidden="1">monday_model.lp!$BIQ$2</definedName>
    <definedName name="Variable_lease_Mon_01601_Type" localSheetId="0" hidden="1">monday_model.lp!$BIQ$1782</definedName>
    <definedName name="Variable_lease_Mon_01602" localSheetId="0" hidden="1">monday_model.lp!$BIR$2</definedName>
    <definedName name="Variable_lease_Mon_01602_Type" localSheetId="0" hidden="1">monday_model.lp!$BIR$1782</definedName>
    <definedName name="Variable_lease_Mon_01603" localSheetId="0" hidden="1">monday_model.lp!$BIS$2</definedName>
    <definedName name="Variable_lease_Mon_01603_Type" localSheetId="0" hidden="1">monday_model.lp!$BIS$1782</definedName>
    <definedName name="Variable_lease_Mon_01604" localSheetId="0" hidden="1">monday_model.lp!$BIT$2</definedName>
    <definedName name="Variable_lease_Mon_01604_Type" localSheetId="0" hidden="1">monday_model.lp!$BIT$1782</definedName>
    <definedName name="Variable_lease_Mon_01605" localSheetId="0" hidden="1">monday_model.lp!$BIU$2</definedName>
    <definedName name="Variable_lease_Mon_01605_Type" localSheetId="0" hidden="1">monday_model.lp!$BIU$1782</definedName>
    <definedName name="Variable_lease_Mon_01606" localSheetId="0" hidden="1">monday_model.lp!$BIV$2</definedName>
    <definedName name="Variable_lease_Mon_01606_Type" localSheetId="0" hidden="1">monday_model.lp!$BIV$1782</definedName>
    <definedName name="Variable_lease_Mon_01607" localSheetId="0" hidden="1">monday_model.lp!$BIW$2</definedName>
    <definedName name="Variable_lease_Mon_01607_Type" localSheetId="0" hidden="1">monday_model.lp!$BIW$1782</definedName>
    <definedName name="Variable_lease_Mon_01608" localSheetId="0" hidden="1">monday_model.lp!$BIX$2</definedName>
    <definedName name="Variable_lease_Mon_01608_Type" localSheetId="0" hidden="1">monday_model.lp!$BIX$1782</definedName>
    <definedName name="Variable_lease_Mon_01609" localSheetId="0" hidden="1">monday_model.lp!$BIY$2</definedName>
    <definedName name="Variable_lease_Mon_01609_Type" localSheetId="0" hidden="1">monday_model.lp!$BIY$1782</definedName>
    <definedName name="Variable_lease_Mon_01610" localSheetId="0" hidden="1">monday_model.lp!$BIZ$2</definedName>
    <definedName name="Variable_lease_Mon_01610_Type" localSheetId="0" hidden="1">monday_model.lp!$BIZ$1782</definedName>
    <definedName name="Variable_lease_Mon_01611" localSheetId="0" hidden="1">monday_model.lp!$BJA$2</definedName>
    <definedName name="Variable_lease_Mon_01611_Type" localSheetId="0" hidden="1">monday_model.lp!$BJA$1782</definedName>
    <definedName name="Variable_lease_Mon_01612" localSheetId="0" hidden="1">monday_model.lp!$BJB$2</definedName>
    <definedName name="Variable_lease_Mon_01612_Type" localSheetId="0" hidden="1">monday_model.lp!$BJB$1782</definedName>
    <definedName name="Variable_lease_Mon_01613" localSheetId="0" hidden="1">monday_model.lp!$BJC$2</definedName>
    <definedName name="Variable_lease_Mon_01613_Type" localSheetId="0" hidden="1">monday_model.lp!$BJC$1782</definedName>
    <definedName name="Variable_lease_Mon_01614" localSheetId="0" hidden="1">monday_model.lp!$BJD$2</definedName>
    <definedName name="Variable_lease_Mon_01614_Type" localSheetId="0" hidden="1">monday_model.lp!$BJD$1782</definedName>
    <definedName name="Variable_lease_Mon_01615" localSheetId="0" hidden="1">monday_model.lp!$BJE$2</definedName>
    <definedName name="Variable_lease_Mon_01615_Type" localSheetId="0" hidden="1">monday_model.lp!$BJE$1782</definedName>
    <definedName name="Variable_lease_Mon_01616" localSheetId="0" hidden="1">monday_model.lp!$BJF$2</definedName>
    <definedName name="Variable_lease_Mon_01616_Type" localSheetId="0" hidden="1">monday_model.lp!$BJF$1782</definedName>
    <definedName name="Variable_lease_Mon_01617" localSheetId="0" hidden="1">monday_model.lp!$BJG$2</definedName>
    <definedName name="Variable_lease_Mon_01617_Type" localSheetId="0" hidden="1">monday_model.lp!$BJG$1782</definedName>
    <definedName name="Variable_lease_Mon_01618" localSheetId="0" hidden="1">monday_model.lp!$BJH$2</definedName>
    <definedName name="Variable_lease_Mon_01618_Type" localSheetId="0" hidden="1">monday_model.lp!$BJH$1782</definedName>
    <definedName name="Variable_lease_Mon_01619" localSheetId="0" hidden="1">monday_model.lp!$BJI$2</definedName>
    <definedName name="Variable_lease_Mon_01619_Type" localSheetId="0" hidden="1">monday_model.lp!$BJI$1782</definedName>
    <definedName name="Variable_lease_Mon_01620" localSheetId="0" hidden="1">monday_model.lp!$BJJ$2</definedName>
    <definedName name="Variable_lease_Mon_01620_Type" localSheetId="0" hidden="1">monday_model.lp!$BJJ$1782</definedName>
    <definedName name="Variable_lease_Mon_01621" localSheetId="0" hidden="1">monday_model.lp!$BJK$2</definedName>
    <definedName name="Variable_lease_Mon_01621_Type" localSheetId="0" hidden="1">monday_model.lp!$BJK$1782</definedName>
    <definedName name="Variable_lease_Mon_01622" localSheetId="0" hidden="1">monday_model.lp!$BJL$2</definedName>
    <definedName name="Variable_lease_Mon_01622_Type" localSheetId="0" hidden="1">monday_model.lp!$BJL$1782</definedName>
    <definedName name="Variable_lease_Mon_01623" localSheetId="0" hidden="1">monday_model.lp!$BJM$2</definedName>
    <definedName name="Variable_lease_Mon_01623_Type" localSheetId="0" hidden="1">monday_model.lp!$BJM$1782</definedName>
    <definedName name="Variable_lease_Mon_01624" localSheetId="0" hidden="1">monday_model.lp!$BJN$2</definedName>
    <definedName name="Variable_lease_Mon_01624_Type" localSheetId="0" hidden="1">monday_model.lp!$BJN$1782</definedName>
    <definedName name="Variable_lease_Mon_01625" localSheetId="0" hidden="1">monday_model.lp!$BJO$2</definedName>
    <definedName name="Variable_lease_Mon_01625_Type" localSheetId="0" hidden="1">monday_model.lp!$BJO$1782</definedName>
    <definedName name="Variable_lease_Mon_01626" localSheetId="0" hidden="1">monday_model.lp!$BJP$2</definedName>
    <definedName name="Variable_lease_Mon_01626_Type" localSheetId="0" hidden="1">monday_model.lp!$BJP$1782</definedName>
    <definedName name="Variable_lease_Mon_01627" localSheetId="0" hidden="1">monday_model.lp!$BJQ$2</definedName>
    <definedName name="Variable_lease_Mon_01627_Type" localSheetId="0" hidden="1">monday_model.lp!$BJQ$1782</definedName>
    <definedName name="Variable_lease_Mon_01628" localSheetId="0" hidden="1">monday_model.lp!$BJR$2</definedName>
    <definedName name="Variable_lease_Mon_01628_Type" localSheetId="0" hidden="1">monday_model.lp!$BJR$1782</definedName>
    <definedName name="Variable_lease_Mon_01629" localSheetId="0" hidden="1">monday_model.lp!$BJS$2</definedName>
    <definedName name="Variable_lease_Mon_01629_Type" localSheetId="0" hidden="1">monday_model.lp!$BJS$1782</definedName>
    <definedName name="Variable_lease_Mon_01630" localSheetId="0" hidden="1">monday_model.lp!$BJT$2</definedName>
    <definedName name="Variable_lease_Mon_01630_Type" localSheetId="0" hidden="1">monday_model.lp!$BJT$1782</definedName>
    <definedName name="Variable_lease_Mon_01631" localSheetId="0" hidden="1">monday_model.lp!$BJU$2</definedName>
    <definedName name="Variable_lease_Mon_01631_Type" localSheetId="0" hidden="1">monday_model.lp!$BJU$1782</definedName>
    <definedName name="Variable_lease_Mon_01632" localSheetId="0" hidden="1">monday_model.lp!$BJV$2</definedName>
    <definedName name="Variable_lease_Mon_01632_Type" localSheetId="0" hidden="1">monday_model.lp!$BJV$1782</definedName>
    <definedName name="Variable_lease_Mon_01633" localSheetId="0" hidden="1">monday_model.lp!$BJW$2</definedName>
    <definedName name="Variable_lease_Mon_01633_Type" localSheetId="0" hidden="1">monday_model.lp!$BJW$1782</definedName>
    <definedName name="Variable_lease_Mon_01634" localSheetId="0" hidden="1">monday_model.lp!$BJX$2</definedName>
    <definedName name="Variable_lease_Mon_01634_Type" localSheetId="0" hidden="1">monday_model.lp!$BJX$1782</definedName>
    <definedName name="Variable_lease_Mon_01635" localSheetId="0" hidden="1">monday_model.lp!$BJY$2</definedName>
    <definedName name="Variable_lease_Mon_01635_Type" localSheetId="0" hidden="1">monday_model.lp!$BJY$1782</definedName>
    <definedName name="Variable_lease_Mon_01636" localSheetId="0" hidden="1">monday_model.lp!$BJZ$2</definedName>
    <definedName name="Variable_lease_Mon_01636_Type" localSheetId="0" hidden="1">monday_model.lp!$BJZ$1782</definedName>
    <definedName name="Variable_lease_Mon_01637" localSheetId="0" hidden="1">monday_model.lp!$BKA$2</definedName>
    <definedName name="Variable_lease_Mon_01637_Type" localSheetId="0" hidden="1">monday_model.lp!$BKA$1782</definedName>
    <definedName name="Variable_lease_Mon_01638" localSheetId="0" hidden="1">monday_model.lp!$BKB$2</definedName>
    <definedName name="Variable_lease_Mon_01638_Type" localSheetId="0" hidden="1">monday_model.lp!$BKB$1782</definedName>
    <definedName name="Variable_lease_Mon_01639" localSheetId="0" hidden="1">monday_model.lp!$BKC$2</definedName>
    <definedName name="Variable_lease_Mon_01639_Type" localSheetId="0" hidden="1">monday_model.lp!$BKC$1782</definedName>
    <definedName name="Variable_lease_Mon_01640" localSheetId="0" hidden="1">monday_model.lp!$BKD$2</definedName>
    <definedName name="Variable_lease_Mon_01640_Type" localSheetId="0" hidden="1">monday_model.lp!$BKD$1782</definedName>
    <definedName name="Variable_lease_Mon_01641" localSheetId="0" hidden="1">monday_model.lp!$BKE$2</definedName>
    <definedName name="Variable_lease_Mon_01641_Type" localSheetId="0" hidden="1">monday_model.lp!$BKE$1782</definedName>
    <definedName name="Variable_lease_Mon_01642" localSheetId="0" hidden="1">monday_model.lp!$BKF$2</definedName>
    <definedName name="Variable_lease_Mon_01642_Type" localSheetId="0" hidden="1">monday_model.lp!$BKF$1782</definedName>
    <definedName name="Variable_lease_Mon_01643" localSheetId="0" hidden="1">monday_model.lp!$BKG$2</definedName>
    <definedName name="Variable_lease_Mon_01643_Type" localSheetId="0" hidden="1">monday_model.lp!$BKG$1782</definedName>
    <definedName name="Variable_lease_Mon_01644" localSheetId="0" hidden="1">monday_model.lp!$BKH$2</definedName>
    <definedName name="Variable_lease_Mon_01644_Type" localSheetId="0" hidden="1">monday_model.lp!$BKH$1782</definedName>
    <definedName name="Variable_lease_Mon_01645" localSheetId="0" hidden="1">monday_model.lp!$BKI$2</definedName>
    <definedName name="Variable_lease_Mon_01645_Type" localSheetId="0" hidden="1">monday_model.lp!$BKI$1782</definedName>
    <definedName name="Variable_lease_Mon_01646" localSheetId="0" hidden="1">monday_model.lp!$BKJ$2</definedName>
    <definedName name="Variable_lease_Mon_01646_Type" localSheetId="0" hidden="1">monday_model.lp!$BKJ$1782</definedName>
    <definedName name="Variable_lease_Mon_01647" localSheetId="0" hidden="1">monday_model.lp!$BKK$2</definedName>
    <definedName name="Variable_lease_Mon_01647_Type" localSheetId="0" hidden="1">monday_model.lp!$BKK$1782</definedName>
    <definedName name="Variable_lease_Mon_01648" localSheetId="0" hidden="1">monday_model.lp!$BKL$2</definedName>
    <definedName name="Variable_lease_Mon_01648_Type" localSheetId="0" hidden="1">monday_model.lp!$BKL$1782</definedName>
    <definedName name="Variable_lease_Mon_01649" localSheetId="0" hidden="1">monday_model.lp!$BKM$2</definedName>
    <definedName name="Variable_lease_Mon_01649_Type" localSheetId="0" hidden="1">monday_model.lp!$BKM$1782</definedName>
    <definedName name="Variable_lease_Mon_01650" localSheetId="0" hidden="1">monday_model.lp!$BKN$2</definedName>
    <definedName name="Variable_lease_Mon_01650_Type" localSheetId="0" hidden="1">monday_model.lp!$BKN$1782</definedName>
    <definedName name="Variable_lease_Mon_01651" localSheetId="0" hidden="1">monday_model.lp!$BKO$2</definedName>
    <definedName name="Variable_lease_Mon_01651_Type" localSheetId="0" hidden="1">monday_model.lp!$BKO$1782</definedName>
    <definedName name="Variable_lease_Mon_01652" localSheetId="0" hidden="1">monday_model.lp!$BKP$2</definedName>
    <definedName name="Variable_lease_Mon_01652_Type" localSheetId="0" hidden="1">monday_model.lp!$BKP$1782</definedName>
    <definedName name="Variable_lease_Mon_01653" localSheetId="0" hidden="1">monday_model.lp!$BKQ$2</definedName>
    <definedName name="Variable_lease_Mon_01653_Type" localSheetId="0" hidden="1">monday_model.lp!$BKQ$1782</definedName>
    <definedName name="Variable_lease_Mon_01654" localSheetId="0" hidden="1">monday_model.lp!$BKR$2</definedName>
    <definedName name="Variable_lease_Mon_01654_Type" localSheetId="0" hidden="1">monday_model.lp!$BKR$1782</definedName>
    <definedName name="Variable_lease_Mon_01655" localSheetId="0" hidden="1">monday_model.lp!$BKS$2</definedName>
    <definedName name="Variable_lease_Mon_01655_Type" localSheetId="0" hidden="1">monday_model.lp!$BKS$1782</definedName>
    <definedName name="Variable_lease_Mon_01656" localSheetId="0" hidden="1">monday_model.lp!$BKT$2</definedName>
    <definedName name="Variable_lease_Mon_01656_Type" localSheetId="0" hidden="1">monday_model.lp!$BKT$1782</definedName>
    <definedName name="Variable_lease_Mon_01657" localSheetId="0" hidden="1">monday_model.lp!$BKU$2</definedName>
    <definedName name="Variable_lease_Mon_01657_Type" localSheetId="0" hidden="1">monday_model.lp!$BKU$1782</definedName>
    <definedName name="Variable_lease_Mon_01658" localSheetId="0" hidden="1">monday_model.lp!$BKV$2</definedName>
    <definedName name="Variable_lease_Mon_01658_Type" localSheetId="0" hidden="1">monday_model.lp!$BKV$1782</definedName>
    <definedName name="Variable_lease_Mon_01659" localSheetId="0" hidden="1">monday_model.lp!$BKW$2</definedName>
    <definedName name="Variable_lease_Mon_01659_Type" localSheetId="0" hidden="1">monday_model.lp!$BKW$1782</definedName>
    <definedName name="Variable_lease_Mon_01660" localSheetId="0" hidden="1">monday_model.lp!$BKX$2</definedName>
    <definedName name="Variable_lease_Mon_01660_Type" localSheetId="0" hidden="1">monday_model.lp!$BKX$1782</definedName>
    <definedName name="Variable_lease_Mon_01661" localSheetId="0" hidden="1">monday_model.lp!$BKY$2</definedName>
    <definedName name="Variable_lease_Mon_01661_Type" localSheetId="0" hidden="1">monday_model.lp!$BKY$1782</definedName>
    <definedName name="Variable_lease_Mon_01662" localSheetId="0" hidden="1">monday_model.lp!$BKZ$2</definedName>
    <definedName name="Variable_lease_Mon_01662_Type" localSheetId="0" hidden="1">monday_model.lp!$BKZ$1782</definedName>
    <definedName name="Variable_lease_Mon_01663" localSheetId="0" hidden="1">monday_model.lp!$BLA$2</definedName>
    <definedName name="Variable_lease_Mon_01663_Type" localSheetId="0" hidden="1">monday_model.lp!$BLA$1782</definedName>
    <definedName name="Variable_lease_Mon_01664" localSheetId="0" hidden="1">monday_model.lp!$BLB$2</definedName>
    <definedName name="Variable_lease_Mon_01664_Type" localSheetId="0" hidden="1">monday_model.lp!$BLB$1782</definedName>
    <definedName name="Variable_lease_Mon_01665" localSheetId="0" hidden="1">monday_model.lp!$BLC$2</definedName>
    <definedName name="Variable_lease_Mon_01665_Type" localSheetId="0" hidden="1">monday_model.lp!$BLC$1782</definedName>
    <definedName name="Variable_lease_Mon_01666" localSheetId="0" hidden="1">monday_model.lp!$BLD$2</definedName>
    <definedName name="Variable_lease_Mon_01666_Type" localSheetId="0" hidden="1">monday_model.lp!$BLD$1782</definedName>
    <definedName name="Variable_lease_Mon_01667" localSheetId="0" hidden="1">monday_model.lp!$BLE$2</definedName>
    <definedName name="Variable_lease_Mon_01667_Type" localSheetId="0" hidden="1">monday_model.lp!$BLE$1782</definedName>
    <definedName name="Variable_lease_Mon_01668" localSheetId="0" hidden="1">monday_model.lp!$BLF$2</definedName>
    <definedName name="Variable_lease_Mon_01668_Type" localSheetId="0" hidden="1">monday_model.lp!$BLF$1782</definedName>
    <definedName name="Variable_lease_Mon_01669" localSheetId="0" hidden="1">monday_model.lp!$BLG$2</definedName>
    <definedName name="Variable_lease_Mon_01669_Type" localSheetId="0" hidden="1">monday_model.lp!$BLG$1782</definedName>
    <definedName name="Variable_lease_Mon_01670" localSheetId="0" hidden="1">monday_model.lp!$BLH$2</definedName>
    <definedName name="Variable_lease_Mon_01670_Type" localSheetId="0" hidden="1">monday_model.lp!$BLH$1782</definedName>
    <definedName name="Variable_lease_Mon_01671" localSheetId="0" hidden="1">monday_model.lp!$BLI$2</definedName>
    <definedName name="Variable_lease_Mon_01671_Type" localSheetId="0" hidden="1">monday_model.lp!$BLI$1782</definedName>
    <definedName name="Variable_lease_Mon_01672" localSheetId="0" hidden="1">monday_model.lp!$BLJ$2</definedName>
    <definedName name="Variable_lease_Mon_01672_Type" localSheetId="0" hidden="1">monday_model.lp!$BLJ$1782</definedName>
    <definedName name="Variable_lease_Mon_01673" localSheetId="0" hidden="1">monday_model.lp!$BLK$2</definedName>
    <definedName name="Variable_lease_Mon_01673_Type" localSheetId="0" hidden="1">monday_model.lp!$BLK$1782</definedName>
    <definedName name="Variable_lease_Mon_01674" localSheetId="0" hidden="1">monday_model.lp!$BLL$2</definedName>
    <definedName name="Variable_lease_Mon_01674_Type" localSheetId="0" hidden="1">monday_model.lp!$BLL$1782</definedName>
    <definedName name="Variable_lease_Mon_01675" localSheetId="0" hidden="1">monday_model.lp!$BLM$2</definedName>
    <definedName name="Variable_lease_Mon_01675_Type" localSheetId="0" hidden="1">monday_model.lp!$BLM$1782</definedName>
    <definedName name="Variable_lease_Mon_01676" localSheetId="0" hidden="1">monday_model.lp!$BLN$2</definedName>
    <definedName name="Variable_lease_Mon_01676_Type" localSheetId="0" hidden="1">monday_model.lp!$BLN$1782</definedName>
    <definedName name="Variable_lease_Mon_01677" localSheetId="0" hidden="1">monday_model.lp!$BLO$2</definedName>
    <definedName name="Variable_lease_Mon_01677_Type" localSheetId="0" hidden="1">monday_model.lp!$BLO$1782</definedName>
    <definedName name="Variable_lease_Mon_01678" localSheetId="0" hidden="1">monday_model.lp!$BLP$2</definedName>
    <definedName name="Variable_lease_Mon_01678_Type" localSheetId="0" hidden="1">monday_model.lp!$BLP$1782</definedName>
    <definedName name="Variable_lease_Mon_01679" localSheetId="0" hidden="1">monday_model.lp!$BLQ$2</definedName>
    <definedName name="Variable_lease_Mon_01679_Type" localSheetId="0" hidden="1">monday_model.lp!$BLQ$1782</definedName>
    <definedName name="Variable_lease_Mon_01680" localSheetId="0" hidden="1">monday_model.lp!$BLR$2</definedName>
    <definedName name="Variable_lease_Mon_01680_Type" localSheetId="0" hidden="1">monday_model.lp!$BLR$1782</definedName>
    <definedName name="Variable_lease_Mon_01681" localSheetId="0" hidden="1">monday_model.lp!$BLS$2</definedName>
    <definedName name="Variable_lease_Mon_01681_Type" localSheetId="0" hidden="1">monday_model.lp!$BLS$1782</definedName>
    <definedName name="Variable_lease_Mon_01682" localSheetId="0" hidden="1">monday_model.lp!$BLT$2</definedName>
    <definedName name="Variable_lease_Mon_01682_Type" localSheetId="0" hidden="1">monday_model.lp!$BLT$1782</definedName>
    <definedName name="Variable_lease_Mon_01683" localSheetId="0" hidden="1">monday_model.lp!$BLU$2</definedName>
    <definedName name="Variable_lease_Mon_01683_Type" localSheetId="0" hidden="1">monday_model.lp!$BLU$1782</definedName>
    <definedName name="Variable_lease_Mon_01684" localSheetId="0" hidden="1">monday_model.lp!$BLV$2</definedName>
    <definedName name="Variable_lease_Mon_01684_Type" localSheetId="0" hidden="1">monday_model.lp!$BLV$1782</definedName>
    <definedName name="Variable_lease_Mon_01685" localSheetId="0" hidden="1">monday_model.lp!$BLW$2</definedName>
    <definedName name="Variable_lease_Mon_01685_Type" localSheetId="0" hidden="1">monday_model.lp!$BLW$1782</definedName>
    <definedName name="Variable_lease_Mon_01686" localSheetId="0" hidden="1">monday_model.lp!$BLX$2</definedName>
    <definedName name="Variable_lease_Mon_01686_Type" localSheetId="0" hidden="1">monday_model.lp!$BLX$1782</definedName>
    <definedName name="Variable_lease_Mon_01687" localSheetId="0" hidden="1">monday_model.lp!$BLY$2</definedName>
    <definedName name="Variable_lease_Mon_01687_Type" localSheetId="0" hidden="1">monday_model.lp!$BLY$1782</definedName>
    <definedName name="Variable_lease_Mon_01688" localSheetId="0" hidden="1">monday_model.lp!$BLZ$2</definedName>
    <definedName name="Variable_lease_Mon_01688_Type" localSheetId="0" hidden="1">monday_model.lp!$BLZ$1782</definedName>
    <definedName name="Variable_lease_Mon_01689" localSheetId="0" hidden="1">monday_model.lp!$BMA$2</definedName>
    <definedName name="Variable_lease_Mon_01689_Type" localSheetId="0" hidden="1">monday_model.lp!$BMA$1782</definedName>
    <definedName name="Variable_lease_Mon_01690" localSheetId="0" hidden="1">monday_model.lp!$BMB$2</definedName>
    <definedName name="Variable_lease_Mon_01690_Type" localSheetId="0" hidden="1">monday_model.lp!$BMB$1782</definedName>
    <definedName name="Variable_lease_Mon_01691" localSheetId="0" hidden="1">monday_model.lp!$BMC$2</definedName>
    <definedName name="Variable_lease_Mon_01691_Type" localSheetId="0" hidden="1">monday_model.lp!$BMC$1782</definedName>
    <definedName name="Variable_lease_Mon_01692" localSheetId="0" hidden="1">monday_model.lp!$BMD$2</definedName>
    <definedName name="Variable_lease_Mon_01692_Type" localSheetId="0" hidden="1">monday_model.lp!$BMD$1782</definedName>
    <definedName name="Variable_lease_Mon_01693" localSheetId="0" hidden="1">monday_model.lp!$BME$2</definedName>
    <definedName name="Variable_lease_Mon_01693_Type" localSheetId="0" hidden="1">monday_model.lp!$BME$1782</definedName>
    <definedName name="Variable_lease_Mon_01694" localSheetId="0" hidden="1">monday_model.lp!$BMF$2</definedName>
    <definedName name="Variable_lease_Mon_01694_Type" localSheetId="0" hidden="1">monday_model.lp!$BMF$1782</definedName>
    <definedName name="Variable_lease_Mon_01695" localSheetId="0" hidden="1">monday_model.lp!$BMG$2</definedName>
    <definedName name="Variable_lease_Mon_01695_Type" localSheetId="0" hidden="1">monday_model.lp!$BMG$1782</definedName>
    <definedName name="Variable_lease_Mon_01696" localSheetId="0" hidden="1">monday_model.lp!$BMH$2</definedName>
    <definedName name="Variable_lease_Mon_01696_Type" localSheetId="0" hidden="1">monday_model.lp!$BMH$1782</definedName>
    <definedName name="Variable_lease_Mon_01697" localSheetId="0" hidden="1">monday_model.lp!$BMI$2</definedName>
    <definedName name="Variable_lease_Mon_01697_Type" localSheetId="0" hidden="1">monday_model.lp!$BMI$1782</definedName>
    <definedName name="Variable_lease_Mon_01698" localSheetId="0" hidden="1">monday_model.lp!$BMJ$2</definedName>
    <definedName name="Variable_lease_Mon_01698_Type" localSheetId="0" hidden="1">monday_model.lp!$BMJ$1782</definedName>
    <definedName name="Variable_lease_Mon_01699" localSheetId="0" hidden="1">monday_model.lp!$BMK$2</definedName>
    <definedName name="Variable_lease_Mon_01699_Type" localSheetId="0" hidden="1">monday_model.lp!$BMK$1782</definedName>
    <definedName name="Variable_lease_Mon_01700" localSheetId="0" hidden="1">monday_model.lp!$BML$2</definedName>
    <definedName name="Variable_lease_Mon_01700_Type" localSheetId="0" hidden="1">monday_model.lp!$BML$1782</definedName>
    <definedName name="Variable_lease_Mon_01701" localSheetId="0" hidden="1">monday_model.lp!$BMM$2</definedName>
    <definedName name="Variable_lease_Mon_01701_Type" localSheetId="0" hidden="1">monday_model.lp!$BMM$1782</definedName>
    <definedName name="Variable_lease_Mon_01702" localSheetId="0" hidden="1">monday_model.lp!$BMN$2</definedName>
    <definedName name="Variable_lease_Mon_01702_Type" localSheetId="0" hidden="1">monday_model.lp!$BMN$1782</definedName>
    <definedName name="Variable_lease_Mon_01703" localSheetId="0" hidden="1">monday_model.lp!$BMO$2</definedName>
    <definedName name="Variable_lease_Mon_01703_Type" localSheetId="0" hidden="1">monday_model.lp!$BMO$1782</definedName>
    <definedName name="Variable_lease_Mon_01704" localSheetId="0" hidden="1">monday_model.lp!$BMP$2</definedName>
    <definedName name="Variable_lease_Mon_01704_Type" localSheetId="0" hidden="1">monday_model.lp!$BMP$1782</definedName>
    <definedName name="Variable_lease_Mon_01705" localSheetId="0" hidden="1">monday_model.lp!$BMQ$2</definedName>
    <definedName name="Variable_lease_Mon_01705_Type" localSheetId="0" hidden="1">monday_model.lp!$BMQ$1782</definedName>
    <definedName name="Variable_lease_Mon_01706" localSheetId="0" hidden="1">monday_model.lp!$BMR$2</definedName>
    <definedName name="Variable_lease_Mon_01706_Type" localSheetId="0" hidden="1">monday_model.lp!$BMR$1782</definedName>
    <definedName name="Variable_lease_Mon_01707" localSheetId="0" hidden="1">monday_model.lp!$BMS$2</definedName>
    <definedName name="Variable_lease_Mon_01707_Type" localSheetId="0" hidden="1">monday_model.lp!$BMS$1782</definedName>
    <definedName name="Variable_lease_Mon_01708" localSheetId="0" hidden="1">monday_model.lp!$BMT$2</definedName>
    <definedName name="Variable_lease_Mon_01708_Type" localSheetId="0" hidden="1">monday_model.lp!$BMT$1782</definedName>
    <definedName name="Variable_lease_Mon_01709" localSheetId="0" hidden="1">monday_model.lp!$BMU$2</definedName>
    <definedName name="Variable_lease_Mon_01709_Type" localSheetId="0" hidden="1">monday_model.lp!$BMU$1782</definedName>
    <definedName name="Variable_lease_Mon_01710" localSheetId="0" hidden="1">monday_model.lp!$BMV$2</definedName>
    <definedName name="Variable_lease_Mon_01710_Type" localSheetId="0" hidden="1">monday_model.lp!$BMV$1782</definedName>
    <definedName name="Variable_lease_Mon_01711" localSheetId="0" hidden="1">monday_model.lp!$BMW$2</definedName>
    <definedName name="Variable_lease_Mon_01711_Type" localSheetId="0" hidden="1">monday_model.lp!$BMW$1782</definedName>
    <definedName name="Variable_lease_Mon_01712" localSheetId="0" hidden="1">monday_model.lp!$BMX$2</definedName>
    <definedName name="Variable_lease_Mon_01712_Type" localSheetId="0" hidden="1">monday_model.lp!$BMX$1782</definedName>
    <definedName name="Variable_lease_Mon_01713" localSheetId="0" hidden="1">monday_model.lp!$BMY$2</definedName>
    <definedName name="Variable_lease_Mon_01713_Type" localSheetId="0" hidden="1">monday_model.lp!$BMY$1782</definedName>
    <definedName name="Variable_lease_Mon_01714" localSheetId="0" hidden="1">monday_model.lp!$BMZ$2</definedName>
    <definedName name="Variable_lease_Mon_01714_Type" localSheetId="0" hidden="1">monday_model.lp!$BMZ$1782</definedName>
    <definedName name="Variable_lease_Mon_01715" localSheetId="0" hidden="1">monday_model.lp!$BNA$2</definedName>
    <definedName name="Variable_lease_Mon_01715_Type" localSheetId="0" hidden="1">monday_model.lp!$BNA$1782</definedName>
    <definedName name="Variable_lease_Mon_01716" localSheetId="0" hidden="1">monday_model.lp!$BNB$2</definedName>
    <definedName name="Variable_lease_Mon_01716_Type" localSheetId="0" hidden="1">monday_model.lp!$BNB$1782</definedName>
    <definedName name="Variable_own_Mon_00001" localSheetId="0" hidden="1">monday_model.lp!$BNC$2</definedName>
    <definedName name="Variable_own_Mon_00001_Type" localSheetId="0" hidden="1">monday_model.lp!$BNC$1782</definedName>
    <definedName name="Variable_own_Mon_00002" localSheetId="0" hidden="1">monday_model.lp!$BND$2</definedName>
    <definedName name="Variable_own_Mon_00002_Type" localSheetId="0" hidden="1">monday_model.lp!$BND$1782</definedName>
    <definedName name="Variable_own_Mon_00003" localSheetId="0" hidden="1">monday_model.lp!$BNE$2</definedName>
    <definedName name="Variable_own_Mon_00003_Type" localSheetId="0" hidden="1">monday_model.lp!$BNE$1782</definedName>
    <definedName name="Variable_own_Mon_00004" localSheetId="0" hidden="1">monday_model.lp!$BNF$2</definedName>
    <definedName name="Variable_own_Mon_00004_Type" localSheetId="0" hidden="1">monday_model.lp!$BNF$1782</definedName>
    <definedName name="Variable_own_Mon_00005" localSheetId="0" hidden="1">monday_model.lp!$BNG$2</definedName>
    <definedName name="Variable_own_Mon_00005_Type" localSheetId="0" hidden="1">monday_model.lp!$BNG$1782</definedName>
    <definedName name="Variable_own_Mon_00006" localSheetId="0" hidden="1">monday_model.lp!$BNH$2</definedName>
    <definedName name="Variable_own_Mon_00006_Type" localSheetId="0" hidden="1">monday_model.lp!$BNH$1782</definedName>
    <definedName name="Variable_own_Mon_00007" localSheetId="0" hidden="1">monday_model.lp!$BNI$2</definedName>
    <definedName name="Variable_own_Mon_00007_Type" localSheetId="0" hidden="1">monday_model.lp!$BNI$1782</definedName>
    <definedName name="Variable_own_Mon_00008" localSheetId="0" hidden="1">monday_model.lp!$BNJ$2</definedName>
    <definedName name="Variable_own_Mon_00008_Type" localSheetId="0" hidden="1">monday_model.lp!$BNJ$1782</definedName>
    <definedName name="Variable_own_Mon_00009" localSheetId="0" hidden="1">monday_model.lp!$BNK$2</definedName>
    <definedName name="Variable_own_Mon_00009_Type" localSheetId="0" hidden="1">monday_model.lp!$BNK$1782</definedName>
    <definedName name="Variable_own_Mon_00010" localSheetId="0" hidden="1">monday_model.lp!$BNL$2</definedName>
    <definedName name="Variable_own_Mon_00010_Type" localSheetId="0" hidden="1">monday_model.lp!$BNL$1782</definedName>
    <definedName name="Variable_own_Mon_00011" localSheetId="0" hidden="1">monday_model.lp!$BNM$2</definedName>
    <definedName name="Variable_own_Mon_00011_Type" localSheetId="0" hidden="1">monday_model.lp!$BNM$1782</definedName>
    <definedName name="Variable_own_Mon_00012" localSheetId="0" hidden="1">monday_model.lp!$BNN$2</definedName>
    <definedName name="Variable_own_Mon_00012_Type" localSheetId="0" hidden="1">monday_model.lp!$BNN$1782</definedName>
    <definedName name="Variable_own_Mon_00013" localSheetId="0" hidden="1">monday_model.lp!$BNO$2</definedName>
    <definedName name="Variable_own_Mon_00013_Type" localSheetId="0" hidden="1">monday_model.lp!$BNO$1782</definedName>
    <definedName name="Variable_own_Mon_00014" localSheetId="0" hidden="1">monday_model.lp!$BNP$2</definedName>
    <definedName name="Variable_own_Mon_00014_Type" localSheetId="0" hidden="1">monday_model.lp!$BNP$1782</definedName>
    <definedName name="Variable_own_Mon_00015" localSheetId="0" hidden="1">monday_model.lp!$BNQ$2</definedName>
    <definedName name="Variable_own_Mon_00015_Type" localSheetId="0" hidden="1">monday_model.lp!$BNQ$1782</definedName>
    <definedName name="Variable_own_Mon_00016" localSheetId="0" hidden="1">monday_model.lp!$BNR$2</definedName>
    <definedName name="Variable_own_Mon_00016_Type" localSheetId="0" hidden="1">monday_model.lp!$BNR$1782</definedName>
    <definedName name="Variable_own_Mon_00017" localSheetId="0" hidden="1">monday_model.lp!$BNS$2</definedName>
    <definedName name="Variable_own_Mon_00017_Type" localSheetId="0" hidden="1">monday_model.lp!$BNS$1782</definedName>
    <definedName name="Variable_own_Mon_00018" localSheetId="0" hidden="1">monday_model.lp!$BNT$2</definedName>
    <definedName name="Variable_own_Mon_00018_Type" localSheetId="0" hidden="1">monday_model.lp!$BNT$1782</definedName>
    <definedName name="Variable_own_Mon_00019" localSheetId="0" hidden="1">monday_model.lp!$BNU$2</definedName>
    <definedName name="Variable_own_Mon_00019_Type" localSheetId="0" hidden="1">monday_model.lp!$BNU$1782</definedName>
    <definedName name="Variable_own_Mon_00020" localSheetId="0" hidden="1">monday_model.lp!$BNV$2</definedName>
    <definedName name="Variable_own_Mon_00020_Type" localSheetId="0" hidden="1">monday_model.lp!$BNV$1782</definedName>
    <definedName name="Variable_own_Mon_00021" localSheetId="0" hidden="1">monday_model.lp!$BNW$2</definedName>
    <definedName name="Variable_own_Mon_00021_Type" localSheetId="0" hidden="1">monday_model.lp!$BNW$1782</definedName>
    <definedName name="Variable_own_Mon_00022" localSheetId="0" hidden="1">monday_model.lp!$BNX$2</definedName>
    <definedName name="Variable_own_Mon_00022_Type" localSheetId="0" hidden="1">monday_model.lp!$BNX$1782</definedName>
    <definedName name="Variable_own_Mon_00023" localSheetId="0" hidden="1">monday_model.lp!$BNY$2</definedName>
    <definedName name="Variable_own_Mon_00023_Type" localSheetId="0" hidden="1">monday_model.lp!$BNY$1782</definedName>
    <definedName name="Variable_own_Mon_00024" localSheetId="0" hidden="1">monday_model.lp!$BNZ$2</definedName>
    <definedName name="Variable_own_Mon_00024_Type" localSheetId="0" hidden="1">monday_model.lp!$BNZ$1782</definedName>
    <definedName name="Variable_own_Mon_00025" localSheetId="0" hidden="1">monday_model.lp!$BOA$2</definedName>
    <definedName name="Variable_own_Mon_00025_Type" localSheetId="0" hidden="1">monday_model.lp!$BOA$1782</definedName>
    <definedName name="Variable_own_Mon_00026" localSheetId="0" hidden="1">monday_model.lp!$BOB$2</definedName>
    <definedName name="Variable_own_Mon_00026_Type" localSheetId="0" hidden="1">monday_model.lp!$BOB$1782</definedName>
    <definedName name="Variable_own_Mon_00027" localSheetId="0" hidden="1">monday_model.lp!$BOC$2</definedName>
    <definedName name="Variable_own_Mon_00027_Type" localSheetId="0" hidden="1">monday_model.lp!$BOC$1782</definedName>
    <definedName name="Variable_own_Mon_00028" localSheetId="0" hidden="1">monday_model.lp!$BOD$2</definedName>
    <definedName name="Variable_own_Mon_00028_Type" localSheetId="0" hidden="1">monday_model.lp!$BOD$1782</definedName>
    <definedName name="Variable_own_Mon_00029" localSheetId="0" hidden="1">monday_model.lp!$BOE$2</definedName>
    <definedName name="Variable_own_Mon_00029_Type" localSheetId="0" hidden="1">monday_model.lp!$BOE$1782</definedName>
    <definedName name="Variable_own_Mon_00030" localSheetId="0" hidden="1">monday_model.lp!$BOF$2</definedName>
    <definedName name="Variable_own_Mon_00030_Type" localSheetId="0" hidden="1">monday_model.lp!$BOF$1782</definedName>
    <definedName name="Variable_own_Mon_00031" localSheetId="0" hidden="1">monday_model.lp!$BOG$2</definedName>
    <definedName name="Variable_own_Mon_00031_Type" localSheetId="0" hidden="1">monday_model.lp!$BOG$1782</definedName>
    <definedName name="Variable_own_Mon_00032" localSheetId="0" hidden="1">monday_model.lp!$BOH$2</definedName>
    <definedName name="Variable_own_Mon_00032_Type" localSheetId="0" hidden="1">monday_model.lp!$BOH$1782</definedName>
    <definedName name="Variable_own_Mon_00033" localSheetId="0" hidden="1">monday_model.lp!$BOI$2</definedName>
    <definedName name="Variable_own_Mon_00033_Type" localSheetId="0" hidden="1">monday_model.lp!$BOI$1782</definedName>
    <definedName name="Variable_own_Mon_00034" localSheetId="0" hidden="1">monday_model.lp!$BOJ$2</definedName>
    <definedName name="Variable_own_Mon_00034_Type" localSheetId="0" hidden="1">monday_model.lp!$BOJ$1782</definedName>
    <definedName name="Variable_own_Mon_00035" localSheetId="0" hidden="1">monday_model.lp!$BOK$2</definedName>
    <definedName name="Variable_own_Mon_00035_Type" localSheetId="0" hidden="1">monday_model.lp!$BOK$1782</definedName>
    <definedName name="Variable_own_Mon_00036" localSheetId="0" hidden="1">monday_model.lp!$BOL$2</definedName>
    <definedName name="Variable_own_Mon_00036_Type" localSheetId="0" hidden="1">monday_model.lp!$BOL$1782</definedName>
    <definedName name="Variable_own_Mon_00037" localSheetId="0" hidden="1">monday_model.lp!$BOM$2</definedName>
    <definedName name="Variable_own_Mon_00037_Type" localSheetId="0" hidden="1">monday_model.lp!$BOM$1782</definedName>
    <definedName name="Variable_own_Mon_00038" localSheetId="0" hidden="1">monday_model.lp!$BON$2</definedName>
    <definedName name="Variable_own_Mon_00038_Type" localSheetId="0" hidden="1">monday_model.lp!$BON$1782</definedName>
    <definedName name="Variable_own_Mon_00039" localSheetId="0" hidden="1">monday_model.lp!$BOO$2</definedName>
    <definedName name="Variable_own_Mon_00039_Type" localSheetId="0" hidden="1">monday_model.lp!$BOO$1782</definedName>
    <definedName name="Variable_own_Mon_00040" localSheetId="0" hidden="1">monday_model.lp!$BOP$2</definedName>
    <definedName name="Variable_own_Mon_00040_Type" localSheetId="0" hidden="1">monday_model.lp!$BOP$1782</definedName>
    <definedName name="Variable_own_Mon_00041" localSheetId="0" hidden="1">monday_model.lp!$BOQ$2</definedName>
    <definedName name="Variable_own_Mon_00041_Type" localSheetId="0" hidden="1">monday_model.lp!$BOQ$1782</definedName>
    <definedName name="Variable_own_Mon_00042" localSheetId="0" hidden="1">monday_model.lp!$BOR$2</definedName>
    <definedName name="Variable_own_Mon_00042_Type" localSheetId="0" hidden="1">monday_model.lp!$BOR$1782</definedName>
    <definedName name="Variable_own_Mon_00043" localSheetId="0" hidden="1">monday_model.lp!$BOS$2</definedName>
    <definedName name="Variable_own_Mon_00043_Type" localSheetId="0" hidden="1">monday_model.lp!$BOS$1782</definedName>
    <definedName name="Variable_own_Mon_00044" localSheetId="0" hidden="1">monday_model.lp!$BOT$2</definedName>
    <definedName name="Variable_own_Mon_00044_Type" localSheetId="0" hidden="1">monday_model.lp!$BOT$1782</definedName>
    <definedName name="Variable_own_Mon_00045" localSheetId="0" hidden="1">monday_model.lp!$BOU$2</definedName>
    <definedName name="Variable_own_Mon_00045_Type" localSheetId="0" hidden="1">monday_model.lp!$BOU$1782</definedName>
    <definedName name="Variable_own_Mon_00046" localSheetId="0" hidden="1">monday_model.lp!$BOV$2</definedName>
    <definedName name="Variable_own_Mon_00046_Type" localSheetId="0" hidden="1">monday_model.lp!$BOV$1782</definedName>
    <definedName name="Variable_own_Mon_00047" localSheetId="0" hidden="1">monday_model.lp!$BOW$2</definedName>
    <definedName name="Variable_own_Mon_00047_Type" localSheetId="0" hidden="1">monday_model.lp!$BOW$1782</definedName>
    <definedName name="Variable_own_Mon_00048" localSheetId="0" hidden="1">monday_model.lp!$BOX$2</definedName>
    <definedName name="Variable_own_Mon_00048_Type" localSheetId="0" hidden="1">monday_model.lp!$BOX$1782</definedName>
    <definedName name="Variable_own_Mon_00049" localSheetId="0" hidden="1">monday_model.lp!$BOY$2</definedName>
    <definedName name="Variable_own_Mon_00049_Type" localSheetId="0" hidden="1">monday_model.lp!$BOY$1782</definedName>
    <definedName name="Variable_own_Mon_00050" localSheetId="0" hidden="1">monday_model.lp!$BOZ$2</definedName>
    <definedName name="Variable_own_Mon_00050_Type" localSheetId="0" hidden="1">monday_model.lp!$BOZ$1782</definedName>
    <definedName name="Variable_own_Mon_00051" localSheetId="0" hidden="1">monday_model.lp!$BPA$2</definedName>
    <definedName name="Variable_own_Mon_00051_Type" localSheetId="0" hidden="1">monday_model.lp!$BPA$1782</definedName>
    <definedName name="Variable_own_Mon_00052" localSheetId="0" hidden="1">monday_model.lp!$BPB$2</definedName>
    <definedName name="Variable_own_Mon_00052_Type" localSheetId="0" hidden="1">monday_model.lp!$BPB$1782</definedName>
    <definedName name="Variable_own_Mon_00053" localSheetId="0" hidden="1">monday_model.lp!$BPC$2</definedName>
    <definedName name="Variable_own_Mon_00053_Type" localSheetId="0" hidden="1">monday_model.lp!$BPC$1782</definedName>
    <definedName name="Variable_own_Mon_00054" localSheetId="0" hidden="1">monday_model.lp!$BPD$2</definedName>
    <definedName name="Variable_own_Mon_00054_Type" localSheetId="0" hidden="1">monday_model.lp!$BPD$1782</definedName>
    <definedName name="Variable_own_Mon_00055" localSheetId="0" hidden="1">monday_model.lp!$BPE$2</definedName>
    <definedName name="Variable_own_Mon_00055_Type" localSheetId="0" hidden="1">monday_model.lp!$BPE$1782</definedName>
    <definedName name="Variable_own_Mon_00056" localSheetId="0" hidden="1">monday_model.lp!$BPF$2</definedName>
    <definedName name="Variable_own_Mon_00056_Type" localSheetId="0" hidden="1">monday_model.lp!$BPF$1782</definedName>
    <definedName name="Variable_own_Mon_00057" localSheetId="0" hidden="1">monday_model.lp!$BPG$2</definedName>
    <definedName name="Variable_own_Mon_00057_Type" localSheetId="0" hidden="1">monday_model.lp!$BPG$1782</definedName>
    <definedName name="Variable_own_Mon_00058" localSheetId="0" hidden="1">monday_model.lp!$BPH$2</definedName>
    <definedName name="Variable_own_Mon_00058_Type" localSheetId="0" hidden="1">monday_model.lp!$BPH$1782</definedName>
    <definedName name="Variable_own_Mon_00059" localSheetId="0" hidden="1">monday_model.lp!$BPI$2</definedName>
    <definedName name="Variable_own_Mon_00059_Type" localSheetId="0" hidden="1">monday_model.lp!$BPI$1782</definedName>
    <definedName name="Variable_own_Mon_00060" localSheetId="0" hidden="1">monday_model.lp!$BPJ$2</definedName>
    <definedName name="Variable_own_Mon_00060_Type" localSheetId="0" hidden="1">monday_model.lp!$BPJ$1782</definedName>
    <definedName name="Variable_own_Mon_00061" localSheetId="0" hidden="1">monday_model.lp!$BPK$2</definedName>
    <definedName name="Variable_own_Mon_00061_Type" localSheetId="0" hidden="1">monday_model.lp!$BPK$1782</definedName>
    <definedName name="Variable_own_Mon_00062" localSheetId="0" hidden="1">monday_model.lp!$BPL$2</definedName>
    <definedName name="Variable_own_Mon_00062_Type" localSheetId="0" hidden="1">monday_model.lp!$BPL$1782</definedName>
    <definedName name="Variable_own_Mon_00063" localSheetId="0" hidden="1">monday_model.lp!$BPM$2</definedName>
    <definedName name="Variable_own_Mon_00063_Type" localSheetId="0" hidden="1">monday_model.lp!$BPM$1782</definedName>
    <definedName name="Variable_own_Mon_00064" localSheetId="0" hidden="1">monday_model.lp!$BPN$2</definedName>
    <definedName name="Variable_own_Mon_00064_Type" localSheetId="0" hidden="1">monday_model.lp!$BPN$1782</definedName>
    <definedName name="Variable_own_Mon_00065" localSheetId="0" hidden="1">monday_model.lp!$BPO$2</definedName>
    <definedName name="Variable_own_Mon_00065_Type" localSheetId="0" hidden="1">monday_model.lp!$BPO$1782</definedName>
    <definedName name="Variable_own_Mon_00066" localSheetId="0" hidden="1">monday_model.lp!$BPP$2</definedName>
    <definedName name="Variable_own_Mon_00066_Type" localSheetId="0" hidden="1">monday_model.lp!$BPP$1782</definedName>
    <definedName name="Variable_own_Mon_00067" localSheetId="0" hidden="1">monday_model.lp!$BPQ$2</definedName>
    <definedName name="Variable_own_Mon_00067_Type" localSheetId="0" hidden="1">monday_model.lp!$BPQ$1782</definedName>
    <definedName name="Variable_own_Mon_00068" localSheetId="0" hidden="1">monday_model.lp!$BPR$2</definedName>
    <definedName name="Variable_own_Mon_00068_Type" localSheetId="0" hidden="1">monday_model.lp!$BPR$1782</definedName>
    <definedName name="Variable_own_Mon_00069" localSheetId="0" hidden="1">monday_model.lp!$BPS$2</definedName>
    <definedName name="Variable_own_Mon_00069_Type" localSheetId="0" hidden="1">monday_model.lp!$BPS$1782</definedName>
    <definedName name="Variable_own_Mon_00070" localSheetId="0" hidden="1">monday_model.lp!$BPT$2</definedName>
    <definedName name="Variable_own_Mon_00070_Type" localSheetId="0" hidden="1">monday_model.lp!$BPT$1782</definedName>
    <definedName name="Variable_own_Mon_00071" localSheetId="0" hidden="1">monday_model.lp!$BPU$2</definedName>
    <definedName name="Variable_own_Mon_00071_Type" localSheetId="0" hidden="1">monday_model.lp!$BPU$1782</definedName>
    <definedName name="Variable_own_Mon_00072" localSheetId="0" hidden="1">monday_model.lp!$BPV$2</definedName>
    <definedName name="Variable_own_Mon_00072_Type" localSheetId="0" hidden="1">monday_model.lp!$BPV$1782</definedName>
    <definedName name="Variable_own_Mon_00073" localSheetId="0" hidden="1">monday_model.lp!$BPW$2</definedName>
    <definedName name="Variable_own_Mon_00073_Type" localSheetId="0" hidden="1">monday_model.lp!$BPW$1782</definedName>
    <definedName name="Variable_own_Mon_00074" localSheetId="0" hidden="1">monday_model.lp!$BPX$2</definedName>
    <definedName name="Variable_own_Mon_00074_Type" localSheetId="0" hidden="1">monday_model.lp!$BPX$1782</definedName>
    <definedName name="Variable_own_Mon_00075" localSheetId="0" hidden="1">monday_model.lp!$BPY$2</definedName>
    <definedName name="Variable_own_Mon_00075_Type" localSheetId="0" hidden="1">monday_model.lp!$BPY$1782</definedName>
    <definedName name="Variable_own_Mon_00076" localSheetId="0" hidden="1">monday_model.lp!$BPZ$2</definedName>
    <definedName name="Variable_own_Mon_00076_Type" localSheetId="0" hidden="1">monday_model.lp!$BPZ$1782</definedName>
    <definedName name="Variable_own_Mon_00077" localSheetId="0" hidden="1">monday_model.lp!$BQA$2</definedName>
    <definedName name="Variable_own_Mon_00077_Type" localSheetId="0" hidden="1">monday_model.lp!$BQA$1782</definedName>
    <definedName name="Variable_own_Mon_00078" localSheetId="0" hidden="1">monday_model.lp!$BQB$2</definedName>
    <definedName name="Variable_own_Mon_00078_Type" localSheetId="0" hidden="1">monday_model.lp!$BQB$1782</definedName>
    <definedName name="Variable_own_Mon_00079" localSheetId="0" hidden="1">monday_model.lp!$BQC$2</definedName>
    <definedName name="Variable_own_Mon_00079_Type" localSheetId="0" hidden="1">monday_model.lp!$BQC$1782</definedName>
    <definedName name="Variable_own_Mon_00080" localSheetId="0" hidden="1">monday_model.lp!$BQD$2</definedName>
    <definedName name="Variable_own_Mon_00080_Type" localSheetId="0" hidden="1">monday_model.lp!$BQD$1782</definedName>
    <definedName name="Variable_own_Mon_00081" localSheetId="0" hidden="1">monday_model.lp!$BQE$2</definedName>
    <definedName name="Variable_own_Mon_00081_Type" localSheetId="0" hidden="1">monday_model.lp!$BQE$1782</definedName>
    <definedName name="Variable_own_Mon_00082" localSheetId="0" hidden="1">monday_model.lp!$BQF$2</definedName>
    <definedName name="Variable_own_Mon_00082_Type" localSheetId="0" hidden="1">monday_model.lp!$BQF$1782</definedName>
    <definedName name="Variable_own_Mon_00083" localSheetId="0" hidden="1">monday_model.lp!$BQG$2</definedName>
    <definedName name="Variable_own_Mon_00083_Type" localSheetId="0" hidden="1">monday_model.lp!$BQG$1782</definedName>
    <definedName name="Variable_own_Mon_00084" localSheetId="0" hidden="1">monday_model.lp!$BQH$2</definedName>
    <definedName name="Variable_own_Mon_00084_Type" localSheetId="0" hidden="1">monday_model.lp!$BQH$1782</definedName>
    <definedName name="Variable_own_Mon_00085" localSheetId="0" hidden="1">monday_model.lp!$BQI$2</definedName>
    <definedName name="Variable_own_Mon_00085_Type" localSheetId="0" hidden="1">monday_model.lp!$BQI$1782</definedName>
    <definedName name="Variable_own_Mon_00086" localSheetId="0" hidden="1">monday_model.lp!$BQJ$2</definedName>
    <definedName name="Variable_own_Mon_00086_Type" localSheetId="0" hidden="1">monday_model.lp!$BQJ$1782</definedName>
    <definedName name="Variable_own_Mon_00087" localSheetId="0" hidden="1">monday_model.lp!$BQK$2</definedName>
    <definedName name="Variable_own_Mon_00087_Type" localSheetId="0" hidden="1">monday_model.lp!$BQK$1782</definedName>
    <definedName name="Variable_own_Mon_00088" localSheetId="0" hidden="1">monday_model.lp!$BQL$2</definedName>
    <definedName name="Variable_own_Mon_00088_Type" localSheetId="0" hidden="1">monday_model.lp!$BQL$1782</definedName>
    <definedName name="Variable_own_Mon_00089" localSheetId="0" hidden="1">monday_model.lp!$BQM$2</definedName>
    <definedName name="Variable_own_Mon_00089_Type" localSheetId="0" hidden="1">monday_model.lp!$BQM$1782</definedName>
    <definedName name="Variable_own_Mon_00090" localSheetId="0" hidden="1">monday_model.lp!$BQN$2</definedName>
    <definedName name="Variable_own_Mon_00090_Type" localSheetId="0" hidden="1">monday_model.lp!$BQN$1782</definedName>
    <definedName name="Variable_own_Mon_00091" localSheetId="0" hidden="1">monday_model.lp!$BQO$2</definedName>
    <definedName name="Variable_own_Mon_00091_Type" localSheetId="0" hidden="1">monday_model.lp!$BQO$1782</definedName>
    <definedName name="Variable_own_Mon_00092" localSheetId="0" hidden="1">monday_model.lp!$BQP$2</definedName>
    <definedName name="Variable_own_Mon_00092_Type" localSheetId="0" hidden="1">monday_model.lp!$BQP$1782</definedName>
    <definedName name="Variable_own_Mon_00093" localSheetId="0" hidden="1">monday_model.lp!$BQQ$2</definedName>
    <definedName name="Variable_own_Mon_00093_Type" localSheetId="0" hidden="1">monday_model.lp!$BQQ$1782</definedName>
    <definedName name="Variable_own_Mon_00094" localSheetId="0" hidden="1">monday_model.lp!$BQR$2</definedName>
    <definedName name="Variable_own_Mon_00094_Type" localSheetId="0" hidden="1">monday_model.lp!$BQR$1782</definedName>
    <definedName name="Variable_own_Mon_00095" localSheetId="0" hidden="1">monday_model.lp!$BQS$2</definedName>
    <definedName name="Variable_own_Mon_00095_Type" localSheetId="0" hidden="1">monday_model.lp!$BQS$1782</definedName>
    <definedName name="Variable_own_Mon_00096" localSheetId="0" hidden="1">monday_model.lp!$BQT$2</definedName>
    <definedName name="Variable_own_Mon_00096_Type" localSheetId="0" hidden="1">monday_model.lp!$BQT$1782</definedName>
    <definedName name="Variable_own_Mon_00097" localSheetId="0" hidden="1">monday_model.lp!$BQU$2</definedName>
    <definedName name="Variable_own_Mon_00097_Type" localSheetId="0" hidden="1">monday_model.lp!$BQU$1782</definedName>
    <definedName name="Variable_own_Mon_00098" localSheetId="0" hidden="1">monday_model.lp!$BQV$2</definedName>
    <definedName name="Variable_own_Mon_00098_Type" localSheetId="0" hidden="1">monday_model.lp!$BQV$1782</definedName>
    <definedName name="Variable_own_Mon_00099" localSheetId="0" hidden="1">monday_model.lp!$BQW$2</definedName>
    <definedName name="Variable_own_Mon_00099_Type" localSheetId="0" hidden="1">monday_model.lp!$BQW$1782</definedName>
    <definedName name="Variable_own_Mon_00100" localSheetId="0" hidden="1">monday_model.lp!$BQX$2</definedName>
    <definedName name="Variable_own_Mon_00100_Type" localSheetId="0" hidden="1">monday_model.lp!$BQX$1782</definedName>
    <definedName name="Variable_own_Mon_00101" localSheetId="0" hidden="1">monday_model.lp!$BQY$2</definedName>
    <definedName name="Variable_own_Mon_00101_Type" localSheetId="0" hidden="1">monday_model.lp!$BQY$1782</definedName>
    <definedName name="Variable_own_Mon_00102" localSheetId="0" hidden="1">monday_model.lp!$BQZ$2</definedName>
    <definedName name="Variable_own_Mon_00102_Type" localSheetId="0" hidden="1">monday_model.lp!$BQZ$1782</definedName>
    <definedName name="Variable_own_Mon_00103" localSheetId="0" hidden="1">monday_model.lp!$BRA$2</definedName>
    <definedName name="Variable_own_Mon_00103_Type" localSheetId="0" hidden="1">monday_model.lp!$BRA$1782</definedName>
    <definedName name="Variable_own_Mon_00104" localSheetId="0" hidden="1">monday_model.lp!$BRB$2</definedName>
    <definedName name="Variable_own_Mon_00104_Type" localSheetId="0" hidden="1">monday_model.lp!$BRB$1782</definedName>
    <definedName name="Variable_own_Mon_00105" localSheetId="0" hidden="1">monday_model.lp!$BRC$2</definedName>
    <definedName name="Variable_own_Mon_00105_Type" localSheetId="0" hidden="1">monday_model.lp!$BRC$1782</definedName>
    <definedName name="Variable_own_Mon_00106" localSheetId="0" hidden="1">monday_model.lp!$BRD$2</definedName>
    <definedName name="Variable_own_Mon_00106_Type" localSheetId="0" hidden="1">monday_model.lp!$BRD$1782</definedName>
    <definedName name="Variable_own_Mon_00107" localSheetId="0" hidden="1">monday_model.lp!$BRE$2</definedName>
    <definedName name="Variable_own_Mon_00107_Type" localSheetId="0" hidden="1">monday_model.lp!$BRE$1782</definedName>
    <definedName name="Variable_own_Mon_00108" localSheetId="0" hidden="1">monday_model.lp!$BRF$2</definedName>
    <definedName name="Variable_own_Mon_00108_Type" localSheetId="0" hidden="1">monday_model.lp!$BRF$1782</definedName>
    <definedName name="Variable_own_Mon_00109" localSheetId="0" hidden="1">monday_model.lp!$BRG$2</definedName>
    <definedName name="Variable_own_Mon_00109_Type" localSheetId="0" hidden="1">monday_model.lp!$BRG$1782</definedName>
    <definedName name="Variable_own_Mon_00110" localSheetId="0" hidden="1">monday_model.lp!$BRH$2</definedName>
    <definedName name="Variable_own_Mon_00110_Type" localSheetId="0" hidden="1">monday_model.lp!$BRH$1782</definedName>
    <definedName name="Variable_own_Mon_00111" localSheetId="0" hidden="1">monday_model.lp!$BRI$2</definedName>
    <definedName name="Variable_own_Mon_00111_Type" localSheetId="0" hidden="1">monday_model.lp!$BRI$1782</definedName>
    <definedName name="Variable_own_Mon_00112" localSheetId="0" hidden="1">monday_model.lp!$BRJ$2</definedName>
    <definedName name="Variable_own_Mon_00112_Type" localSheetId="0" hidden="1">monday_model.lp!$BRJ$1782</definedName>
    <definedName name="Variable_own_Mon_00113" localSheetId="0" hidden="1">monday_model.lp!$BRK$2</definedName>
    <definedName name="Variable_own_Mon_00113_Type" localSheetId="0" hidden="1">monday_model.lp!$BRK$1782</definedName>
    <definedName name="Variable_own_Mon_00114" localSheetId="0" hidden="1">monday_model.lp!$BRL$2</definedName>
    <definedName name="Variable_own_Mon_00114_Type" localSheetId="0" hidden="1">monday_model.lp!$BRL$1782</definedName>
    <definedName name="Variable_own_Mon_00115" localSheetId="0" hidden="1">monday_model.lp!$BRM$2</definedName>
    <definedName name="Variable_own_Mon_00115_Type" localSheetId="0" hidden="1">monday_model.lp!$BRM$1782</definedName>
    <definedName name="Variable_own_Mon_00116" localSheetId="0" hidden="1">monday_model.lp!$BRN$2</definedName>
    <definedName name="Variable_own_Mon_00116_Type" localSheetId="0" hidden="1">monday_model.lp!$BRN$1782</definedName>
    <definedName name="Variable_own_Mon_00117" localSheetId="0" hidden="1">monday_model.lp!$BRO$2</definedName>
    <definedName name="Variable_own_Mon_00117_Type" localSheetId="0" hidden="1">monday_model.lp!$BRO$1782</definedName>
    <definedName name="Variable_own_Mon_00118" localSheetId="0" hidden="1">monday_model.lp!$BRP$2</definedName>
    <definedName name="Variable_own_Mon_00118_Type" localSheetId="0" hidden="1">monday_model.lp!$BRP$1782</definedName>
    <definedName name="Variable_own_Mon_00119" localSheetId="0" hidden="1">monday_model.lp!$BRQ$2</definedName>
    <definedName name="Variable_own_Mon_00119_Type" localSheetId="0" hidden="1">monday_model.lp!$BRQ$1782</definedName>
    <definedName name="Variable_own_Mon_00120" localSheetId="0" hidden="1">monday_model.lp!$BRR$2</definedName>
    <definedName name="Variable_own_Mon_00120_Type" localSheetId="0" hidden="1">monday_model.lp!$BRR$1782</definedName>
    <definedName name="Variable_own_Mon_00121" localSheetId="0" hidden="1">monday_model.lp!$BRS$2</definedName>
    <definedName name="Variable_own_Mon_00121_Type" localSheetId="0" hidden="1">monday_model.lp!$BRS$1782</definedName>
    <definedName name="Variable_own_Mon_00122" localSheetId="0" hidden="1">monday_model.lp!$BRT$2</definedName>
    <definedName name="Variable_own_Mon_00122_Type" localSheetId="0" hidden="1">monday_model.lp!$BRT$1782</definedName>
    <definedName name="Variable_own_Mon_00123" localSheetId="0" hidden="1">monday_model.lp!$BRU$2</definedName>
    <definedName name="Variable_own_Mon_00123_Type" localSheetId="0" hidden="1">monday_model.lp!$BRU$1782</definedName>
    <definedName name="Variable_own_Mon_00124" localSheetId="0" hidden="1">monday_model.lp!$BRV$2</definedName>
    <definedName name="Variable_own_Mon_00124_Type" localSheetId="0" hidden="1">monday_model.lp!$BRV$1782</definedName>
    <definedName name="Variable_own_Mon_00125" localSheetId="0" hidden="1">monday_model.lp!$BRW$2</definedName>
    <definedName name="Variable_own_Mon_00125_Type" localSheetId="0" hidden="1">monday_model.lp!$BRW$1782</definedName>
    <definedName name="Variable_own_Mon_00126" localSheetId="0" hidden="1">monday_model.lp!$BRX$2</definedName>
    <definedName name="Variable_own_Mon_00126_Type" localSheetId="0" hidden="1">monday_model.lp!$BRX$1782</definedName>
    <definedName name="Variable_own_Mon_00127" localSheetId="0" hidden="1">monday_model.lp!$BRY$2</definedName>
    <definedName name="Variable_own_Mon_00127_Type" localSheetId="0" hidden="1">monday_model.lp!$BRY$1782</definedName>
    <definedName name="Variable_own_Mon_00128" localSheetId="0" hidden="1">monday_model.lp!$BRZ$2</definedName>
    <definedName name="Variable_own_Mon_00128_Type" localSheetId="0" hidden="1">monday_model.lp!$BRZ$1782</definedName>
    <definedName name="Variable_own_Mon_00129" localSheetId="0" hidden="1">monday_model.lp!$BSA$2</definedName>
    <definedName name="Variable_own_Mon_00129_Type" localSheetId="0" hidden="1">monday_model.lp!$BSA$1782</definedName>
    <definedName name="Variable_own_Mon_00130" localSheetId="0" hidden="1">monday_model.lp!$BSB$2</definedName>
    <definedName name="Variable_own_Mon_00130_Type" localSheetId="0" hidden="1">monday_model.lp!$BSB$1782</definedName>
    <definedName name="Variable_own_Mon_00131" localSheetId="0" hidden="1">monday_model.lp!$BSC$2</definedName>
    <definedName name="Variable_own_Mon_00131_Type" localSheetId="0" hidden="1">monday_model.lp!$BSC$1782</definedName>
    <definedName name="Variable_own_Mon_00132" localSheetId="0" hidden="1">monday_model.lp!$BSD$2</definedName>
    <definedName name="Variable_own_Mon_00132_Type" localSheetId="0" hidden="1">monday_model.lp!$BSD$1782</definedName>
    <definedName name="Variable_own_Mon_00133" localSheetId="0" hidden="1">monday_model.lp!$BSE$2</definedName>
    <definedName name="Variable_own_Mon_00133_Type" localSheetId="0" hidden="1">monday_model.lp!$BSE$1782</definedName>
    <definedName name="Variable_own_Mon_00134" localSheetId="0" hidden="1">monday_model.lp!$BSF$2</definedName>
    <definedName name="Variable_own_Mon_00134_Type" localSheetId="0" hidden="1">monday_model.lp!$BSF$1782</definedName>
    <definedName name="Variable_own_Mon_00135" localSheetId="0" hidden="1">monday_model.lp!$BSG$2</definedName>
    <definedName name="Variable_own_Mon_00135_Type" localSheetId="0" hidden="1">monday_model.lp!$BSG$1782</definedName>
    <definedName name="Variable_own_Mon_00136" localSheetId="0" hidden="1">monday_model.lp!$BSH$2</definedName>
    <definedName name="Variable_own_Mon_00136_Type" localSheetId="0" hidden="1">monday_model.lp!$BSH$1782</definedName>
    <definedName name="Variable_own_Mon_00137" localSheetId="0" hidden="1">monday_model.lp!$BSI$2</definedName>
    <definedName name="Variable_own_Mon_00137_Type" localSheetId="0" hidden="1">monday_model.lp!$BSI$1782</definedName>
    <definedName name="Variable_own_Mon_00138" localSheetId="0" hidden="1">monday_model.lp!$BSJ$2</definedName>
    <definedName name="Variable_own_Mon_00138_Type" localSheetId="0" hidden="1">monday_model.lp!$BSJ$1782</definedName>
    <definedName name="Variable_own_Mon_00139" localSheetId="0" hidden="1">monday_model.lp!$BSK$2</definedName>
    <definedName name="Variable_own_Mon_00139_Type" localSheetId="0" hidden="1">monday_model.lp!$BSK$1782</definedName>
    <definedName name="Variable_own_Mon_00140" localSheetId="0" hidden="1">monday_model.lp!$BSL$2</definedName>
    <definedName name="Variable_own_Mon_00140_Type" localSheetId="0" hidden="1">monday_model.lp!$BSL$1782</definedName>
    <definedName name="Variable_own_Mon_00141" localSheetId="0" hidden="1">monday_model.lp!$BSM$2</definedName>
    <definedName name="Variable_own_Mon_00141_Type" localSheetId="0" hidden="1">monday_model.lp!$BSM$1782</definedName>
    <definedName name="Variable_own_Mon_00142" localSheetId="0" hidden="1">monday_model.lp!$BSN$2</definedName>
    <definedName name="Variable_own_Mon_00142_Type" localSheetId="0" hidden="1">monday_model.lp!$BSN$1782</definedName>
    <definedName name="Variable_own_Mon_00143" localSheetId="0" hidden="1">monday_model.lp!$BSO$2</definedName>
    <definedName name="Variable_own_Mon_00143_Type" localSheetId="0" hidden="1">monday_model.lp!$BSO$1782</definedName>
    <definedName name="Variable_own_Mon_00144" localSheetId="0" hidden="1">monday_model.lp!$BSP$2</definedName>
    <definedName name="Variable_own_Mon_00144_Type" localSheetId="0" hidden="1">monday_model.lp!$BSP$1782</definedName>
    <definedName name="Variable_own_Mon_00145" localSheetId="0" hidden="1">monday_model.lp!$BSQ$2</definedName>
    <definedName name="Variable_own_Mon_00145_Type" localSheetId="0" hidden="1">monday_model.lp!$BSQ$1782</definedName>
    <definedName name="Variable_own_Mon_00146" localSheetId="0" hidden="1">monday_model.lp!$BSR$2</definedName>
    <definedName name="Variable_own_Mon_00146_Type" localSheetId="0" hidden="1">monday_model.lp!$BSR$1782</definedName>
    <definedName name="Variable_own_Mon_00147" localSheetId="0" hidden="1">monday_model.lp!$BSS$2</definedName>
    <definedName name="Variable_own_Mon_00147_Type" localSheetId="0" hidden="1">monday_model.lp!$BSS$1782</definedName>
    <definedName name="Variable_own_Mon_00148" localSheetId="0" hidden="1">monday_model.lp!$BST$2</definedName>
    <definedName name="Variable_own_Mon_00148_Type" localSheetId="0" hidden="1">monday_model.lp!$BST$1782</definedName>
    <definedName name="Variable_own_Mon_00149" localSheetId="0" hidden="1">monday_model.lp!$BSU$2</definedName>
    <definedName name="Variable_own_Mon_00149_Type" localSheetId="0" hidden="1">monday_model.lp!$BSU$1782</definedName>
    <definedName name="Variable_own_Mon_00150" localSheetId="0" hidden="1">monday_model.lp!$BSV$2</definedName>
    <definedName name="Variable_own_Mon_00150_Type" localSheetId="0" hidden="1">monday_model.lp!$BSV$1782</definedName>
    <definedName name="Variable_own_Mon_00151" localSheetId="0" hidden="1">monday_model.lp!$BSW$2</definedName>
    <definedName name="Variable_own_Mon_00151_Type" localSheetId="0" hidden="1">monday_model.lp!$BSW$1782</definedName>
    <definedName name="Variable_own_Mon_00152" localSheetId="0" hidden="1">monday_model.lp!$BSX$2</definedName>
    <definedName name="Variable_own_Mon_00152_Type" localSheetId="0" hidden="1">monday_model.lp!$BSX$1782</definedName>
    <definedName name="Variable_own_Mon_00153" localSheetId="0" hidden="1">monday_model.lp!$BSY$2</definedName>
    <definedName name="Variable_own_Mon_00153_Type" localSheetId="0" hidden="1">monday_model.lp!$BSY$1782</definedName>
    <definedName name="Variable_own_Mon_00154" localSheetId="0" hidden="1">monday_model.lp!$BSZ$2</definedName>
    <definedName name="Variable_own_Mon_00154_Type" localSheetId="0" hidden="1">monday_model.lp!$BSZ$1782</definedName>
    <definedName name="Variable_own_Mon_00155" localSheetId="0" hidden="1">monday_model.lp!$BTA$2</definedName>
    <definedName name="Variable_own_Mon_00155_Type" localSheetId="0" hidden="1">monday_model.lp!$BTA$1782</definedName>
    <definedName name="Variable_own_Mon_00156" localSheetId="0" hidden="1">monday_model.lp!$BTB$2</definedName>
    <definedName name="Variable_own_Mon_00156_Type" localSheetId="0" hidden="1">monday_model.lp!$BTB$1782</definedName>
    <definedName name="Variable_own_Mon_00157" localSheetId="0" hidden="1">monday_model.lp!$BTC$2</definedName>
    <definedName name="Variable_own_Mon_00157_Type" localSheetId="0" hidden="1">monday_model.lp!$BTC$1782</definedName>
    <definedName name="Variable_own_Mon_00158" localSheetId="0" hidden="1">monday_model.lp!$BTD$2</definedName>
    <definedName name="Variable_own_Mon_00158_Type" localSheetId="0" hidden="1">monday_model.lp!$BTD$1782</definedName>
    <definedName name="Variable_own_Mon_00159" localSheetId="0" hidden="1">monday_model.lp!$BTE$2</definedName>
    <definedName name="Variable_own_Mon_00159_Type" localSheetId="0" hidden="1">monday_model.lp!$BTE$1782</definedName>
    <definedName name="Variable_own_Mon_00160" localSheetId="0" hidden="1">monday_model.lp!$BTF$2</definedName>
    <definedName name="Variable_own_Mon_00160_Type" localSheetId="0" hidden="1">monday_model.lp!$BTF$1782</definedName>
    <definedName name="Variable_own_Mon_00161" localSheetId="0" hidden="1">monday_model.lp!$BTG$2</definedName>
    <definedName name="Variable_own_Mon_00161_Type" localSheetId="0" hidden="1">monday_model.lp!$BTG$1782</definedName>
    <definedName name="Variable_own_Mon_00162" localSheetId="0" hidden="1">monday_model.lp!$BTH$2</definedName>
    <definedName name="Variable_own_Mon_00162_Type" localSheetId="0" hidden="1">monday_model.lp!$BTH$1782</definedName>
    <definedName name="Variable_own_Mon_00163" localSheetId="0" hidden="1">monday_model.lp!$BTI$2</definedName>
    <definedName name="Variable_own_Mon_00163_Type" localSheetId="0" hidden="1">monday_model.lp!$BTI$1782</definedName>
    <definedName name="Variable_own_Mon_00164" localSheetId="0" hidden="1">monday_model.lp!$BTJ$2</definedName>
    <definedName name="Variable_own_Mon_00164_Type" localSheetId="0" hidden="1">monday_model.lp!$BTJ$1782</definedName>
    <definedName name="Variable_own_Mon_00165" localSheetId="0" hidden="1">monday_model.lp!$BTK$2</definedName>
    <definedName name="Variable_own_Mon_00165_Type" localSheetId="0" hidden="1">monday_model.lp!$BTK$1782</definedName>
    <definedName name="Variable_own_Mon_00166" localSheetId="0" hidden="1">monday_model.lp!$BTL$2</definedName>
    <definedName name="Variable_own_Mon_00166_Type" localSheetId="0" hidden="1">monday_model.lp!$BTL$1782</definedName>
    <definedName name="Variable_own_Mon_00167" localSheetId="0" hidden="1">monday_model.lp!$BTM$2</definedName>
    <definedName name="Variable_own_Mon_00167_Type" localSheetId="0" hidden="1">monday_model.lp!$BTM$1782</definedName>
    <definedName name="Variable_own_Mon_00168" localSheetId="0" hidden="1">monday_model.lp!$BTN$2</definedName>
    <definedName name="Variable_own_Mon_00168_Type" localSheetId="0" hidden="1">monday_model.lp!$BTN$1782</definedName>
    <definedName name="Variable_own_Mon_00169" localSheetId="0" hidden="1">monday_model.lp!$BTO$2</definedName>
    <definedName name="Variable_own_Mon_00169_Type" localSheetId="0" hidden="1">monday_model.lp!$BTO$1782</definedName>
    <definedName name="Variable_own_Mon_00170" localSheetId="0" hidden="1">monday_model.lp!$BTP$2</definedName>
    <definedName name="Variable_own_Mon_00170_Type" localSheetId="0" hidden="1">monday_model.lp!$BTP$1782</definedName>
    <definedName name="Variable_own_Mon_00171" localSheetId="0" hidden="1">monday_model.lp!$BTQ$2</definedName>
    <definedName name="Variable_own_Mon_00171_Type" localSheetId="0" hidden="1">monday_model.lp!$BTQ$1782</definedName>
    <definedName name="Variable_own_Mon_00172" localSheetId="0" hidden="1">monday_model.lp!$BTR$2</definedName>
    <definedName name="Variable_own_Mon_00172_Type" localSheetId="0" hidden="1">monday_model.lp!$BTR$1782</definedName>
    <definedName name="Variable_own_Mon_00173" localSheetId="0" hidden="1">monday_model.lp!$BTS$2</definedName>
    <definedName name="Variable_own_Mon_00173_Type" localSheetId="0" hidden="1">monday_model.lp!$BTS$1782</definedName>
    <definedName name="Variable_own_Mon_00174" localSheetId="0" hidden="1">monday_model.lp!$BTT$2</definedName>
    <definedName name="Variable_own_Mon_00174_Type" localSheetId="0" hidden="1">monday_model.lp!$BTT$1782</definedName>
    <definedName name="Variable_own_Mon_00175" localSheetId="0" hidden="1">monday_model.lp!$BTU$2</definedName>
    <definedName name="Variable_own_Mon_00175_Type" localSheetId="0" hidden="1">monday_model.lp!$BTU$1782</definedName>
    <definedName name="Variable_own_Mon_00176" localSheetId="0" hidden="1">monday_model.lp!$BTV$2</definedName>
    <definedName name="Variable_own_Mon_00176_Type" localSheetId="0" hidden="1">monday_model.lp!$BTV$1782</definedName>
    <definedName name="Variable_own_Mon_00177" localSheetId="0" hidden="1">monday_model.lp!$BTW$2</definedName>
    <definedName name="Variable_own_Mon_00177_Type" localSheetId="0" hidden="1">monday_model.lp!$BTW$1782</definedName>
    <definedName name="Variable_own_Mon_00178" localSheetId="0" hidden="1">monday_model.lp!$BTX$2</definedName>
    <definedName name="Variable_own_Mon_00178_Type" localSheetId="0" hidden="1">monday_model.lp!$BTX$1782</definedName>
    <definedName name="Variable_own_Mon_00179" localSheetId="0" hidden="1">monday_model.lp!$BTY$2</definedName>
    <definedName name="Variable_own_Mon_00179_Type" localSheetId="0" hidden="1">monday_model.lp!$BTY$1782</definedName>
    <definedName name="Variable_own_Mon_00180" localSheetId="0" hidden="1">monday_model.lp!$BTZ$2</definedName>
    <definedName name="Variable_own_Mon_00180_Type" localSheetId="0" hidden="1">monday_model.lp!$BTZ$1782</definedName>
    <definedName name="Variable_own_Mon_00181" localSheetId="0" hidden="1">monday_model.lp!$BUA$2</definedName>
    <definedName name="Variable_own_Mon_00181_Type" localSheetId="0" hidden="1">monday_model.lp!$BUA$1782</definedName>
    <definedName name="Variable_own_Mon_00182" localSheetId="0" hidden="1">monday_model.lp!$BUB$2</definedName>
    <definedName name="Variable_own_Mon_00182_Type" localSheetId="0" hidden="1">monday_model.lp!$BUB$1782</definedName>
    <definedName name="Variable_own_Mon_00183" localSheetId="0" hidden="1">monday_model.lp!$BUC$2</definedName>
    <definedName name="Variable_own_Mon_00183_Type" localSheetId="0" hidden="1">monday_model.lp!$BUC$1782</definedName>
    <definedName name="Variable_own_Mon_00184" localSheetId="0" hidden="1">monday_model.lp!$BUD$2</definedName>
    <definedName name="Variable_own_Mon_00184_Type" localSheetId="0" hidden="1">monday_model.lp!$BUD$1782</definedName>
    <definedName name="Variable_own_Mon_00185" localSheetId="0" hidden="1">monday_model.lp!$BUE$2</definedName>
    <definedName name="Variable_own_Mon_00185_Type" localSheetId="0" hidden="1">monday_model.lp!$BUE$1782</definedName>
    <definedName name="Variable_own_Mon_00186" localSheetId="0" hidden="1">monday_model.lp!$BUF$2</definedName>
    <definedName name="Variable_own_Mon_00186_Type" localSheetId="0" hidden="1">monday_model.lp!$BUF$1782</definedName>
    <definedName name="Variable_own_Mon_00187" localSheetId="0" hidden="1">monday_model.lp!$BUG$2</definedName>
    <definedName name="Variable_own_Mon_00187_Type" localSheetId="0" hidden="1">monday_model.lp!$BUG$1782</definedName>
    <definedName name="Variable_own_Mon_00188" localSheetId="0" hidden="1">monday_model.lp!$BUH$2</definedName>
    <definedName name="Variable_own_Mon_00188_Type" localSheetId="0" hidden="1">monday_model.lp!$BUH$1782</definedName>
    <definedName name="Variable_own_Mon_00189" localSheetId="0" hidden="1">monday_model.lp!$BUI$2</definedName>
    <definedName name="Variable_own_Mon_00189_Type" localSheetId="0" hidden="1">monday_model.lp!$BUI$1782</definedName>
    <definedName name="Variable_own_Mon_00190" localSheetId="0" hidden="1">monday_model.lp!$BUJ$2</definedName>
    <definedName name="Variable_own_Mon_00190_Type" localSheetId="0" hidden="1">monday_model.lp!$BUJ$1782</definedName>
    <definedName name="Variable_own_Mon_00191" localSheetId="0" hidden="1">monday_model.lp!$BUK$2</definedName>
    <definedName name="Variable_own_Mon_00191_Type" localSheetId="0" hidden="1">monday_model.lp!$BUK$1782</definedName>
    <definedName name="Variable_own_Mon_00192" localSheetId="0" hidden="1">monday_model.lp!$BUL$2</definedName>
    <definedName name="Variable_own_Mon_00192_Type" localSheetId="0" hidden="1">monday_model.lp!$BUL$1782</definedName>
    <definedName name="Variable_own_Mon_00193" localSheetId="0" hidden="1">monday_model.lp!$BUM$2</definedName>
    <definedName name="Variable_own_Mon_00193_Type" localSheetId="0" hidden="1">monday_model.lp!$BUM$1782</definedName>
    <definedName name="Variable_own_Mon_00194" localSheetId="0" hidden="1">monday_model.lp!$BUN$2</definedName>
    <definedName name="Variable_own_Mon_00194_Type" localSheetId="0" hidden="1">monday_model.lp!$BUN$1782</definedName>
    <definedName name="Variable_own_Mon_00195" localSheetId="0" hidden="1">monday_model.lp!$BUO$2</definedName>
    <definedName name="Variable_own_Mon_00195_Type" localSheetId="0" hidden="1">monday_model.lp!$BUO$1782</definedName>
    <definedName name="Variable_own_Mon_00196" localSheetId="0" hidden="1">monday_model.lp!$BUP$2</definedName>
    <definedName name="Variable_own_Mon_00196_Type" localSheetId="0" hidden="1">monday_model.lp!$BUP$1782</definedName>
    <definedName name="Variable_own_Mon_00197" localSheetId="0" hidden="1">monday_model.lp!$BUQ$2</definedName>
    <definedName name="Variable_own_Mon_00197_Type" localSheetId="0" hidden="1">monday_model.lp!$BUQ$1782</definedName>
    <definedName name="Variable_own_Mon_00198" localSheetId="0" hidden="1">monday_model.lp!$BUR$2</definedName>
    <definedName name="Variable_own_Mon_00198_Type" localSheetId="0" hidden="1">monday_model.lp!$BUR$1782</definedName>
    <definedName name="Variable_own_Mon_00199" localSheetId="0" hidden="1">monday_model.lp!$BUS$2</definedName>
    <definedName name="Variable_own_Mon_00199_Type" localSheetId="0" hidden="1">monday_model.lp!$BUS$1782</definedName>
    <definedName name="Variable_own_Mon_00200" localSheetId="0" hidden="1">monday_model.lp!$BUT$2</definedName>
    <definedName name="Variable_own_Mon_00200_Type" localSheetId="0" hidden="1">monday_model.lp!$BUT$1782</definedName>
    <definedName name="Variable_own_Mon_00201" localSheetId="0" hidden="1">monday_model.lp!$BUU$2</definedName>
    <definedName name="Variable_own_Mon_00201_Type" localSheetId="0" hidden="1">monday_model.lp!$BUU$1782</definedName>
    <definedName name="Variable_own_Mon_00202" localSheetId="0" hidden="1">monday_model.lp!$BUV$2</definedName>
    <definedName name="Variable_own_Mon_00202_Type" localSheetId="0" hidden="1">monday_model.lp!$BUV$1782</definedName>
    <definedName name="Variable_own_Mon_00203" localSheetId="0" hidden="1">monday_model.lp!$BUW$2</definedName>
    <definedName name="Variable_own_Mon_00203_Type" localSheetId="0" hidden="1">monday_model.lp!$BUW$1782</definedName>
    <definedName name="Variable_own_Mon_00204" localSheetId="0" hidden="1">monday_model.lp!$BUX$2</definedName>
    <definedName name="Variable_own_Mon_00204_Type" localSheetId="0" hidden="1">monday_model.lp!$BUX$1782</definedName>
    <definedName name="Variable_own_Mon_00205" localSheetId="0" hidden="1">monday_model.lp!$BUY$2</definedName>
    <definedName name="Variable_own_Mon_00205_Type" localSheetId="0" hidden="1">monday_model.lp!$BUY$1782</definedName>
    <definedName name="Variable_own_Mon_00206" localSheetId="0" hidden="1">monday_model.lp!$BUZ$2</definedName>
    <definedName name="Variable_own_Mon_00206_Type" localSheetId="0" hidden="1">monday_model.lp!$BUZ$1782</definedName>
    <definedName name="Variable_own_Mon_00207" localSheetId="0" hidden="1">monday_model.lp!$BVA$2</definedName>
    <definedName name="Variable_own_Mon_00207_Type" localSheetId="0" hidden="1">monday_model.lp!$BVA$1782</definedName>
    <definedName name="Variable_own_Mon_00208" localSheetId="0" hidden="1">monday_model.lp!$BVB$2</definedName>
    <definedName name="Variable_own_Mon_00208_Type" localSheetId="0" hidden="1">monday_model.lp!$BVB$1782</definedName>
    <definedName name="Variable_own_Mon_00209" localSheetId="0" hidden="1">monday_model.lp!$BVC$2</definedName>
    <definedName name="Variable_own_Mon_00209_Type" localSheetId="0" hidden="1">monday_model.lp!$BVC$1782</definedName>
    <definedName name="Variable_own_Mon_00210" localSheetId="0" hidden="1">monday_model.lp!$BVD$2</definedName>
    <definedName name="Variable_own_Mon_00210_Type" localSheetId="0" hidden="1">monday_model.lp!$BVD$1782</definedName>
    <definedName name="Variable_own_Mon_00211" localSheetId="0" hidden="1">monday_model.lp!$BVE$2</definedName>
    <definedName name="Variable_own_Mon_00211_Type" localSheetId="0" hidden="1">monday_model.lp!$BVE$1782</definedName>
    <definedName name="Variable_own_Mon_00212" localSheetId="0" hidden="1">monday_model.lp!$BVF$2</definedName>
    <definedName name="Variable_own_Mon_00212_Type" localSheetId="0" hidden="1">monday_model.lp!$BVF$1782</definedName>
    <definedName name="Variable_own_Mon_00213" localSheetId="0" hidden="1">monday_model.lp!$BVG$2</definedName>
    <definedName name="Variable_own_Mon_00213_Type" localSheetId="0" hidden="1">monday_model.lp!$BVG$1782</definedName>
    <definedName name="Variable_own_Mon_00214" localSheetId="0" hidden="1">monday_model.lp!$BVH$2</definedName>
    <definedName name="Variable_own_Mon_00214_Type" localSheetId="0" hidden="1">monday_model.lp!$BVH$1782</definedName>
    <definedName name="Variable_own_Mon_00215" localSheetId="0" hidden="1">monday_model.lp!$BVI$2</definedName>
    <definedName name="Variable_own_Mon_00215_Type" localSheetId="0" hidden="1">monday_model.lp!$BVI$1782</definedName>
    <definedName name="Variable_own_Mon_00216" localSheetId="0" hidden="1">monday_model.lp!$BVJ$2</definedName>
    <definedName name="Variable_own_Mon_00216_Type" localSheetId="0" hidden="1">monday_model.lp!$BVJ$1782</definedName>
    <definedName name="Variable_own_Mon_00217" localSheetId="0" hidden="1">monday_model.lp!$BVK$2</definedName>
    <definedName name="Variable_own_Mon_00217_Type" localSheetId="0" hidden="1">monday_model.lp!$BVK$1782</definedName>
    <definedName name="Variable_own_Mon_00218" localSheetId="0" hidden="1">monday_model.lp!$BVL$2</definedName>
    <definedName name="Variable_own_Mon_00218_Type" localSheetId="0" hidden="1">monday_model.lp!$BVL$1782</definedName>
    <definedName name="Variable_own_Mon_00219" localSheetId="0" hidden="1">monday_model.lp!$BVM$2</definedName>
    <definedName name="Variable_own_Mon_00219_Type" localSheetId="0" hidden="1">monday_model.lp!$BVM$1782</definedName>
    <definedName name="Variable_own_Mon_00220" localSheetId="0" hidden="1">monday_model.lp!$BVN$2</definedName>
    <definedName name="Variable_own_Mon_00220_Type" localSheetId="0" hidden="1">monday_model.lp!$BVN$1782</definedName>
    <definedName name="Variable_own_Mon_00221" localSheetId="0" hidden="1">monday_model.lp!$BVO$2</definedName>
    <definedName name="Variable_own_Mon_00221_Type" localSheetId="0" hidden="1">monday_model.lp!$BVO$1782</definedName>
    <definedName name="Variable_own_Mon_00222" localSheetId="0" hidden="1">monday_model.lp!$BVP$2</definedName>
    <definedName name="Variable_own_Mon_00222_Type" localSheetId="0" hidden="1">monday_model.lp!$BVP$1782</definedName>
    <definedName name="Variable_own_Mon_00223" localSheetId="0" hidden="1">monday_model.lp!$BVQ$2</definedName>
    <definedName name="Variable_own_Mon_00223_Type" localSheetId="0" hidden="1">monday_model.lp!$BVQ$1782</definedName>
    <definedName name="Variable_own_Mon_00224" localSheetId="0" hidden="1">monday_model.lp!$BVR$2</definedName>
    <definedName name="Variable_own_Mon_00224_Type" localSheetId="0" hidden="1">monday_model.lp!$BVR$1782</definedName>
    <definedName name="Variable_own_Mon_00225" localSheetId="0" hidden="1">monday_model.lp!$BVS$2</definedName>
    <definedName name="Variable_own_Mon_00225_Type" localSheetId="0" hidden="1">monday_model.lp!$BVS$1782</definedName>
    <definedName name="Variable_own_Mon_00226" localSheetId="0" hidden="1">monday_model.lp!$BVT$2</definedName>
    <definedName name="Variable_own_Mon_00226_Type" localSheetId="0" hidden="1">monday_model.lp!$BVT$1782</definedName>
    <definedName name="Variable_own_Mon_00227" localSheetId="0" hidden="1">monday_model.lp!$BVU$2</definedName>
    <definedName name="Variable_own_Mon_00227_Type" localSheetId="0" hidden="1">monday_model.lp!$BVU$1782</definedName>
    <definedName name="Variable_own_Mon_00228" localSheetId="0" hidden="1">monday_model.lp!$BVV$2</definedName>
    <definedName name="Variable_own_Mon_00228_Type" localSheetId="0" hidden="1">monday_model.lp!$BVV$1782</definedName>
    <definedName name="Variable_own_Mon_00229" localSheetId="0" hidden="1">monday_model.lp!$BVW$2</definedName>
    <definedName name="Variable_own_Mon_00229_Type" localSheetId="0" hidden="1">monday_model.lp!$BVW$1782</definedName>
    <definedName name="Variable_own_Mon_00230" localSheetId="0" hidden="1">monday_model.lp!$BVX$2</definedName>
    <definedName name="Variable_own_Mon_00230_Type" localSheetId="0" hidden="1">monday_model.lp!$BVX$1782</definedName>
    <definedName name="Variable_own_Mon_00231" localSheetId="0" hidden="1">monday_model.lp!$BVY$2</definedName>
    <definedName name="Variable_own_Mon_00231_Type" localSheetId="0" hidden="1">monday_model.lp!$BVY$1782</definedName>
    <definedName name="Variable_own_Mon_00232" localSheetId="0" hidden="1">monday_model.lp!$BVZ$2</definedName>
    <definedName name="Variable_own_Mon_00232_Type" localSheetId="0" hidden="1">monday_model.lp!$BVZ$1782</definedName>
    <definedName name="Variable_own_Mon_00233" localSheetId="0" hidden="1">monday_model.lp!$BWA$2</definedName>
    <definedName name="Variable_own_Mon_00233_Type" localSheetId="0" hidden="1">monday_model.lp!$BWA$1782</definedName>
    <definedName name="Variable_own_Mon_00234" localSheetId="0" hidden="1">monday_model.lp!$BWB$2</definedName>
    <definedName name="Variable_own_Mon_00234_Type" localSheetId="0" hidden="1">monday_model.lp!$BWB$1782</definedName>
    <definedName name="Variable_own_Mon_00235" localSheetId="0" hidden="1">monday_model.lp!$BWC$2</definedName>
    <definedName name="Variable_own_Mon_00235_Type" localSheetId="0" hidden="1">monday_model.lp!$BWC$1782</definedName>
    <definedName name="Variable_own_Mon_00236" localSheetId="0" hidden="1">monday_model.lp!$BWD$2</definedName>
    <definedName name="Variable_own_Mon_00236_Type" localSheetId="0" hidden="1">monday_model.lp!$BWD$1782</definedName>
    <definedName name="Variable_own_Mon_00237" localSheetId="0" hidden="1">monday_model.lp!$BWE$2</definedName>
    <definedName name="Variable_own_Mon_00237_Type" localSheetId="0" hidden="1">monday_model.lp!$BWE$1782</definedName>
    <definedName name="Variable_own_Mon_00238" localSheetId="0" hidden="1">monday_model.lp!$BWF$2</definedName>
    <definedName name="Variable_own_Mon_00238_Type" localSheetId="0" hidden="1">monday_model.lp!$BWF$1782</definedName>
    <definedName name="Variable_own_Mon_00239" localSheetId="0" hidden="1">monday_model.lp!$BWG$2</definedName>
    <definedName name="Variable_own_Mon_00239_Type" localSheetId="0" hidden="1">monday_model.lp!$BWG$1782</definedName>
    <definedName name="Variable_own_Mon_00240" localSheetId="0" hidden="1">monday_model.lp!$BWH$2</definedName>
    <definedName name="Variable_own_Mon_00240_Type" localSheetId="0" hidden="1">monday_model.lp!$BWH$1782</definedName>
    <definedName name="Variable_own_Mon_00241" localSheetId="0" hidden="1">monday_model.lp!$BWI$2</definedName>
    <definedName name="Variable_own_Mon_00241_Type" localSheetId="0" hidden="1">monday_model.lp!$BWI$1782</definedName>
    <definedName name="Variable_own_Mon_00242" localSheetId="0" hidden="1">monday_model.lp!$BWJ$2</definedName>
    <definedName name="Variable_own_Mon_00242_Type" localSheetId="0" hidden="1">monday_model.lp!$BWJ$1782</definedName>
    <definedName name="Variable_own_Mon_00243" localSheetId="0" hidden="1">monday_model.lp!$BWK$2</definedName>
    <definedName name="Variable_own_Mon_00243_Type" localSheetId="0" hidden="1">monday_model.lp!$BWK$1782</definedName>
    <definedName name="Variable_own_Mon_00244" localSheetId="0" hidden="1">monday_model.lp!$BWL$2</definedName>
    <definedName name="Variable_own_Mon_00244_Type" localSheetId="0" hidden="1">monday_model.lp!$BWL$1782</definedName>
    <definedName name="Variable_own_Mon_00245" localSheetId="0" hidden="1">monday_model.lp!$BWM$2</definedName>
    <definedName name="Variable_own_Mon_00245_Type" localSheetId="0" hidden="1">monday_model.lp!$BWM$1782</definedName>
    <definedName name="Variable_own_Mon_00246" localSheetId="0" hidden="1">monday_model.lp!$BWN$2</definedName>
    <definedName name="Variable_own_Mon_00246_Type" localSheetId="0" hidden="1">monday_model.lp!$BWN$1782</definedName>
    <definedName name="Variable_own_Mon_00247" localSheetId="0" hidden="1">monday_model.lp!$BWO$2</definedName>
    <definedName name="Variable_own_Mon_00247_Type" localSheetId="0" hidden="1">monday_model.lp!$BWO$1782</definedName>
    <definedName name="Variable_own_Mon_00248" localSheetId="0" hidden="1">monday_model.lp!$BWP$2</definedName>
    <definedName name="Variable_own_Mon_00248_Type" localSheetId="0" hidden="1">monday_model.lp!$BWP$1782</definedName>
    <definedName name="Variable_own_Mon_00249" localSheetId="0" hidden="1">monday_model.lp!$BWQ$2</definedName>
    <definedName name="Variable_own_Mon_00249_Type" localSheetId="0" hidden="1">monday_model.lp!$BWQ$1782</definedName>
    <definedName name="Variable_own_Mon_00250" localSheetId="0" hidden="1">monday_model.lp!$BWR$2</definedName>
    <definedName name="Variable_own_Mon_00250_Type" localSheetId="0" hidden="1">monday_model.lp!$BWR$1782</definedName>
    <definedName name="Variable_own_Mon_00251" localSheetId="0" hidden="1">monday_model.lp!$BWS$2</definedName>
    <definedName name="Variable_own_Mon_00251_Type" localSheetId="0" hidden="1">monday_model.lp!$BWS$1782</definedName>
    <definedName name="Variable_own_Mon_00252" localSheetId="0" hidden="1">monday_model.lp!$BWT$2</definedName>
    <definedName name="Variable_own_Mon_00252_Type" localSheetId="0" hidden="1">monday_model.lp!$BWT$1782</definedName>
    <definedName name="Variable_own_Mon_00253" localSheetId="0" hidden="1">monday_model.lp!$BWU$2</definedName>
    <definedName name="Variable_own_Mon_00253_Type" localSheetId="0" hidden="1">monday_model.lp!$BWU$1782</definedName>
    <definedName name="Variable_own_Mon_00254" localSheetId="0" hidden="1">monday_model.lp!$BWV$2</definedName>
    <definedName name="Variable_own_Mon_00254_Type" localSheetId="0" hidden="1">monday_model.lp!$BWV$1782</definedName>
    <definedName name="Variable_own_Mon_00255" localSheetId="0" hidden="1">monday_model.lp!$BWW$2</definedName>
    <definedName name="Variable_own_Mon_00255_Type" localSheetId="0" hidden="1">monday_model.lp!$BWW$1782</definedName>
    <definedName name="Variable_own_Mon_00256" localSheetId="0" hidden="1">monday_model.lp!$BWX$2</definedName>
    <definedName name="Variable_own_Mon_00256_Type" localSheetId="0" hidden="1">monday_model.lp!$BWX$1782</definedName>
    <definedName name="Variable_own_Mon_00257" localSheetId="0" hidden="1">monday_model.lp!$BWY$2</definedName>
    <definedName name="Variable_own_Mon_00257_Type" localSheetId="0" hidden="1">monday_model.lp!$BWY$1782</definedName>
    <definedName name="Variable_own_Mon_00258" localSheetId="0" hidden="1">monday_model.lp!$BWZ$2</definedName>
    <definedName name="Variable_own_Mon_00258_Type" localSheetId="0" hidden="1">monday_model.lp!$BWZ$1782</definedName>
    <definedName name="Variable_own_Mon_00259" localSheetId="0" hidden="1">monday_model.lp!$BXA$2</definedName>
    <definedName name="Variable_own_Mon_00259_Type" localSheetId="0" hidden="1">monday_model.lp!$BXA$1782</definedName>
    <definedName name="Variable_own_Mon_00260" localSheetId="0" hidden="1">monday_model.lp!$BXB$2</definedName>
    <definedName name="Variable_own_Mon_00260_Type" localSheetId="0" hidden="1">monday_model.lp!$BXB$1782</definedName>
    <definedName name="Variable_own_Mon_00261" localSheetId="0" hidden="1">monday_model.lp!$BXC$2</definedName>
    <definedName name="Variable_own_Mon_00261_Type" localSheetId="0" hidden="1">monday_model.lp!$BXC$1782</definedName>
    <definedName name="Variable_own_Mon_00262" localSheetId="0" hidden="1">monday_model.lp!$BXD$2</definedName>
    <definedName name="Variable_own_Mon_00262_Type" localSheetId="0" hidden="1">monday_model.lp!$BXD$1782</definedName>
    <definedName name="Variable_own_Mon_00263" localSheetId="0" hidden="1">monday_model.lp!$BXE$2</definedName>
    <definedName name="Variable_own_Mon_00263_Type" localSheetId="0" hidden="1">monday_model.lp!$BXE$1782</definedName>
    <definedName name="Variable_own_Mon_00264" localSheetId="0" hidden="1">monday_model.lp!$BXF$2</definedName>
    <definedName name="Variable_own_Mon_00264_Type" localSheetId="0" hidden="1">monday_model.lp!$BXF$1782</definedName>
    <definedName name="Variable_own_Mon_00265" localSheetId="0" hidden="1">monday_model.lp!$BXG$2</definedName>
    <definedName name="Variable_own_Mon_00265_Type" localSheetId="0" hidden="1">monday_model.lp!$BXG$1782</definedName>
    <definedName name="Variable_own_Mon_00266" localSheetId="0" hidden="1">monday_model.lp!$BXH$2</definedName>
    <definedName name="Variable_own_Mon_00266_Type" localSheetId="0" hidden="1">monday_model.lp!$BXH$1782</definedName>
    <definedName name="Variable_own_Mon_00267" localSheetId="0" hidden="1">monday_model.lp!$BXI$2</definedName>
    <definedName name="Variable_own_Mon_00267_Type" localSheetId="0" hidden="1">monday_model.lp!$BXI$1782</definedName>
    <definedName name="Variable_own_Mon_00268" localSheetId="0" hidden="1">monday_model.lp!$BXJ$2</definedName>
    <definedName name="Variable_own_Mon_00268_Type" localSheetId="0" hidden="1">monday_model.lp!$BXJ$1782</definedName>
    <definedName name="Variable_own_Mon_00269" localSheetId="0" hidden="1">monday_model.lp!$BXK$2</definedName>
    <definedName name="Variable_own_Mon_00269_Type" localSheetId="0" hidden="1">monday_model.lp!$BXK$1782</definedName>
    <definedName name="Variable_own_Mon_00270" localSheetId="0" hidden="1">monday_model.lp!$BXL$2</definedName>
    <definedName name="Variable_own_Mon_00270_Type" localSheetId="0" hidden="1">monday_model.lp!$BXL$1782</definedName>
    <definedName name="Variable_own_Mon_00271" localSheetId="0" hidden="1">monday_model.lp!$BXM$2</definedName>
    <definedName name="Variable_own_Mon_00271_Type" localSheetId="0" hidden="1">monday_model.lp!$BXM$1782</definedName>
    <definedName name="Variable_own_Mon_00272" localSheetId="0" hidden="1">monday_model.lp!$BXN$2</definedName>
    <definedName name="Variable_own_Mon_00272_Type" localSheetId="0" hidden="1">monday_model.lp!$BXN$1782</definedName>
    <definedName name="Variable_own_Mon_00273" localSheetId="0" hidden="1">monday_model.lp!$BXO$2</definedName>
    <definedName name="Variable_own_Mon_00273_Type" localSheetId="0" hidden="1">monday_model.lp!$BXO$1782</definedName>
    <definedName name="Variable_own_Mon_00274" localSheetId="0" hidden="1">monday_model.lp!$BXP$2</definedName>
    <definedName name="Variable_own_Mon_00274_Type" localSheetId="0" hidden="1">monday_model.lp!$BXP$1782</definedName>
    <definedName name="Variable_own_Mon_00275" localSheetId="0" hidden="1">monday_model.lp!$BXQ$2</definedName>
    <definedName name="Variable_own_Mon_00275_Type" localSheetId="0" hidden="1">monday_model.lp!$BXQ$1782</definedName>
    <definedName name="Variable_own_Mon_00276" localSheetId="0" hidden="1">monday_model.lp!$BXR$2</definedName>
    <definedName name="Variable_own_Mon_00276_Type" localSheetId="0" hidden="1">monday_model.lp!$BXR$1782</definedName>
    <definedName name="Variable_own_Mon_00277" localSheetId="0" hidden="1">monday_model.lp!$BXS$2</definedName>
    <definedName name="Variable_own_Mon_00277_Type" localSheetId="0" hidden="1">monday_model.lp!$BXS$1782</definedName>
    <definedName name="Variable_own_Mon_00278" localSheetId="0" hidden="1">monday_model.lp!$BXT$2</definedName>
    <definedName name="Variable_own_Mon_00278_Type" localSheetId="0" hidden="1">monday_model.lp!$BXT$1782</definedName>
    <definedName name="Variable_own_Mon_00279" localSheetId="0" hidden="1">monday_model.lp!$BXU$2</definedName>
    <definedName name="Variable_own_Mon_00279_Type" localSheetId="0" hidden="1">monday_model.lp!$BXU$1782</definedName>
    <definedName name="Variable_own_Mon_00280" localSheetId="0" hidden="1">monday_model.lp!$BXV$2</definedName>
    <definedName name="Variable_own_Mon_00280_Type" localSheetId="0" hidden="1">monday_model.lp!$BXV$1782</definedName>
    <definedName name="Variable_own_Mon_00281" localSheetId="0" hidden="1">monday_model.lp!$BXW$2</definedName>
    <definedName name="Variable_own_Mon_00281_Type" localSheetId="0" hidden="1">monday_model.lp!$BXW$1782</definedName>
    <definedName name="Variable_own_Mon_00282" localSheetId="0" hidden="1">monday_model.lp!$BXX$2</definedName>
    <definedName name="Variable_own_Mon_00282_Type" localSheetId="0" hidden="1">monday_model.lp!$BXX$1782</definedName>
    <definedName name="Variable_own_Mon_00283" localSheetId="0" hidden="1">monday_model.lp!$BXY$2</definedName>
    <definedName name="Variable_own_Mon_00283_Type" localSheetId="0" hidden="1">monday_model.lp!$BXY$1782</definedName>
    <definedName name="Variable_own_Mon_00284" localSheetId="0" hidden="1">monday_model.lp!$BXZ$2</definedName>
    <definedName name="Variable_own_Mon_00284_Type" localSheetId="0" hidden="1">monday_model.lp!$BXZ$1782</definedName>
    <definedName name="Variable_own_Mon_00285" localSheetId="0" hidden="1">monday_model.lp!$BYA$2</definedName>
    <definedName name="Variable_own_Mon_00285_Type" localSheetId="0" hidden="1">monday_model.lp!$BYA$1782</definedName>
    <definedName name="Variable_own_Mon_00286" localSheetId="0" hidden="1">monday_model.lp!$BYB$2</definedName>
    <definedName name="Variable_own_Mon_00286_Type" localSheetId="0" hidden="1">monday_model.lp!$BYB$1782</definedName>
    <definedName name="Variable_own_Mon_00287" localSheetId="0" hidden="1">monday_model.lp!$BYC$2</definedName>
    <definedName name="Variable_own_Mon_00287_Type" localSheetId="0" hidden="1">monday_model.lp!$BYC$1782</definedName>
    <definedName name="Variable_own_Mon_00288" localSheetId="0" hidden="1">monday_model.lp!$BYD$2</definedName>
    <definedName name="Variable_own_Mon_00288_Type" localSheetId="0" hidden="1">monday_model.lp!$BYD$1782</definedName>
    <definedName name="Variable_own_Mon_00289" localSheetId="0" hidden="1">monday_model.lp!$BYE$2</definedName>
    <definedName name="Variable_own_Mon_00289_Type" localSheetId="0" hidden="1">monday_model.lp!$BYE$1782</definedName>
    <definedName name="Variable_own_Mon_00290" localSheetId="0" hidden="1">monday_model.lp!$BYF$2</definedName>
    <definedName name="Variable_own_Mon_00290_Type" localSheetId="0" hidden="1">monday_model.lp!$BYF$1782</definedName>
    <definedName name="Variable_own_Mon_00291" localSheetId="0" hidden="1">monday_model.lp!$BYG$2</definedName>
    <definedName name="Variable_own_Mon_00291_Type" localSheetId="0" hidden="1">monday_model.lp!$BYG$1782</definedName>
    <definedName name="Variable_own_Mon_00292" localSheetId="0" hidden="1">monday_model.lp!$BYH$2</definedName>
    <definedName name="Variable_own_Mon_00292_Type" localSheetId="0" hidden="1">monday_model.lp!$BYH$1782</definedName>
    <definedName name="Variable_own_Mon_00293" localSheetId="0" hidden="1">monday_model.lp!$BYI$2</definedName>
    <definedName name="Variable_own_Mon_00293_Type" localSheetId="0" hidden="1">monday_model.lp!$BYI$1782</definedName>
    <definedName name="Variable_own_Mon_00294" localSheetId="0" hidden="1">monday_model.lp!$BYJ$2</definedName>
    <definedName name="Variable_own_Mon_00294_Type" localSheetId="0" hidden="1">monday_model.lp!$BYJ$1782</definedName>
    <definedName name="Variable_own_Mon_00295" localSheetId="0" hidden="1">monday_model.lp!$BYK$2</definedName>
    <definedName name="Variable_own_Mon_00295_Type" localSheetId="0" hidden="1">monday_model.lp!$BYK$1782</definedName>
    <definedName name="Variable_own_Mon_00296" localSheetId="0" hidden="1">monday_model.lp!$BYL$2</definedName>
    <definedName name="Variable_own_Mon_00296_Type" localSheetId="0" hidden="1">monday_model.lp!$BYL$1782</definedName>
    <definedName name="Variable_own_Mon_00297" localSheetId="0" hidden="1">monday_model.lp!$BYM$2</definedName>
    <definedName name="Variable_own_Mon_00297_Type" localSheetId="0" hidden="1">monday_model.lp!$BYM$1782</definedName>
    <definedName name="Variable_own_Mon_00298" localSheetId="0" hidden="1">monday_model.lp!$BYN$2</definedName>
    <definedName name="Variable_own_Mon_00298_Type" localSheetId="0" hidden="1">monday_model.lp!$BYN$1782</definedName>
    <definedName name="Variable_own_Mon_00299" localSheetId="0" hidden="1">monday_model.lp!$BYO$2</definedName>
    <definedName name="Variable_own_Mon_00299_Type" localSheetId="0" hidden="1">monday_model.lp!$BYO$1782</definedName>
    <definedName name="Variable_own_Mon_00300" localSheetId="0" hidden="1">monday_model.lp!$BYP$2</definedName>
    <definedName name="Variable_own_Mon_00300_Type" localSheetId="0" hidden="1">monday_model.lp!$BYP$1782</definedName>
    <definedName name="Variable_own_Mon_00301" localSheetId="0" hidden="1">monday_model.lp!$BYQ$2</definedName>
    <definedName name="Variable_own_Mon_00301_Type" localSheetId="0" hidden="1">monday_model.lp!$BYQ$1782</definedName>
    <definedName name="Variable_own_Mon_00302" localSheetId="0" hidden="1">monday_model.lp!$BYR$2</definedName>
    <definedName name="Variable_own_Mon_00302_Type" localSheetId="0" hidden="1">monday_model.lp!$BYR$1782</definedName>
    <definedName name="Variable_own_Mon_00303" localSheetId="0" hidden="1">monday_model.lp!$BYS$2</definedName>
    <definedName name="Variable_own_Mon_00303_Type" localSheetId="0" hidden="1">monday_model.lp!$BYS$1782</definedName>
    <definedName name="Variable_own_Mon_00304" localSheetId="0" hidden="1">monday_model.lp!$BYT$2</definedName>
    <definedName name="Variable_own_Mon_00304_Type" localSheetId="0" hidden="1">monday_model.lp!$BYT$1782</definedName>
    <definedName name="Variable_own_Mon_00305" localSheetId="0" hidden="1">monday_model.lp!$BYU$2</definedName>
    <definedName name="Variable_own_Mon_00305_Type" localSheetId="0" hidden="1">monday_model.lp!$BYU$1782</definedName>
    <definedName name="Variable_own_Mon_00306" localSheetId="0" hidden="1">monday_model.lp!$BYV$2</definedName>
    <definedName name="Variable_own_Mon_00306_Type" localSheetId="0" hidden="1">monday_model.lp!$BYV$1782</definedName>
    <definedName name="Variable_own_Mon_00307" localSheetId="0" hidden="1">monday_model.lp!$BYW$2</definedName>
    <definedName name="Variable_own_Mon_00307_Type" localSheetId="0" hidden="1">monday_model.lp!$BYW$1782</definedName>
    <definedName name="Variable_own_Mon_00308" localSheetId="0" hidden="1">monday_model.lp!$BYX$2</definedName>
    <definedName name="Variable_own_Mon_00308_Type" localSheetId="0" hidden="1">monday_model.lp!$BYX$1782</definedName>
    <definedName name="Variable_own_Mon_00309" localSheetId="0" hidden="1">monday_model.lp!$BYY$2</definedName>
    <definedName name="Variable_own_Mon_00309_Type" localSheetId="0" hidden="1">monday_model.lp!$BYY$1782</definedName>
    <definedName name="Variable_own_Mon_00310" localSheetId="0" hidden="1">monday_model.lp!$BYZ$2</definedName>
    <definedName name="Variable_own_Mon_00310_Type" localSheetId="0" hidden="1">monday_model.lp!$BYZ$1782</definedName>
    <definedName name="Variable_own_Mon_00311" localSheetId="0" hidden="1">monday_model.lp!$BZA$2</definedName>
    <definedName name="Variable_own_Mon_00311_Type" localSheetId="0" hidden="1">monday_model.lp!$BZA$1782</definedName>
    <definedName name="Variable_own_Mon_00312" localSheetId="0" hidden="1">monday_model.lp!$BZB$2</definedName>
    <definedName name="Variable_own_Mon_00312_Type" localSheetId="0" hidden="1">monday_model.lp!$BZB$1782</definedName>
    <definedName name="Variable_own_Mon_00313" localSheetId="0" hidden="1">monday_model.lp!$BZC$2</definedName>
    <definedName name="Variable_own_Mon_00313_Type" localSheetId="0" hidden="1">monday_model.lp!$BZC$1782</definedName>
    <definedName name="Variable_own_Mon_00314" localSheetId="0" hidden="1">monday_model.lp!$BZD$2</definedName>
    <definedName name="Variable_own_Mon_00314_Type" localSheetId="0" hidden="1">monday_model.lp!$BZD$1782</definedName>
    <definedName name="Variable_own_Mon_00315" localSheetId="0" hidden="1">monday_model.lp!$BZE$2</definedName>
    <definedName name="Variable_own_Mon_00315_Type" localSheetId="0" hidden="1">monday_model.lp!$BZE$1782</definedName>
    <definedName name="Variable_own_Mon_00316" localSheetId="0" hidden="1">monday_model.lp!$BZF$2</definedName>
    <definedName name="Variable_own_Mon_00316_Type" localSheetId="0" hidden="1">monday_model.lp!$BZF$1782</definedName>
    <definedName name="Variable_own_Mon_00317" localSheetId="0" hidden="1">monday_model.lp!$BZG$2</definedName>
    <definedName name="Variable_own_Mon_00317_Type" localSheetId="0" hidden="1">monday_model.lp!$BZG$1782</definedName>
    <definedName name="Variable_own_Mon_00318" localSheetId="0" hidden="1">monday_model.lp!$BZH$2</definedName>
    <definedName name="Variable_own_Mon_00318_Type" localSheetId="0" hidden="1">monday_model.lp!$BZH$1782</definedName>
    <definedName name="Variable_own_Mon_00319" localSheetId="0" hidden="1">monday_model.lp!$BZI$2</definedName>
    <definedName name="Variable_own_Mon_00319_Type" localSheetId="0" hidden="1">monday_model.lp!$BZI$1782</definedName>
    <definedName name="Variable_own_Mon_00320" localSheetId="0" hidden="1">monday_model.lp!$BZJ$2</definedName>
    <definedName name="Variable_own_Mon_00320_Type" localSheetId="0" hidden="1">monday_model.lp!$BZJ$1782</definedName>
    <definedName name="Variable_own_Mon_00321" localSheetId="0" hidden="1">monday_model.lp!$BZK$2</definedName>
    <definedName name="Variable_own_Mon_00321_Type" localSheetId="0" hidden="1">monday_model.lp!$BZK$1782</definedName>
    <definedName name="Variable_own_Mon_00322" localSheetId="0" hidden="1">monday_model.lp!$BZL$2</definedName>
    <definedName name="Variable_own_Mon_00322_Type" localSheetId="0" hidden="1">monday_model.lp!$BZL$1782</definedName>
    <definedName name="Variable_own_Mon_00323" localSheetId="0" hidden="1">monday_model.lp!$BZM$2</definedName>
    <definedName name="Variable_own_Mon_00323_Type" localSheetId="0" hidden="1">monday_model.lp!$BZM$1782</definedName>
    <definedName name="Variable_own_Mon_00324" localSheetId="0" hidden="1">monday_model.lp!$BZN$2</definedName>
    <definedName name="Variable_own_Mon_00324_Type" localSheetId="0" hidden="1">monday_model.lp!$BZN$1782</definedName>
    <definedName name="Variable_own_Mon_00325" localSheetId="0" hidden="1">monday_model.lp!$BZO$2</definedName>
    <definedName name="Variable_own_Mon_00325_Type" localSheetId="0" hidden="1">monday_model.lp!$BZO$1782</definedName>
    <definedName name="Variable_own_Mon_00326" localSheetId="0" hidden="1">monday_model.lp!$BZP$2</definedName>
    <definedName name="Variable_own_Mon_00326_Type" localSheetId="0" hidden="1">monday_model.lp!$BZP$1782</definedName>
    <definedName name="Variable_own_Mon_00327" localSheetId="0" hidden="1">monday_model.lp!$BZQ$2</definedName>
    <definedName name="Variable_own_Mon_00327_Type" localSheetId="0" hidden="1">monday_model.lp!$BZQ$1782</definedName>
    <definedName name="Variable_own_Mon_00328" localSheetId="0" hidden="1">monday_model.lp!$BZR$2</definedName>
    <definedName name="Variable_own_Mon_00328_Type" localSheetId="0" hidden="1">monday_model.lp!$BZR$1782</definedName>
    <definedName name="Variable_own_Mon_00329" localSheetId="0" hidden="1">monday_model.lp!$BZS$2</definedName>
    <definedName name="Variable_own_Mon_00329_Type" localSheetId="0" hidden="1">monday_model.lp!$BZS$1782</definedName>
    <definedName name="Variable_own_Mon_00330" localSheetId="0" hidden="1">monday_model.lp!$BZT$2</definedName>
    <definedName name="Variable_own_Mon_00330_Type" localSheetId="0" hidden="1">monday_model.lp!$BZT$1782</definedName>
    <definedName name="Variable_own_Mon_00331" localSheetId="0" hidden="1">monday_model.lp!$BZU$2</definedName>
    <definedName name="Variable_own_Mon_00331_Type" localSheetId="0" hidden="1">monday_model.lp!$BZU$1782</definedName>
    <definedName name="Variable_own_Mon_00332" localSheetId="0" hidden="1">monday_model.lp!$BZV$2</definedName>
    <definedName name="Variable_own_Mon_00332_Type" localSheetId="0" hidden="1">monday_model.lp!$BZV$1782</definedName>
    <definedName name="Variable_own_Mon_00333" localSheetId="0" hidden="1">monday_model.lp!$BZW$2</definedName>
    <definedName name="Variable_own_Mon_00333_Type" localSheetId="0" hidden="1">monday_model.lp!$BZW$1782</definedName>
    <definedName name="Variable_own_Mon_00334" localSheetId="0" hidden="1">monday_model.lp!$BZX$2</definedName>
    <definedName name="Variable_own_Mon_00334_Type" localSheetId="0" hidden="1">monday_model.lp!$BZX$1782</definedName>
    <definedName name="Variable_own_Mon_00335" localSheetId="0" hidden="1">monday_model.lp!$BZY$2</definedName>
    <definedName name="Variable_own_Mon_00335_Type" localSheetId="0" hidden="1">monday_model.lp!$BZY$1782</definedName>
    <definedName name="Variable_own_Mon_00336" localSheetId="0" hidden="1">monday_model.lp!$BZZ$2</definedName>
    <definedName name="Variable_own_Mon_00336_Type" localSheetId="0" hidden="1">monday_model.lp!$BZZ$1782</definedName>
    <definedName name="Variable_own_Mon_00337" localSheetId="0" hidden="1">monday_model.lp!$CAA$2</definedName>
    <definedName name="Variable_own_Mon_00337_Type" localSheetId="0" hidden="1">monday_model.lp!$CAA$1782</definedName>
    <definedName name="Variable_own_Mon_00338" localSheetId="0" hidden="1">monday_model.lp!$CAB$2</definedName>
    <definedName name="Variable_own_Mon_00338_Type" localSheetId="0" hidden="1">monday_model.lp!$CAB$1782</definedName>
    <definedName name="Variable_own_Mon_00339" localSheetId="0" hidden="1">monday_model.lp!$CAC$2</definedName>
    <definedName name="Variable_own_Mon_00339_Type" localSheetId="0" hidden="1">monday_model.lp!$CAC$1782</definedName>
    <definedName name="Variable_own_Mon_00340" localSheetId="0" hidden="1">monday_model.lp!$CAD$2</definedName>
    <definedName name="Variable_own_Mon_00340_Type" localSheetId="0" hidden="1">monday_model.lp!$CAD$1782</definedName>
    <definedName name="Variable_own_Mon_00341" localSheetId="0" hidden="1">monday_model.lp!$CAE$2</definedName>
    <definedName name="Variable_own_Mon_00341_Type" localSheetId="0" hidden="1">monday_model.lp!$CAE$1782</definedName>
    <definedName name="Variable_own_Mon_00342" localSheetId="0" hidden="1">monday_model.lp!$CAF$2</definedName>
    <definedName name="Variable_own_Mon_00342_Type" localSheetId="0" hidden="1">monday_model.lp!$CAF$1782</definedName>
    <definedName name="Variable_own_Mon_00343" localSheetId="0" hidden="1">monday_model.lp!$CAG$2</definedName>
    <definedName name="Variable_own_Mon_00343_Type" localSheetId="0" hidden="1">monday_model.lp!$CAG$1782</definedName>
    <definedName name="Variable_own_Mon_00344" localSheetId="0" hidden="1">monday_model.lp!$CAH$2</definedName>
    <definedName name="Variable_own_Mon_00344_Type" localSheetId="0" hidden="1">monday_model.lp!$CAH$1782</definedName>
    <definedName name="Variable_own_Mon_00345" localSheetId="0" hidden="1">monday_model.lp!$CAI$2</definedName>
    <definedName name="Variable_own_Mon_00345_Type" localSheetId="0" hidden="1">monday_model.lp!$CAI$1782</definedName>
    <definedName name="Variable_own_Mon_00346" localSheetId="0" hidden="1">monday_model.lp!$CAJ$2</definedName>
    <definedName name="Variable_own_Mon_00346_Type" localSheetId="0" hidden="1">monday_model.lp!$CAJ$1782</definedName>
    <definedName name="Variable_own_Mon_00347" localSheetId="0" hidden="1">monday_model.lp!$CAK$2</definedName>
    <definedName name="Variable_own_Mon_00347_Type" localSheetId="0" hidden="1">monday_model.lp!$CAK$1782</definedName>
    <definedName name="Variable_own_Mon_00348" localSheetId="0" hidden="1">monday_model.lp!$CAL$2</definedName>
    <definedName name="Variable_own_Mon_00348_Type" localSheetId="0" hidden="1">monday_model.lp!$CAL$1782</definedName>
    <definedName name="Variable_own_Mon_00349" localSheetId="0" hidden="1">monday_model.lp!$CAM$2</definedName>
    <definedName name="Variable_own_Mon_00349_Type" localSheetId="0" hidden="1">monday_model.lp!$CAM$1782</definedName>
    <definedName name="Variable_own_Mon_00350" localSheetId="0" hidden="1">monday_model.lp!$CAN$2</definedName>
    <definedName name="Variable_own_Mon_00350_Type" localSheetId="0" hidden="1">monday_model.lp!$CAN$1782</definedName>
    <definedName name="Variable_own_Mon_00351" localSheetId="0" hidden="1">monday_model.lp!$CAO$2</definedName>
    <definedName name="Variable_own_Mon_00351_Type" localSheetId="0" hidden="1">monday_model.lp!$CAO$1782</definedName>
    <definedName name="Variable_own_Mon_00352" localSheetId="0" hidden="1">monday_model.lp!$CAP$2</definedName>
    <definedName name="Variable_own_Mon_00352_Type" localSheetId="0" hidden="1">monday_model.lp!$CAP$1782</definedName>
    <definedName name="Variable_own_Mon_00353" localSheetId="0" hidden="1">monday_model.lp!$CAQ$2</definedName>
    <definedName name="Variable_own_Mon_00353_Type" localSheetId="0" hidden="1">monday_model.lp!$CAQ$1782</definedName>
    <definedName name="Variable_own_Mon_00354" localSheetId="0" hidden="1">monday_model.lp!$CAR$2</definedName>
    <definedName name="Variable_own_Mon_00354_Type" localSheetId="0" hidden="1">monday_model.lp!$CAR$1782</definedName>
    <definedName name="Variable_own_Mon_00355" localSheetId="0" hidden="1">monday_model.lp!$CAS$2</definedName>
    <definedName name="Variable_own_Mon_00355_Type" localSheetId="0" hidden="1">monday_model.lp!$CAS$1782</definedName>
    <definedName name="Variable_own_Mon_00356" localSheetId="0" hidden="1">monday_model.lp!$CAT$2</definedName>
    <definedName name="Variable_own_Mon_00356_Type" localSheetId="0" hidden="1">monday_model.lp!$CAT$1782</definedName>
    <definedName name="Variable_own_Mon_00357" localSheetId="0" hidden="1">monday_model.lp!$CAU$2</definedName>
    <definedName name="Variable_own_Mon_00357_Type" localSheetId="0" hidden="1">monday_model.lp!$CAU$1782</definedName>
    <definedName name="Variable_own_Mon_00358" localSheetId="0" hidden="1">monday_model.lp!$CAV$2</definedName>
    <definedName name="Variable_own_Mon_00358_Type" localSheetId="0" hidden="1">monday_model.lp!$CAV$1782</definedName>
    <definedName name="Variable_own_Mon_00359" localSheetId="0" hidden="1">monday_model.lp!$CAW$2</definedName>
    <definedName name="Variable_own_Mon_00359_Type" localSheetId="0" hidden="1">monday_model.lp!$CAW$1782</definedName>
    <definedName name="Variable_own_Mon_00360" localSheetId="0" hidden="1">monday_model.lp!$CAX$2</definedName>
    <definedName name="Variable_own_Mon_00360_Type" localSheetId="0" hidden="1">monday_model.lp!$CAX$1782</definedName>
    <definedName name="Variable_own_Mon_00361" localSheetId="0" hidden="1">monday_model.lp!$CAY$2</definedName>
    <definedName name="Variable_own_Mon_00361_Type" localSheetId="0" hidden="1">monday_model.lp!$CAY$1782</definedName>
    <definedName name="Variable_own_Mon_00362" localSheetId="0" hidden="1">monday_model.lp!$CAZ$2</definedName>
    <definedName name="Variable_own_Mon_00362_Type" localSheetId="0" hidden="1">monday_model.lp!$CAZ$1782</definedName>
    <definedName name="Variable_own_Mon_00363" localSheetId="0" hidden="1">monday_model.lp!$CBA$2</definedName>
    <definedName name="Variable_own_Mon_00363_Type" localSheetId="0" hidden="1">monday_model.lp!$CBA$1782</definedName>
    <definedName name="Variable_own_Mon_00364" localSheetId="0" hidden="1">monday_model.lp!$CBB$2</definedName>
    <definedName name="Variable_own_Mon_00364_Type" localSheetId="0" hidden="1">monday_model.lp!$CBB$1782</definedName>
    <definedName name="Variable_own_Mon_00365" localSheetId="0" hidden="1">monday_model.lp!$CBC$2</definedName>
    <definedName name="Variable_own_Mon_00365_Type" localSheetId="0" hidden="1">monday_model.lp!$CBC$1782</definedName>
    <definedName name="Variable_own_Mon_00366" localSheetId="0" hidden="1">monday_model.lp!$CBD$2</definedName>
    <definedName name="Variable_own_Mon_00366_Type" localSheetId="0" hidden="1">monday_model.lp!$CBD$1782</definedName>
    <definedName name="Variable_own_Mon_00367" localSheetId="0" hidden="1">monday_model.lp!$CBE$2</definedName>
    <definedName name="Variable_own_Mon_00367_Type" localSheetId="0" hidden="1">monday_model.lp!$CBE$1782</definedName>
    <definedName name="Variable_own_Mon_00368" localSheetId="0" hidden="1">monday_model.lp!$CBF$2</definedName>
    <definedName name="Variable_own_Mon_00368_Type" localSheetId="0" hidden="1">monday_model.lp!$CBF$1782</definedName>
    <definedName name="Variable_own_Mon_00369" localSheetId="0" hidden="1">monday_model.lp!$CBG$2</definedName>
    <definedName name="Variable_own_Mon_00369_Type" localSheetId="0" hidden="1">monday_model.lp!$CBG$1782</definedName>
    <definedName name="Variable_own_Mon_00370" localSheetId="0" hidden="1">monday_model.lp!$CBH$2</definedName>
    <definedName name="Variable_own_Mon_00370_Type" localSheetId="0" hidden="1">monday_model.lp!$CBH$1782</definedName>
    <definedName name="Variable_own_Mon_00371" localSheetId="0" hidden="1">monday_model.lp!$CBI$2</definedName>
    <definedName name="Variable_own_Mon_00371_Type" localSheetId="0" hidden="1">monday_model.lp!$CBI$1782</definedName>
    <definedName name="Variable_own_Mon_00372" localSheetId="0" hidden="1">monday_model.lp!$CBJ$2</definedName>
    <definedName name="Variable_own_Mon_00372_Type" localSheetId="0" hidden="1">monday_model.lp!$CBJ$1782</definedName>
    <definedName name="Variable_own_Mon_00373" localSheetId="0" hidden="1">monday_model.lp!$CBK$2</definedName>
    <definedName name="Variable_own_Mon_00373_Type" localSheetId="0" hidden="1">monday_model.lp!$CBK$1782</definedName>
    <definedName name="Variable_own_Mon_00374" localSheetId="0" hidden="1">monday_model.lp!$CBL$2</definedName>
    <definedName name="Variable_own_Mon_00374_Type" localSheetId="0" hidden="1">monday_model.lp!$CBL$1782</definedName>
    <definedName name="Variable_own_Mon_00375" localSheetId="0" hidden="1">monday_model.lp!$CBM$2</definedName>
    <definedName name="Variable_own_Mon_00375_Type" localSheetId="0" hidden="1">monday_model.lp!$CBM$1782</definedName>
    <definedName name="Variable_own_Mon_00376" localSheetId="0" hidden="1">monday_model.lp!$CBN$2</definedName>
    <definedName name="Variable_own_Mon_00376_Type" localSheetId="0" hidden="1">monday_model.lp!$CBN$1782</definedName>
    <definedName name="Variable_own_Mon_00377" localSheetId="0" hidden="1">monday_model.lp!$CBO$2</definedName>
    <definedName name="Variable_own_Mon_00377_Type" localSheetId="0" hidden="1">monday_model.lp!$CBO$1782</definedName>
    <definedName name="Variable_own_Mon_00378" localSheetId="0" hidden="1">monday_model.lp!$CBP$2</definedName>
    <definedName name="Variable_own_Mon_00378_Type" localSheetId="0" hidden="1">monday_model.lp!$CBP$1782</definedName>
    <definedName name="Variable_own_Mon_00379" localSheetId="0" hidden="1">monday_model.lp!$CBQ$2</definedName>
    <definedName name="Variable_own_Mon_00379_Type" localSheetId="0" hidden="1">monday_model.lp!$CBQ$1782</definedName>
    <definedName name="Variable_own_Mon_00380" localSheetId="0" hidden="1">monday_model.lp!$CBR$2</definedName>
    <definedName name="Variable_own_Mon_00380_Type" localSheetId="0" hidden="1">monday_model.lp!$CBR$1782</definedName>
    <definedName name="Variable_own_Mon_00381" localSheetId="0" hidden="1">monday_model.lp!$CBS$2</definedName>
    <definedName name="Variable_own_Mon_00381_Type" localSheetId="0" hidden="1">monday_model.lp!$CBS$1782</definedName>
    <definedName name="Variable_own_Mon_00382" localSheetId="0" hidden="1">monday_model.lp!$CBT$2</definedName>
    <definedName name="Variable_own_Mon_00382_Type" localSheetId="0" hidden="1">monday_model.lp!$CBT$1782</definedName>
    <definedName name="Variable_own_Mon_00383" localSheetId="0" hidden="1">monday_model.lp!$CBU$2</definedName>
    <definedName name="Variable_own_Mon_00383_Type" localSheetId="0" hidden="1">monday_model.lp!$CBU$1782</definedName>
    <definedName name="Variable_own_Mon_00384" localSheetId="0" hidden="1">monday_model.lp!$CBV$2</definedName>
    <definedName name="Variable_own_Mon_00384_Type" localSheetId="0" hidden="1">monday_model.lp!$CBV$1782</definedName>
    <definedName name="Variable_own_Mon_00385" localSheetId="0" hidden="1">monday_model.lp!$CBW$2</definedName>
    <definedName name="Variable_own_Mon_00385_Type" localSheetId="0" hidden="1">monday_model.lp!$CBW$1782</definedName>
    <definedName name="Variable_own_Mon_00386" localSheetId="0" hidden="1">monday_model.lp!$CBX$2</definedName>
    <definedName name="Variable_own_Mon_00386_Type" localSheetId="0" hidden="1">monday_model.lp!$CBX$1782</definedName>
    <definedName name="Variable_own_Mon_00387" localSheetId="0" hidden="1">monday_model.lp!$CBY$2</definedName>
    <definedName name="Variable_own_Mon_00387_Type" localSheetId="0" hidden="1">monday_model.lp!$CBY$1782</definedName>
    <definedName name="Variable_own_Mon_00388" localSheetId="0" hidden="1">monday_model.lp!$CBZ$2</definedName>
    <definedName name="Variable_own_Mon_00388_Type" localSheetId="0" hidden="1">monday_model.lp!$CBZ$1782</definedName>
    <definedName name="Variable_own_Mon_00389" localSheetId="0" hidden="1">monday_model.lp!$CCA$2</definedName>
    <definedName name="Variable_own_Mon_00389_Type" localSheetId="0" hidden="1">monday_model.lp!$CCA$1782</definedName>
    <definedName name="Variable_own_Mon_00390" localSheetId="0" hidden="1">monday_model.lp!$CCB$2</definedName>
    <definedName name="Variable_own_Mon_00390_Type" localSheetId="0" hidden="1">monday_model.lp!$CCB$1782</definedName>
    <definedName name="Variable_own_Mon_00391" localSheetId="0" hidden="1">monday_model.lp!$CCC$2</definedName>
    <definedName name="Variable_own_Mon_00391_Type" localSheetId="0" hidden="1">monday_model.lp!$CCC$1782</definedName>
    <definedName name="Variable_own_Mon_00392" localSheetId="0" hidden="1">monday_model.lp!$CCD$2</definedName>
    <definedName name="Variable_own_Mon_00392_Type" localSheetId="0" hidden="1">monday_model.lp!$CCD$1782</definedName>
    <definedName name="Variable_own_Mon_00393" localSheetId="0" hidden="1">monday_model.lp!$CCE$2</definedName>
    <definedName name="Variable_own_Mon_00393_Type" localSheetId="0" hidden="1">monday_model.lp!$CCE$1782</definedName>
    <definedName name="Variable_own_Mon_00394" localSheetId="0" hidden="1">monday_model.lp!$CCF$2</definedName>
    <definedName name="Variable_own_Mon_00394_Type" localSheetId="0" hidden="1">monday_model.lp!$CCF$1782</definedName>
    <definedName name="Variable_own_Mon_00395" localSheetId="0" hidden="1">monday_model.lp!$CCG$2</definedName>
    <definedName name="Variable_own_Mon_00395_Type" localSheetId="0" hidden="1">monday_model.lp!$CCG$1782</definedName>
    <definedName name="Variable_own_Mon_00396" localSheetId="0" hidden="1">monday_model.lp!$CCH$2</definedName>
    <definedName name="Variable_own_Mon_00396_Type" localSheetId="0" hidden="1">monday_model.lp!$CCH$1782</definedName>
    <definedName name="Variable_own_Mon_00397" localSheetId="0" hidden="1">monday_model.lp!$CCI$2</definedName>
    <definedName name="Variable_own_Mon_00397_Type" localSheetId="0" hidden="1">monday_model.lp!$CCI$1782</definedName>
    <definedName name="Variable_own_Mon_00398" localSheetId="0" hidden="1">monday_model.lp!$CCJ$2</definedName>
    <definedName name="Variable_own_Mon_00398_Type" localSheetId="0" hidden="1">monday_model.lp!$CCJ$1782</definedName>
    <definedName name="Variable_own_Mon_00399" localSheetId="0" hidden="1">monday_model.lp!$CCK$2</definedName>
    <definedName name="Variable_own_Mon_00399_Type" localSheetId="0" hidden="1">monday_model.lp!$CCK$1782</definedName>
    <definedName name="Variable_own_Mon_00400" localSheetId="0" hidden="1">monday_model.lp!$CCL$2</definedName>
    <definedName name="Variable_own_Mon_00400_Type" localSheetId="0" hidden="1">monday_model.lp!$CCL$1782</definedName>
    <definedName name="Variable_own_Mon_00401" localSheetId="0" hidden="1">monday_model.lp!$CCM$2</definedName>
    <definedName name="Variable_own_Mon_00401_Type" localSheetId="0" hidden="1">monday_model.lp!$CCM$1782</definedName>
    <definedName name="Variable_own_Mon_00402" localSheetId="0" hidden="1">monday_model.lp!$CCN$2</definedName>
    <definedName name="Variable_own_Mon_00402_Type" localSheetId="0" hidden="1">monday_model.lp!$CCN$1782</definedName>
    <definedName name="Variable_own_Mon_00403" localSheetId="0" hidden="1">monday_model.lp!$CCO$2</definedName>
    <definedName name="Variable_own_Mon_00403_Type" localSheetId="0" hidden="1">monday_model.lp!$CCO$1782</definedName>
    <definedName name="Variable_own_Mon_00404" localSheetId="0" hidden="1">monday_model.lp!$CCP$2</definedName>
    <definedName name="Variable_own_Mon_00404_Type" localSheetId="0" hidden="1">monday_model.lp!$CCP$1782</definedName>
    <definedName name="Variable_own_Mon_00405" localSheetId="0" hidden="1">monday_model.lp!$CCQ$2</definedName>
    <definedName name="Variable_own_Mon_00405_Type" localSheetId="0" hidden="1">monday_model.lp!$CCQ$1782</definedName>
    <definedName name="Variable_own_Mon_00406" localSheetId="0" hidden="1">monday_model.lp!$CCR$2</definedName>
    <definedName name="Variable_own_Mon_00406_Type" localSheetId="0" hidden="1">monday_model.lp!$CCR$1782</definedName>
    <definedName name="Variable_own_Mon_00407" localSheetId="0" hidden="1">monday_model.lp!$CCS$2</definedName>
    <definedName name="Variable_own_Mon_00407_Type" localSheetId="0" hidden="1">monday_model.lp!$CCS$1782</definedName>
    <definedName name="Variable_own_Mon_00408" localSheetId="0" hidden="1">monday_model.lp!$CCT$2</definedName>
    <definedName name="Variable_own_Mon_00408_Type" localSheetId="0" hidden="1">monday_model.lp!$CCT$1782</definedName>
    <definedName name="Variable_own_Mon_00409" localSheetId="0" hidden="1">monday_model.lp!$CCU$2</definedName>
    <definedName name="Variable_own_Mon_00409_Type" localSheetId="0" hidden="1">monday_model.lp!$CCU$1782</definedName>
    <definedName name="Variable_own_Mon_00410" localSheetId="0" hidden="1">monday_model.lp!$CCV$2</definedName>
    <definedName name="Variable_own_Mon_00410_Type" localSheetId="0" hidden="1">monday_model.lp!$CCV$1782</definedName>
    <definedName name="Variable_own_Mon_00411" localSheetId="0" hidden="1">monday_model.lp!$CCW$2</definedName>
    <definedName name="Variable_own_Mon_00411_Type" localSheetId="0" hidden="1">monday_model.lp!$CCW$1782</definedName>
    <definedName name="Variable_own_Mon_00412" localSheetId="0" hidden="1">monday_model.lp!$CCX$2</definedName>
    <definedName name="Variable_own_Mon_00412_Type" localSheetId="0" hidden="1">monday_model.lp!$CCX$1782</definedName>
    <definedName name="Variable_own_Mon_00413" localSheetId="0" hidden="1">monday_model.lp!$CCY$2</definedName>
    <definedName name="Variable_own_Mon_00413_Type" localSheetId="0" hidden="1">monday_model.lp!$CCY$1782</definedName>
    <definedName name="Variable_own_Mon_00414" localSheetId="0" hidden="1">monday_model.lp!$CCZ$2</definedName>
    <definedName name="Variable_own_Mon_00414_Type" localSheetId="0" hidden="1">monday_model.lp!$CCZ$1782</definedName>
    <definedName name="Variable_own_Mon_00415" localSheetId="0" hidden="1">monday_model.lp!$CDA$2</definedName>
    <definedName name="Variable_own_Mon_00415_Type" localSheetId="0" hidden="1">monday_model.lp!$CDA$1782</definedName>
    <definedName name="Variable_own_Mon_00416" localSheetId="0" hidden="1">monday_model.lp!$CDB$2</definedName>
    <definedName name="Variable_own_Mon_00416_Type" localSheetId="0" hidden="1">monday_model.lp!$CDB$1782</definedName>
    <definedName name="Variable_own_Mon_00417" localSheetId="0" hidden="1">monday_model.lp!$CDC$2</definedName>
    <definedName name="Variable_own_Mon_00417_Type" localSheetId="0" hidden="1">monday_model.lp!$CDC$1782</definedName>
    <definedName name="Variable_own_Mon_00418" localSheetId="0" hidden="1">monday_model.lp!$CDD$2</definedName>
    <definedName name="Variable_own_Mon_00418_Type" localSheetId="0" hidden="1">monday_model.lp!$CDD$1782</definedName>
    <definedName name="Variable_own_Mon_00419" localSheetId="0" hidden="1">monday_model.lp!$CDE$2</definedName>
    <definedName name="Variable_own_Mon_00419_Type" localSheetId="0" hidden="1">monday_model.lp!$CDE$1782</definedName>
    <definedName name="Variable_own_Mon_00420" localSheetId="0" hidden="1">monday_model.lp!$CDF$2</definedName>
    <definedName name="Variable_own_Mon_00420_Type" localSheetId="0" hidden="1">monday_model.lp!$CDF$1782</definedName>
    <definedName name="Variable_own_Mon_00421" localSheetId="0" hidden="1">monday_model.lp!$CDG$2</definedName>
    <definedName name="Variable_own_Mon_00421_Type" localSheetId="0" hidden="1">monday_model.lp!$CDG$1782</definedName>
    <definedName name="Variable_own_Mon_00422" localSheetId="0" hidden="1">monday_model.lp!$CDH$2</definedName>
    <definedName name="Variable_own_Mon_00422_Type" localSheetId="0" hidden="1">monday_model.lp!$CDH$1782</definedName>
    <definedName name="Variable_own_Mon_00423" localSheetId="0" hidden="1">monday_model.lp!$CDI$2</definedName>
    <definedName name="Variable_own_Mon_00423_Type" localSheetId="0" hidden="1">monday_model.lp!$CDI$1782</definedName>
    <definedName name="Variable_own_Mon_00424" localSheetId="0" hidden="1">monday_model.lp!$CDJ$2</definedName>
    <definedName name="Variable_own_Mon_00424_Type" localSheetId="0" hidden="1">monday_model.lp!$CDJ$1782</definedName>
    <definedName name="Variable_own_Mon_00425" localSheetId="0" hidden="1">monday_model.lp!$CDK$2</definedName>
    <definedName name="Variable_own_Mon_00425_Type" localSheetId="0" hidden="1">monday_model.lp!$CDK$1782</definedName>
    <definedName name="Variable_own_Mon_00426" localSheetId="0" hidden="1">monday_model.lp!$CDL$2</definedName>
    <definedName name="Variable_own_Mon_00426_Type" localSheetId="0" hidden="1">monday_model.lp!$CDL$1782</definedName>
    <definedName name="Variable_own_Mon_00427" localSheetId="0" hidden="1">monday_model.lp!$CDM$2</definedName>
    <definedName name="Variable_own_Mon_00427_Type" localSheetId="0" hidden="1">monday_model.lp!$CDM$1782</definedName>
    <definedName name="Variable_own_Mon_00428" localSheetId="0" hidden="1">monday_model.lp!$CDN$2</definedName>
    <definedName name="Variable_own_Mon_00428_Type" localSheetId="0" hidden="1">monday_model.lp!$CDN$1782</definedName>
    <definedName name="Variable_own_Mon_00429" localSheetId="0" hidden="1">monday_model.lp!$CDO$2</definedName>
    <definedName name="Variable_own_Mon_00429_Type" localSheetId="0" hidden="1">monday_model.lp!$CDO$1782</definedName>
    <definedName name="Variable_own_Mon_00430" localSheetId="0" hidden="1">monday_model.lp!$CDP$2</definedName>
    <definedName name="Variable_own_Mon_00430_Type" localSheetId="0" hidden="1">monday_model.lp!$CDP$1782</definedName>
    <definedName name="Variable_own_Mon_00431" localSheetId="0" hidden="1">monday_model.lp!$CDQ$2</definedName>
    <definedName name="Variable_own_Mon_00431_Type" localSheetId="0" hidden="1">monday_model.lp!$CDQ$1782</definedName>
    <definedName name="Variable_own_Mon_00432" localSheetId="0" hidden="1">monday_model.lp!$CDR$2</definedName>
    <definedName name="Variable_own_Mon_00432_Type" localSheetId="0" hidden="1">monday_model.lp!$CDR$1782</definedName>
    <definedName name="Variable_own_Mon_00433" localSheetId="0" hidden="1">monday_model.lp!$CDS$2</definedName>
    <definedName name="Variable_own_Mon_00433_Type" localSheetId="0" hidden="1">monday_model.lp!$CDS$1782</definedName>
    <definedName name="Variable_own_Mon_00434" localSheetId="0" hidden="1">monday_model.lp!$CDT$2</definedName>
    <definedName name="Variable_own_Mon_00434_Type" localSheetId="0" hidden="1">monday_model.lp!$CDT$1782</definedName>
    <definedName name="Variable_own_Mon_00435" localSheetId="0" hidden="1">monday_model.lp!$CDU$2</definedName>
    <definedName name="Variable_own_Mon_00435_Type" localSheetId="0" hidden="1">monday_model.lp!$CDU$1782</definedName>
    <definedName name="Variable_own_Mon_00436" localSheetId="0" hidden="1">monday_model.lp!$CDV$2</definedName>
    <definedName name="Variable_own_Mon_00436_Type" localSheetId="0" hidden="1">monday_model.lp!$CDV$1782</definedName>
    <definedName name="Variable_own_Mon_00437" localSheetId="0" hidden="1">monday_model.lp!$CDW$2</definedName>
    <definedName name="Variable_own_Mon_00437_Type" localSheetId="0" hidden="1">monday_model.lp!$CDW$1782</definedName>
    <definedName name="Variable_own_Mon_00438" localSheetId="0" hidden="1">monday_model.lp!$CDX$2</definedName>
    <definedName name="Variable_own_Mon_00438_Type" localSheetId="0" hidden="1">monday_model.lp!$CDX$1782</definedName>
    <definedName name="Variable_own_Mon_00439" localSheetId="0" hidden="1">monday_model.lp!$CDY$2</definedName>
    <definedName name="Variable_own_Mon_00439_Type" localSheetId="0" hidden="1">monday_model.lp!$CDY$1782</definedName>
    <definedName name="Variable_own_Mon_00440" localSheetId="0" hidden="1">monday_model.lp!$CDZ$2</definedName>
    <definedName name="Variable_own_Mon_00440_Type" localSheetId="0" hidden="1">monday_model.lp!$CDZ$1782</definedName>
    <definedName name="Variable_own_Mon_00441" localSheetId="0" hidden="1">monday_model.lp!$CEA$2</definedName>
    <definedName name="Variable_own_Mon_00441_Type" localSheetId="0" hidden="1">monday_model.lp!$CEA$1782</definedName>
    <definedName name="Variable_own_Mon_00442" localSheetId="0" hidden="1">monday_model.lp!$CEB$2</definedName>
    <definedName name="Variable_own_Mon_00442_Type" localSheetId="0" hidden="1">monday_model.lp!$CEB$1782</definedName>
    <definedName name="Variable_own_Mon_00443" localSheetId="0" hidden="1">monday_model.lp!$CEC$2</definedName>
    <definedName name="Variable_own_Mon_00443_Type" localSheetId="0" hidden="1">monday_model.lp!$CEC$1782</definedName>
    <definedName name="Variable_own_Mon_00444" localSheetId="0" hidden="1">monday_model.lp!$CED$2</definedName>
    <definedName name="Variable_own_Mon_00444_Type" localSheetId="0" hidden="1">monday_model.lp!$CED$1782</definedName>
    <definedName name="Variable_own_Mon_00445" localSheetId="0" hidden="1">monday_model.lp!$CEE$2</definedName>
    <definedName name="Variable_own_Mon_00445_Type" localSheetId="0" hidden="1">monday_model.lp!$CEE$1782</definedName>
    <definedName name="Variable_own_Mon_00446" localSheetId="0" hidden="1">monday_model.lp!$CEF$2</definedName>
    <definedName name="Variable_own_Mon_00446_Type" localSheetId="0" hidden="1">monday_model.lp!$CEF$1782</definedName>
    <definedName name="Variable_own_Mon_00447" localSheetId="0" hidden="1">monday_model.lp!$CEG$2</definedName>
    <definedName name="Variable_own_Mon_00447_Type" localSheetId="0" hidden="1">monday_model.lp!$CEG$1782</definedName>
    <definedName name="Variable_own_Mon_00448" localSheetId="0" hidden="1">monday_model.lp!$CEH$2</definedName>
    <definedName name="Variable_own_Mon_00448_Type" localSheetId="0" hidden="1">monday_model.lp!$CEH$1782</definedName>
    <definedName name="Variable_own_Mon_00449" localSheetId="0" hidden="1">monday_model.lp!$CEI$2</definedName>
    <definedName name="Variable_own_Mon_00449_Type" localSheetId="0" hidden="1">monday_model.lp!$CEI$1782</definedName>
    <definedName name="Variable_own_Mon_00450" localSheetId="0" hidden="1">monday_model.lp!$CEJ$2</definedName>
    <definedName name="Variable_own_Mon_00450_Type" localSheetId="0" hidden="1">monday_model.lp!$CEJ$1782</definedName>
    <definedName name="Variable_own_Mon_00451" localSheetId="0" hidden="1">monday_model.lp!$CEK$2</definedName>
    <definedName name="Variable_own_Mon_00451_Type" localSheetId="0" hidden="1">monday_model.lp!$CEK$1782</definedName>
    <definedName name="Variable_own_Mon_00452" localSheetId="0" hidden="1">monday_model.lp!$CEL$2</definedName>
    <definedName name="Variable_own_Mon_00452_Type" localSheetId="0" hidden="1">monday_model.lp!$CEL$1782</definedName>
    <definedName name="Variable_own_Mon_00453" localSheetId="0" hidden="1">monday_model.lp!$CEM$2</definedName>
    <definedName name="Variable_own_Mon_00453_Type" localSheetId="0" hidden="1">monday_model.lp!$CEM$1782</definedName>
    <definedName name="Variable_own_Mon_00454" localSheetId="0" hidden="1">monday_model.lp!$CEN$2</definedName>
    <definedName name="Variable_own_Mon_00454_Type" localSheetId="0" hidden="1">monday_model.lp!$CEN$1782</definedName>
    <definedName name="Variable_own_Mon_00455" localSheetId="0" hidden="1">monday_model.lp!$CEO$2</definedName>
    <definedName name="Variable_own_Mon_00455_Type" localSheetId="0" hidden="1">monday_model.lp!$CEO$1782</definedName>
    <definedName name="Variable_own_Mon_00456" localSheetId="0" hidden="1">monday_model.lp!$CEP$2</definedName>
    <definedName name="Variable_own_Mon_00456_Type" localSheetId="0" hidden="1">monday_model.lp!$CEP$1782</definedName>
    <definedName name="Variable_own_Mon_00457" localSheetId="0" hidden="1">monday_model.lp!$CEQ$2</definedName>
    <definedName name="Variable_own_Mon_00457_Type" localSheetId="0" hidden="1">monday_model.lp!$CEQ$1782</definedName>
    <definedName name="Variable_own_Mon_00458" localSheetId="0" hidden="1">monday_model.lp!$CER$2</definedName>
    <definedName name="Variable_own_Mon_00458_Type" localSheetId="0" hidden="1">monday_model.lp!$CER$1782</definedName>
    <definedName name="Variable_own_Mon_00459" localSheetId="0" hidden="1">monday_model.lp!$CES$2</definedName>
    <definedName name="Variable_own_Mon_00459_Type" localSheetId="0" hidden="1">monday_model.lp!$CES$1782</definedName>
    <definedName name="Variable_own_Mon_00460" localSheetId="0" hidden="1">monday_model.lp!$CET$2</definedName>
    <definedName name="Variable_own_Mon_00460_Type" localSheetId="0" hidden="1">monday_model.lp!$CET$1782</definedName>
    <definedName name="Variable_own_Mon_00461" localSheetId="0" hidden="1">monday_model.lp!$CEU$2</definedName>
    <definedName name="Variable_own_Mon_00461_Type" localSheetId="0" hidden="1">monday_model.lp!$CEU$1782</definedName>
    <definedName name="Variable_own_Mon_00462" localSheetId="0" hidden="1">monday_model.lp!$CEV$2</definedName>
    <definedName name="Variable_own_Mon_00462_Type" localSheetId="0" hidden="1">monday_model.lp!$CEV$1782</definedName>
    <definedName name="Variable_own_Mon_00463" localSheetId="0" hidden="1">monday_model.lp!$CEW$2</definedName>
    <definedName name="Variable_own_Mon_00463_Type" localSheetId="0" hidden="1">monday_model.lp!$CEW$1782</definedName>
    <definedName name="Variable_own_Mon_00464" localSheetId="0" hidden="1">monday_model.lp!$CEX$2</definedName>
    <definedName name="Variable_own_Mon_00464_Type" localSheetId="0" hidden="1">monday_model.lp!$CEX$1782</definedName>
    <definedName name="Variable_own_Mon_00465" localSheetId="0" hidden="1">monday_model.lp!$CEY$2</definedName>
    <definedName name="Variable_own_Mon_00465_Type" localSheetId="0" hidden="1">monday_model.lp!$CEY$1782</definedName>
    <definedName name="Variable_own_Mon_00466" localSheetId="0" hidden="1">monday_model.lp!$CEZ$2</definedName>
    <definedName name="Variable_own_Mon_00466_Type" localSheetId="0" hidden="1">monday_model.lp!$CEZ$1782</definedName>
    <definedName name="Variable_own_Mon_00467" localSheetId="0" hidden="1">monday_model.lp!$CFA$2</definedName>
    <definedName name="Variable_own_Mon_00467_Type" localSheetId="0" hidden="1">monday_model.lp!$CFA$1782</definedName>
    <definedName name="Variable_own_Mon_00468" localSheetId="0" hidden="1">monday_model.lp!$CFB$2</definedName>
    <definedName name="Variable_own_Mon_00468_Type" localSheetId="0" hidden="1">monday_model.lp!$CFB$1782</definedName>
    <definedName name="Variable_own_Mon_00469" localSheetId="0" hidden="1">monday_model.lp!$CFC$2</definedName>
    <definedName name="Variable_own_Mon_00469_Type" localSheetId="0" hidden="1">monday_model.lp!$CFC$1782</definedName>
    <definedName name="Variable_own_Mon_00470" localSheetId="0" hidden="1">monday_model.lp!$CFD$2</definedName>
    <definedName name="Variable_own_Mon_00470_Type" localSheetId="0" hidden="1">monday_model.lp!$CFD$1782</definedName>
    <definedName name="Variable_own_Mon_00471" localSheetId="0" hidden="1">monday_model.lp!$CFE$2</definedName>
    <definedName name="Variable_own_Mon_00471_Type" localSheetId="0" hidden="1">monday_model.lp!$CFE$1782</definedName>
    <definedName name="Variable_own_Mon_00472" localSheetId="0" hidden="1">monday_model.lp!$CFF$2</definedName>
    <definedName name="Variable_own_Mon_00472_Type" localSheetId="0" hidden="1">monday_model.lp!$CFF$1782</definedName>
    <definedName name="Variable_own_Mon_00473" localSheetId="0" hidden="1">monday_model.lp!$CFG$2</definedName>
    <definedName name="Variable_own_Mon_00473_Type" localSheetId="0" hidden="1">monday_model.lp!$CFG$1782</definedName>
    <definedName name="Variable_own_Mon_00474" localSheetId="0" hidden="1">monday_model.lp!$CFH$2</definedName>
    <definedName name="Variable_own_Mon_00474_Type" localSheetId="0" hidden="1">monday_model.lp!$CFH$1782</definedName>
    <definedName name="Variable_own_Mon_00475" localSheetId="0" hidden="1">monday_model.lp!$CFI$2</definedName>
    <definedName name="Variable_own_Mon_00475_Type" localSheetId="0" hidden="1">monday_model.lp!$CFI$1782</definedName>
    <definedName name="Variable_own_Mon_00476" localSheetId="0" hidden="1">monday_model.lp!$CFJ$2</definedName>
    <definedName name="Variable_own_Mon_00476_Type" localSheetId="0" hidden="1">monday_model.lp!$CFJ$1782</definedName>
    <definedName name="Variable_own_Mon_00477" localSheetId="0" hidden="1">monday_model.lp!$CFK$2</definedName>
    <definedName name="Variable_own_Mon_00477_Type" localSheetId="0" hidden="1">monday_model.lp!$CFK$1782</definedName>
    <definedName name="Variable_own_Mon_00478" localSheetId="0" hidden="1">monday_model.lp!$CFL$2</definedName>
    <definedName name="Variable_own_Mon_00478_Type" localSheetId="0" hidden="1">monday_model.lp!$CFL$1782</definedName>
    <definedName name="Variable_own_Mon_00479" localSheetId="0" hidden="1">monday_model.lp!$CFM$2</definedName>
    <definedName name="Variable_own_Mon_00479_Type" localSheetId="0" hidden="1">monday_model.lp!$CFM$1782</definedName>
    <definedName name="Variable_own_Mon_00480" localSheetId="0" hidden="1">monday_model.lp!$CFN$2</definedName>
    <definedName name="Variable_own_Mon_00480_Type" localSheetId="0" hidden="1">monday_model.lp!$CFN$1782</definedName>
    <definedName name="Variable_own_Mon_00481" localSheetId="0" hidden="1">monday_model.lp!$CFO$2</definedName>
    <definedName name="Variable_own_Mon_00481_Type" localSheetId="0" hidden="1">monday_model.lp!$CFO$1782</definedName>
    <definedName name="Variable_own_Mon_00482" localSheetId="0" hidden="1">monday_model.lp!$CFP$2</definedName>
    <definedName name="Variable_own_Mon_00482_Type" localSheetId="0" hidden="1">monday_model.lp!$CFP$1782</definedName>
    <definedName name="Variable_own_Mon_00483" localSheetId="0" hidden="1">monday_model.lp!$CFQ$2</definedName>
    <definedName name="Variable_own_Mon_00483_Type" localSheetId="0" hidden="1">monday_model.lp!$CFQ$1782</definedName>
    <definedName name="Variable_own_Mon_00484" localSheetId="0" hidden="1">monday_model.lp!$CFR$2</definedName>
    <definedName name="Variable_own_Mon_00484_Type" localSheetId="0" hidden="1">monday_model.lp!$CFR$1782</definedName>
    <definedName name="Variable_own_Mon_00485" localSheetId="0" hidden="1">monday_model.lp!$CFS$2</definedName>
    <definedName name="Variable_own_Mon_00485_Type" localSheetId="0" hidden="1">monday_model.lp!$CFS$1782</definedName>
    <definedName name="Variable_own_Mon_00486" localSheetId="0" hidden="1">monday_model.lp!$CFT$2</definedName>
    <definedName name="Variable_own_Mon_00486_Type" localSheetId="0" hidden="1">monday_model.lp!$CFT$1782</definedName>
    <definedName name="Variable_own_Mon_00487" localSheetId="0" hidden="1">monday_model.lp!$CFU$2</definedName>
    <definedName name="Variable_own_Mon_00487_Type" localSheetId="0" hidden="1">monday_model.lp!$CFU$1782</definedName>
    <definedName name="Variable_own_Mon_00488" localSheetId="0" hidden="1">monday_model.lp!$CFV$2</definedName>
    <definedName name="Variable_own_Mon_00488_Type" localSheetId="0" hidden="1">monday_model.lp!$CFV$1782</definedName>
    <definedName name="Variable_own_Mon_00489" localSheetId="0" hidden="1">monday_model.lp!$CFW$2</definedName>
    <definedName name="Variable_own_Mon_00489_Type" localSheetId="0" hidden="1">monday_model.lp!$CFW$1782</definedName>
    <definedName name="Variable_own_Mon_00490" localSheetId="0" hidden="1">monday_model.lp!$CFX$2</definedName>
    <definedName name="Variable_own_Mon_00490_Type" localSheetId="0" hidden="1">monday_model.lp!$CFX$1782</definedName>
    <definedName name="Variable_own_Mon_00491" localSheetId="0" hidden="1">monday_model.lp!$CFY$2</definedName>
    <definedName name="Variable_own_Mon_00491_Type" localSheetId="0" hidden="1">monday_model.lp!$CFY$1782</definedName>
    <definedName name="Variable_own_Mon_00492" localSheetId="0" hidden="1">monday_model.lp!$CFZ$2</definedName>
    <definedName name="Variable_own_Mon_00492_Type" localSheetId="0" hidden="1">monday_model.lp!$CFZ$1782</definedName>
    <definedName name="Variable_own_Mon_00493" localSheetId="0" hidden="1">monday_model.lp!$CGA$2</definedName>
    <definedName name="Variable_own_Mon_00493_Type" localSheetId="0" hidden="1">monday_model.lp!$CGA$1782</definedName>
    <definedName name="Variable_own_Mon_00494" localSheetId="0" hidden="1">monday_model.lp!$CGB$2</definedName>
    <definedName name="Variable_own_Mon_00494_Type" localSheetId="0" hidden="1">monday_model.lp!$CGB$1782</definedName>
    <definedName name="Variable_own_Mon_00495" localSheetId="0" hidden="1">monday_model.lp!$CGC$2</definedName>
    <definedName name="Variable_own_Mon_00495_Type" localSheetId="0" hidden="1">monday_model.lp!$CGC$1782</definedName>
    <definedName name="Variable_own_Mon_00496" localSheetId="0" hidden="1">monday_model.lp!$CGD$2</definedName>
    <definedName name="Variable_own_Mon_00496_Type" localSheetId="0" hidden="1">monday_model.lp!$CGD$1782</definedName>
    <definedName name="Variable_own_Mon_00497" localSheetId="0" hidden="1">monday_model.lp!$CGE$2</definedName>
    <definedName name="Variable_own_Mon_00497_Type" localSheetId="0" hidden="1">monday_model.lp!$CGE$1782</definedName>
    <definedName name="Variable_own_Mon_00498" localSheetId="0" hidden="1">monday_model.lp!$CGF$2</definedName>
    <definedName name="Variable_own_Mon_00498_Type" localSheetId="0" hidden="1">monday_model.lp!$CGF$1782</definedName>
    <definedName name="Variable_own_Mon_00499" localSheetId="0" hidden="1">monday_model.lp!$CGG$2</definedName>
    <definedName name="Variable_own_Mon_00499_Type" localSheetId="0" hidden="1">monday_model.lp!$CGG$1782</definedName>
    <definedName name="Variable_own_Mon_00500" localSheetId="0" hidden="1">monday_model.lp!$CGH$2</definedName>
    <definedName name="Variable_own_Mon_00500_Type" localSheetId="0" hidden="1">monday_model.lp!$CGH$1782</definedName>
    <definedName name="Variable_own_Mon_00501" localSheetId="0" hidden="1">monday_model.lp!$CGI$2</definedName>
    <definedName name="Variable_own_Mon_00501_Type" localSheetId="0" hidden="1">monday_model.lp!$CGI$1782</definedName>
    <definedName name="Variable_own_Mon_00502" localSheetId="0" hidden="1">monday_model.lp!$CGJ$2</definedName>
    <definedName name="Variable_own_Mon_00502_Type" localSheetId="0" hidden="1">monday_model.lp!$CGJ$1782</definedName>
    <definedName name="Variable_own_Mon_00503" localSheetId="0" hidden="1">monday_model.lp!$CGK$2</definedName>
    <definedName name="Variable_own_Mon_00503_Type" localSheetId="0" hidden="1">monday_model.lp!$CGK$1782</definedName>
    <definedName name="Variable_own_Mon_00504" localSheetId="0" hidden="1">monday_model.lp!$CGL$2</definedName>
    <definedName name="Variable_own_Mon_00504_Type" localSheetId="0" hidden="1">monday_model.lp!$CGL$1782</definedName>
    <definedName name="Variable_own_Mon_00505" localSheetId="0" hidden="1">monday_model.lp!$CGM$2</definedName>
    <definedName name="Variable_own_Mon_00505_Type" localSheetId="0" hidden="1">monday_model.lp!$CGM$1782</definedName>
    <definedName name="Variable_own_Mon_00506" localSheetId="0" hidden="1">monday_model.lp!$CGN$2</definedName>
    <definedName name="Variable_own_Mon_00506_Type" localSheetId="0" hidden="1">monday_model.lp!$CGN$1782</definedName>
    <definedName name="Variable_own_Mon_00507" localSheetId="0" hidden="1">monday_model.lp!$CGO$2</definedName>
    <definedName name="Variable_own_Mon_00507_Type" localSheetId="0" hidden="1">monday_model.lp!$CGO$1782</definedName>
    <definedName name="Variable_own_Mon_00508" localSheetId="0" hidden="1">monday_model.lp!$CGP$2</definedName>
    <definedName name="Variable_own_Mon_00508_Type" localSheetId="0" hidden="1">monday_model.lp!$CGP$1782</definedName>
    <definedName name="Variable_own_Mon_00509" localSheetId="0" hidden="1">monday_model.lp!$CGQ$2</definedName>
    <definedName name="Variable_own_Mon_00509_Type" localSheetId="0" hidden="1">monday_model.lp!$CGQ$1782</definedName>
    <definedName name="Variable_own_Mon_00510" localSheetId="0" hidden="1">monday_model.lp!$CGR$2</definedName>
    <definedName name="Variable_own_Mon_00510_Type" localSheetId="0" hidden="1">monday_model.lp!$CGR$1782</definedName>
    <definedName name="Variable_own_Mon_00511" localSheetId="0" hidden="1">monday_model.lp!$CGS$2</definedName>
    <definedName name="Variable_own_Mon_00511_Type" localSheetId="0" hidden="1">monday_model.lp!$CGS$1782</definedName>
    <definedName name="Variable_own_Mon_00512" localSheetId="0" hidden="1">monday_model.lp!$CGT$2</definedName>
    <definedName name="Variable_own_Mon_00512_Type" localSheetId="0" hidden="1">monday_model.lp!$CGT$1782</definedName>
    <definedName name="Variable_own_Mon_00513" localSheetId="0" hidden="1">monday_model.lp!$CGU$2</definedName>
    <definedName name="Variable_own_Mon_00513_Type" localSheetId="0" hidden="1">monday_model.lp!$CGU$1782</definedName>
    <definedName name="Variable_own_Mon_00514" localSheetId="0" hidden="1">monday_model.lp!$CGV$2</definedName>
    <definedName name="Variable_own_Mon_00514_Type" localSheetId="0" hidden="1">monday_model.lp!$CGV$1782</definedName>
    <definedName name="Variable_own_Mon_00515" localSheetId="0" hidden="1">monday_model.lp!$CGW$2</definedName>
    <definedName name="Variable_own_Mon_00515_Type" localSheetId="0" hidden="1">monday_model.lp!$CGW$1782</definedName>
    <definedName name="Variable_own_Mon_00516" localSheetId="0" hidden="1">monday_model.lp!$CGX$2</definedName>
    <definedName name="Variable_own_Mon_00516_Type" localSheetId="0" hidden="1">monday_model.lp!$CGX$1782</definedName>
    <definedName name="Variable_own_Mon_00517" localSheetId="0" hidden="1">monday_model.lp!$CGY$2</definedName>
    <definedName name="Variable_own_Mon_00517_Type" localSheetId="0" hidden="1">monday_model.lp!$CGY$1782</definedName>
    <definedName name="Variable_own_Mon_00518" localSheetId="0" hidden="1">monday_model.lp!$CGZ$2</definedName>
    <definedName name="Variable_own_Mon_00518_Type" localSheetId="0" hidden="1">monday_model.lp!$CGZ$1782</definedName>
    <definedName name="Variable_own_Mon_00519" localSheetId="0" hidden="1">monday_model.lp!$CHA$2</definedName>
    <definedName name="Variable_own_Mon_00519_Type" localSheetId="0" hidden="1">monday_model.lp!$CHA$1782</definedName>
    <definedName name="Variable_own_Mon_00520" localSheetId="0" hidden="1">monday_model.lp!$CHB$2</definedName>
    <definedName name="Variable_own_Mon_00520_Type" localSheetId="0" hidden="1">monday_model.lp!$CHB$1782</definedName>
    <definedName name="Variable_own_Mon_00521" localSheetId="0" hidden="1">monday_model.lp!$CHC$2</definedName>
    <definedName name="Variable_own_Mon_00521_Type" localSheetId="0" hidden="1">monday_model.lp!$CHC$1782</definedName>
    <definedName name="Variable_own_Mon_00522" localSheetId="0" hidden="1">monday_model.lp!$CHD$2</definedName>
    <definedName name="Variable_own_Mon_00522_Type" localSheetId="0" hidden="1">monday_model.lp!$CHD$1782</definedName>
    <definedName name="Variable_own_Mon_00523" localSheetId="0" hidden="1">monday_model.lp!$CHE$2</definedName>
    <definedName name="Variable_own_Mon_00523_Type" localSheetId="0" hidden="1">monday_model.lp!$CHE$1782</definedName>
    <definedName name="Variable_own_Mon_00524" localSheetId="0" hidden="1">monday_model.lp!$CHF$2</definedName>
    <definedName name="Variable_own_Mon_00524_Type" localSheetId="0" hidden="1">monday_model.lp!$CHF$1782</definedName>
    <definedName name="Variable_own_Mon_00525" localSheetId="0" hidden="1">monday_model.lp!$CHG$2</definedName>
    <definedName name="Variable_own_Mon_00525_Type" localSheetId="0" hidden="1">monday_model.lp!$CHG$1782</definedName>
    <definedName name="Variable_own_Mon_00526" localSheetId="0" hidden="1">monday_model.lp!$CHH$2</definedName>
    <definedName name="Variable_own_Mon_00526_Type" localSheetId="0" hidden="1">monday_model.lp!$CHH$1782</definedName>
    <definedName name="Variable_own_Mon_00527" localSheetId="0" hidden="1">monday_model.lp!$CHI$2</definedName>
    <definedName name="Variable_own_Mon_00527_Type" localSheetId="0" hidden="1">monday_model.lp!$CHI$1782</definedName>
    <definedName name="Variable_own_Mon_00528" localSheetId="0" hidden="1">monday_model.lp!$CHJ$2</definedName>
    <definedName name="Variable_own_Mon_00528_Type" localSheetId="0" hidden="1">monday_model.lp!$CHJ$1782</definedName>
    <definedName name="Variable_own_Mon_00529" localSheetId="0" hidden="1">monday_model.lp!$CHK$2</definedName>
    <definedName name="Variable_own_Mon_00529_Type" localSheetId="0" hidden="1">monday_model.lp!$CHK$1782</definedName>
    <definedName name="Variable_own_Mon_00530" localSheetId="0" hidden="1">monday_model.lp!$CHL$2</definedName>
    <definedName name="Variable_own_Mon_00530_Type" localSheetId="0" hidden="1">monday_model.lp!$CHL$1782</definedName>
    <definedName name="Variable_own_Mon_00531" localSheetId="0" hidden="1">monday_model.lp!$CHM$2</definedName>
    <definedName name="Variable_own_Mon_00531_Type" localSheetId="0" hidden="1">monday_model.lp!$CHM$1782</definedName>
    <definedName name="Variable_own_Mon_00532" localSheetId="0" hidden="1">monday_model.lp!$CHN$2</definedName>
    <definedName name="Variable_own_Mon_00532_Type" localSheetId="0" hidden="1">monday_model.lp!$CHN$1782</definedName>
    <definedName name="Variable_own_Mon_00533" localSheetId="0" hidden="1">monday_model.lp!$CHO$2</definedName>
    <definedName name="Variable_own_Mon_00533_Type" localSheetId="0" hidden="1">monday_model.lp!$CHO$1782</definedName>
    <definedName name="Variable_own_Mon_00534" localSheetId="0" hidden="1">monday_model.lp!$CHP$2</definedName>
    <definedName name="Variable_own_Mon_00534_Type" localSheetId="0" hidden="1">monday_model.lp!$CHP$1782</definedName>
    <definedName name="Variable_own_Mon_00535" localSheetId="0" hidden="1">monday_model.lp!$CHQ$2</definedName>
    <definedName name="Variable_own_Mon_00535_Type" localSheetId="0" hidden="1">monday_model.lp!$CHQ$1782</definedName>
    <definedName name="Variable_own_Mon_00536" localSheetId="0" hidden="1">monday_model.lp!$CHR$2</definedName>
    <definedName name="Variable_own_Mon_00536_Type" localSheetId="0" hidden="1">monday_model.lp!$CHR$1782</definedName>
    <definedName name="Variable_own_Mon_00537" localSheetId="0" hidden="1">monday_model.lp!$CHS$2</definedName>
    <definedName name="Variable_own_Mon_00537_Type" localSheetId="0" hidden="1">monday_model.lp!$CHS$1782</definedName>
    <definedName name="Variable_own_Mon_00538" localSheetId="0" hidden="1">monday_model.lp!$CHT$2</definedName>
    <definedName name="Variable_own_Mon_00538_Type" localSheetId="0" hidden="1">monday_model.lp!$CHT$1782</definedName>
    <definedName name="Variable_own_Mon_00539" localSheetId="0" hidden="1">monday_model.lp!$CHU$2</definedName>
    <definedName name="Variable_own_Mon_00539_Type" localSheetId="0" hidden="1">monday_model.lp!$CHU$1782</definedName>
    <definedName name="Variable_own_Mon_00540" localSheetId="0" hidden="1">monday_model.lp!$CHV$2</definedName>
    <definedName name="Variable_own_Mon_00540_Type" localSheetId="0" hidden="1">monday_model.lp!$CHV$1782</definedName>
    <definedName name="Variable_own_Mon_00541" localSheetId="0" hidden="1">monday_model.lp!$CHW$2</definedName>
    <definedName name="Variable_own_Mon_00541_Type" localSheetId="0" hidden="1">monday_model.lp!$CHW$1782</definedName>
    <definedName name="Variable_own_Mon_00542" localSheetId="0" hidden="1">monday_model.lp!$CHX$2</definedName>
    <definedName name="Variable_own_Mon_00542_Type" localSheetId="0" hidden="1">monday_model.lp!$CHX$1782</definedName>
    <definedName name="Variable_own_Mon_00543" localSheetId="0" hidden="1">monday_model.lp!$CHY$2</definedName>
    <definedName name="Variable_own_Mon_00543_Type" localSheetId="0" hidden="1">monday_model.lp!$CHY$1782</definedName>
    <definedName name="Variable_own_Mon_00544" localSheetId="0" hidden="1">monday_model.lp!$CHZ$2</definedName>
    <definedName name="Variable_own_Mon_00544_Type" localSheetId="0" hidden="1">monday_model.lp!$CHZ$1782</definedName>
    <definedName name="Variable_own_Mon_00545" localSheetId="0" hidden="1">monday_model.lp!$CIA$2</definedName>
    <definedName name="Variable_own_Mon_00545_Type" localSheetId="0" hidden="1">monday_model.lp!$CIA$1782</definedName>
    <definedName name="Variable_own_Mon_00546" localSheetId="0" hidden="1">monday_model.lp!$CIB$2</definedName>
    <definedName name="Variable_own_Mon_00546_Type" localSheetId="0" hidden="1">monday_model.lp!$CIB$1782</definedName>
    <definedName name="Variable_own_Mon_00547" localSheetId="0" hidden="1">monday_model.lp!$CIC$2</definedName>
    <definedName name="Variable_own_Mon_00547_Type" localSheetId="0" hidden="1">monday_model.lp!$CIC$1782</definedName>
    <definedName name="Variable_own_Mon_00548" localSheetId="0" hidden="1">monday_model.lp!$CID$2</definedName>
    <definedName name="Variable_own_Mon_00548_Type" localSheetId="0" hidden="1">monday_model.lp!$CID$1782</definedName>
    <definedName name="Variable_own_Mon_00549" localSheetId="0" hidden="1">monday_model.lp!$CIE$2</definedName>
    <definedName name="Variable_own_Mon_00549_Type" localSheetId="0" hidden="1">monday_model.lp!$CIE$1782</definedName>
    <definedName name="Variable_own_Mon_00550" localSheetId="0" hidden="1">monday_model.lp!$CIF$2</definedName>
    <definedName name="Variable_own_Mon_00550_Type" localSheetId="0" hidden="1">monday_model.lp!$CIF$1782</definedName>
    <definedName name="Variable_own_Mon_00551" localSheetId="0" hidden="1">monday_model.lp!$CIG$2</definedName>
    <definedName name="Variable_own_Mon_00551_Type" localSheetId="0" hidden="1">monday_model.lp!$CIG$1782</definedName>
    <definedName name="Variable_own_Mon_00552" localSheetId="0" hidden="1">monday_model.lp!$CIH$2</definedName>
    <definedName name="Variable_own_Mon_00552_Type" localSheetId="0" hidden="1">monday_model.lp!$CIH$1782</definedName>
    <definedName name="Variable_own_Mon_00553" localSheetId="0" hidden="1">monday_model.lp!$CII$2</definedName>
    <definedName name="Variable_own_Mon_00553_Type" localSheetId="0" hidden="1">monday_model.lp!$CII$1782</definedName>
    <definedName name="Variable_own_Mon_00554" localSheetId="0" hidden="1">monday_model.lp!$CIJ$2</definedName>
    <definedName name="Variable_own_Mon_00554_Type" localSheetId="0" hidden="1">monday_model.lp!$CIJ$1782</definedName>
    <definedName name="Variable_own_Mon_00555" localSheetId="0" hidden="1">monday_model.lp!$CIK$2</definedName>
    <definedName name="Variable_own_Mon_00555_Type" localSheetId="0" hidden="1">monday_model.lp!$CIK$1782</definedName>
    <definedName name="Variable_own_Mon_00556" localSheetId="0" hidden="1">monday_model.lp!$CIL$2</definedName>
    <definedName name="Variable_own_Mon_00556_Type" localSheetId="0" hidden="1">monday_model.lp!$CIL$1782</definedName>
    <definedName name="Variable_own_Mon_00557" localSheetId="0" hidden="1">monday_model.lp!$CIM$2</definedName>
    <definedName name="Variable_own_Mon_00557_Type" localSheetId="0" hidden="1">monday_model.lp!$CIM$1782</definedName>
    <definedName name="Variable_own_Mon_00558" localSheetId="0" hidden="1">monday_model.lp!$CIN$2</definedName>
    <definedName name="Variable_own_Mon_00558_Type" localSheetId="0" hidden="1">monday_model.lp!$CIN$1782</definedName>
    <definedName name="Variable_own_Mon_00559" localSheetId="0" hidden="1">monday_model.lp!$CIO$2</definedName>
    <definedName name="Variable_own_Mon_00559_Type" localSheetId="0" hidden="1">monday_model.lp!$CIO$1782</definedName>
    <definedName name="Variable_own_Mon_00560" localSheetId="0" hidden="1">monday_model.lp!$CIP$2</definedName>
    <definedName name="Variable_own_Mon_00560_Type" localSheetId="0" hidden="1">monday_model.lp!$CIP$1782</definedName>
    <definedName name="Variable_own_Mon_00561" localSheetId="0" hidden="1">monday_model.lp!$CIQ$2</definedName>
    <definedName name="Variable_own_Mon_00561_Type" localSheetId="0" hidden="1">monday_model.lp!$CIQ$1782</definedName>
    <definedName name="Variable_own_Mon_00562" localSheetId="0" hidden="1">monday_model.lp!$CIR$2</definedName>
    <definedName name="Variable_own_Mon_00562_Type" localSheetId="0" hidden="1">monday_model.lp!$CIR$1782</definedName>
    <definedName name="Variable_own_Mon_00563" localSheetId="0" hidden="1">monday_model.lp!$CIS$2</definedName>
    <definedName name="Variable_own_Mon_00563_Type" localSheetId="0" hidden="1">monday_model.lp!$CIS$1782</definedName>
    <definedName name="Variable_own_Mon_00564" localSheetId="0" hidden="1">monday_model.lp!$CIT$2</definedName>
    <definedName name="Variable_own_Mon_00564_Type" localSheetId="0" hidden="1">monday_model.lp!$CIT$1782</definedName>
    <definedName name="Variable_own_Mon_00565" localSheetId="0" hidden="1">monday_model.lp!$CIU$2</definedName>
    <definedName name="Variable_own_Mon_00565_Type" localSheetId="0" hidden="1">monday_model.lp!$CIU$1782</definedName>
    <definedName name="Variable_own_Mon_00566" localSheetId="0" hidden="1">monday_model.lp!$CIV$2</definedName>
    <definedName name="Variable_own_Mon_00566_Type" localSheetId="0" hidden="1">monday_model.lp!$CIV$1782</definedName>
    <definedName name="Variable_own_Mon_00567" localSheetId="0" hidden="1">monday_model.lp!$CIW$2</definedName>
    <definedName name="Variable_own_Mon_00567_Type" localSheetId="0" hidden="1">monday_model.lp!$CIW$1782</definedName>
    <definedName name="Variable_own_Mon_00568" localSheetId="0" hidden="1">monday_model.lp!$CIX$2</definedName>
    <definedName name="Variable_own_Mon_00568_Type" localSheetId="0" hidden="1">monday_model.lp!$CIX$1782</definedName>
    <definedName name="Variable_own_Mon_00569" localSheetId="0" hidden="1">monday_model.lp!$CIY$2</definedName>
    <definedName name="Variable_own_Mon_00569_Type" localSheetId="0" hidden="1">monday_model.lp!$CIY$1782</definedName>
    <definedName name="Variable_own_Mon_00570" localSheetId="0" hidden="1">monday_model.lp!$CIZ$2</definedName>
    <definedName name="Variable_own_Mon_00570_Type" localSheetId="0" hidden="1">monday_model.lp!$CIZ$1782</definedName>
    <definedName name="Variable_own_Mon_00571" localSheetId="0" hidden="1">monday_model.lp!$CJA$2</definedName>
    <definedName name="Variable_own_Mon_00571_Type" localSheetId="0" hidden="1">monday_model.lp!$CJA$1782</definedName>
    <definedName name="Variable_own_Mon_00572" localSheetId="0" hidden="1">monday_model.lp!$CJB$2</definedName>
    <definedName name="Variable_own_Mon_00572_Type" localSheetId="0" hidden="1">monday_model.lp!$CJB$1782</definedName>
    <definedName name="Variable_own_Mon_00573" localSheetId="0" hidden="1">monday_model.lp!$CJC$2</definedName>
    <definedName name="Variable_own_Mon_00573_Type" localSheetId="0" hidden="1">monday_model.lp!$CJC$1782</definedName>
    <definedName name="Variable_own_Mon_00574" localSheetId="0" hidden="1">monday_model.lp!$CJD$2</definedName>
    <definedName name="Variable_own_Mon_00574_Type" localSheetId="0" hidden="1">monday_model.lp!$CJD$1782</definedName>
    <definedName name="Variable_own_Mon_00575" localSheetId="0" hidden="1">monday_model.lp!$CJE$2</definedName>
    <definedName name="Variable_own_Mon_00575_Type" localSheetId="0" hidden="1">monday_model.lp!$CJE$1782</definedName>
    <definedName name="Variable_own_Mon_00576" localSheetId="0" hidden="1">monday_model.lp!$CJF$2</definedName>
    <definedName name="Variable_own_Mon_00576_Type" localSheetId="0" hidden="1">monday_model.lp!$CJF$1782</definedName>
    <definedName name="Variable_own_Mon_00577" localSheetId="0" hidden="1">monday_model.lp!$CJG$2</definedName>
    <definedName name="Variable_own_Mon_00577_Type" localSheetId="0" hidden="1">monday_model.lp!$CJG$1782</definedName>
    <definedName name="Variable_own_Mon_00578" localSheetId="0" hidden="1">monday_model.lp!$CJH$2</definedName>
    <definedName name="Variable_own_Mon_00578_Type" localSheetId="0" hidden="1">monday_model.lp!$CJH$1782</definedName>
    <definedName name="Variable_own_Mon_00579" localSheetId="0" hidden="1">monday_model.lp!$CJI$2</definedName>
    <definedName name="Variable_own_Mon_00579_Type" localSheetId="0" hidden="1">monday_model.lp!$CJI$1782</definedName>
    <definedName name="Variable_own_Mon_00580" localSheetId="0" hidden="1">monday_model.lp!$CJJ$2</definedName>
    <definedName name="Variable_own_Mon_00580_Type" localSheetId="0" hidden="1">monday_model.lp!$CJJ$1782</definedName>
    <definedName name="Variable_own_Mon_00581" localSheetId="0" hidden="1">monday_model.lp!$CJK$2</definedName>
    <definedName name="Variable_own_Mon_00581_Type" localSheetId="0" hidden="1">monday_model.lp!$CJK$1782</definedName>
    <definedName name="Variable_own_Mon_00582" localSheetId="0" hidden="1">monday_model.lp!$CJL$2</definedName>
    <definedName name="Variable_own_Mon_00582_Type" localSheetId="0" hidden="1">monday_model.lp!$CJL$1782</definedName>
    <definedName name="Variable_own_Mon_00583" localSheetId="0" hidden="1">monday_model.lp!$CJM$2</definedName>
    <definedName name="Variable_own_Mon_00583_Type" localSheetId="0" hidden="1">monday_model.lp!$CJM$1782</definedName>
    <definedName name="Variable_own_Mon_00584" localSheetId="0" hidden="1">monday_model.lp!$CJN$2</definedName>
    <definedName name="Variable_own_Mon_00584_Type" localSheetId="0" hidden="1">monday_model.lp!$CJN$1782</definedName>
    <definedName name="Variable_own_Mon_00585" localSheetId="0" hidden="1">monday_model.lp!$CJO$2</definedName>
    <definedName name="Variable_own_Mon_00585_Type" localSheetId="0" hidden="1">monday_model.lp!$CJO$1782</definedName>
    <definedName name="Variable_own_Mon_00586" localSheetId="0" hidden="1">monday_model.lp!$CJP$2</definedName>
    <definedName name="Variable_own_Mon_00586_Type" localSheetId="0" hidden="1">monday_model.lp!$CJP$1782</definedName>
    <definedName name="Variable_own_Mon_00587" localSheetId="0" hidden="1">monday_model.lp!$CJQ$2</definedName>
    <definedName name="Variable_own_Mon_00587_Type" localSheetId="0" hidden="1">monday_model.lp!$CJQ$1782</definedName>
    <definedName name="Variable_own_Mon_00588" localSheetId="0" hidden="1">monday_model.lp!$CJR$2</definedName>
    <definedName name="Variable_own_Mon_00588_Type" localSheetId="0" hidden="1">monday_model.lp!$CJR$1782</definedName>
    <definedName name="Variable_own_Mon_00589" localSheetId="0" hidden="1">monday_model.lp!$CJS$2</definedName>
    <definedName name="Variable_own_Mon_00589_Type" localSheetId="0" hidden="1">monday_model.lp!$CJS$1782</definedName>
    <definedName name="Variable_own_Mon_00590" localSheetId="0" hidden="1">monday_model.lp!$CJT$2</definedName>
    <definedName name="Variable_own_Mon_00590_Type" localSheetId="0" hidden="1">monday_model.lp!$CJT$1782</definedName>
    <definedName name="Variable_own_Mon_00591" localSheetId="0" hidden="1">monday_model.lp!$CJU$2</definedName>
    <definedName name="Variable_own_Mon_00591_Type" localSheetId="0" hidden="1">monday_model.lp!$CJU$1782</definedName>
    <definedName name="Variable_own_Mon_00592" localSheetId="0" hidden="1">monday_model.lp!$CJV$2</definedName>
    <definedName name="Variable_own_Mon_00592_Type" localSheetId="0" hidden="1">monday_model.lp!$CJV$1782</definedName>
    <definedName name="Variable_own_Mon_00593" localSheetId="0" hidden="1">monday_model.lp!$CJW$2</definedName>
    <definedName name="Variable_own_Mon_00593_Type" localSheetId="0" hidden="1">monday_model.lp!$CJW$1782</definedName>
    <definedName name="Variable_own_Mon_00594" localSheetId="0" hidden="1">monday_model.lp!$CJX$2</definedName>
    <definedName name="Variable_own_Mon_00594_Type" localSheetId="0" hidden="1">monday_model.lp!$CJX$1782</definedName>
    <definedName name="Variable_own_Mon_00595" localSheetId="0" hidden="1">monday_model.lp!$CJY$2</definedName>
    <definedName name="Variable_own_Mon_00595_Type" localSheetId="0" hidden="1">monday_model.lp!$CJY$1782</definedName>
    <definedName name="Variable_own_Mon_00596" localSheetId="0" hidden="1">monday_model.lp!$CJZ$2</definedName>
    <definedName name="Variable_own_Mon_00596_Type" localSheetId="0" hidden="1">monday_model.lp!$CJZ$1782</definedName>
    <definedName name="Variable_own_Mon_00597" localSheetId="0" hidden="1">monday_model.lp!$CKA$2</definedName>
    <definedName name="Variable_own_Mon_00597_Type" localSheetId="0" hidden="1">monday_model.lp!$CKA$1782</definedName>
    <definedName name="Variable_own_Mon_00598" localSheetId="0" hidden="1">monday_model.lp!$CKB$2</definedName>
    <definedName name="Variable_own_Mon_00598_Type" localSheetId="0" hidden="1">monday_model.lp!$CKB$1782</definedName>
    <definedName name="Variable_own_Mon_00599" localSheetId="0" hidden="1">monday_model.lp!$CKC$2</definedName>
    <definedName name="Variable_own_Mon_00599_Type" localSheetId="0" hidden="1">monday_model.lp!$CKC$1782</definedName>
    <definedName name="Variable_own_Mon_00600" localSheetId="0" hidden="1">monday_model.lp!$CKD$2</definedName>
    <definedName name="Variable_own_Mon_00600_Type" localSheetId="0" hidden="1">monday_model.lp!$CKD$1782</definedName>
    <definedName name="Variable_own_Mon_00601" localSheetId="0" hidden="1">monday_model.lp!$CKE$2</definedName>
    <definedName name="Variable_own_Mon_00601_Type" localSheetId="0" hidden="1">monday_model.lp!$CKE$1782</definedName>
    <definedName name="Variable_own_Mon_00602" localSheetId="0" hidden="1">monday_model.lp!$CKF$2</definedName>
    <definedName name="Variable_own_Mon_00602_Type" localSheetId="0" hidden="1">monday_model.lp!$CKF$1782</definedName>
    <definedName name="Variable_own_Mon_00603" localSheetId="0" hidden="1">monday_model.lp!$CKG$2</definedName>
    <definedName name="Variable_own_Mon_00603_Type" localSheetId="0" hidden="1">monday_model.lp!$CKG$1782</definedName>
    <definedName name="Variable_own_Mon_00604" localSheetId="0" hidden="1">monday_model.lp!$CKH$2</definedName>
    <definedName name="Variable_own_Mon_00604_Type" localSheetId="0" hidden="1">monday_model.lp!$CKH$1782</definedName>
    <definedName name="Variable_own_Mon_00605" localSheetId="0" hidden="1">monday_model.lp!$CKI$2</definedName>
    <definedName name="Variable_own_Mon_00605_Type" localSheetId="0" hidden="1">monday_model.lp!$CKI$1782</definedName>
    <definedName name="Variable_own_Mon_00606" localSheetId="0" hidden="1">monday_model.lp!$CKJ$2</definedName>
    <definedName name="Variable_own_Mon_00606_Type" localSheetId="0" hidden="1">monday_model.lp!$CKJ$1782</definedName>
    <definedName name="Variable_own_Mon_00607" localSheetId="0" hidden="1">monday_model.lp!$CKK$2</definedName>
    <definedName name="Variable_own_Mon_00607_Type" localSheetId="0" hidden="1">monday_model.lp!$CKK$1782</definedName>
    <definedName name="Variable_own_Mon_00608" localSheetId="0" hidden="1">monday_model.lp!$CKL$2</definedName>
    <definedName name="Variable_own_Mon_00608_Type" localSheetId="0" hidden="1">monday_model.lp!$CKL$1782</definedName>
    <definedName name="Variable_own_Mon_00609" localSheetId="0" hidden="1">monday_model.lp!$CKM$2</definedName>
    <definedName name="Variable_own_Mon_00609_Type" localSheetId="0" hidden="1">monday_model.lp!$CKM$1782</definedName>
    <definedName name="Variable_own_Mon_00610" localSheetId="0" hidden="1">monday_model.lp!$CKN$2</definedName>
    <definedName name="Variable_own_Mon_00610_Type" localSheetId="0" hidden="1">monday_model.lp!$CKN$1782</definedName>
    <definedName name="Variable_own_Mon_00611" localSheetId="0" hidden="1">monday_model.lp!$CKO$2</definedName>
    <definedName name="Variable_own_Mon_00611_Type" localSheetId="0" hidden="1">monday_model.lp!$CKO$1782</definedName>
    <definedName name="Variable_own_Mon_00612" localSheetId="0" hidden="1">monday_model.lp!$CKP$2</definedName>
    <definedName name="Variable_own_Mon_00612_Type" localSheetId="0" hidden="1">monday_model.lp!$CKP$1782</definedName>
    <definedName name="Variable_own_Mon_00613" localSheetId="0" hidden="1">monday_model.lp!$CKQ$2</definedName>
    <definedName name="Variable_own_Mon_00613_Type" localSheetId="0" hidden="1">monday_model.lp!$CKQ$1782</definedName>
    <definedName name="Variable_own_Mon_00614" localSheetId="0" hidden="1">monday_model.lp!$CKR$2</definedName>
    <definedName name="Variable_own_Mon_00614_Type" localSheetId="0" hidden="1">monday_model.lp!$CKR$1782</definedName>
    <definedName name="Variable_own_Mon_00615" localSheetId="0" hidden="1">monday_model.lp!$CKS$2</definedName>
    <definedName name="Variable_own_Mon_00615_Type" localSheetId="0" hidden="1">monday_model.lp!$CKS$1782</definedName>
    <definedName name="Variable_own_Mon_00616" localSheetId="0" hidden="1">monday_model.lp!$CKT$2</definedName>
    <definedName name="Variable_own_Mon_00616_Type" localSheetId="0" hidden="1">monday_model.lp!$CKT$1782</definedName>
    <definedName name="Variable_own_Mon_00617" localSheetId="0" hidden="1">monday_model.lp!$CKU$2</definedName>
    <definedName name="Variable_own_Mon_00617_Type" localSheetId="0" hidden="1">monday_model.lp!$CKU$1782</definedName>
    <definedName name="Variable_own_Mon_00618" localSheetId="0" hidden="1">monday_model.lp!$CKV$2</definedName>
    <definedName name="Variable_own_Mon_00618_Type" localSheetId="0" hidden="1">monday_model.lp!$CKV$1782</definedName>
    <definedName name="Variable_own_Mon_00619" localSheetId="0" hidden="1">monday_model.lp!$CKW$2</definedName>
    <definedName name="Variable_own_Mon_00619_Type" localSheetId="0" hidden="1">monday_model.lp!$CKW$1782</definedName>
    <definedName name="Variable_own_Mon_00620" localSheetId="0" hidden="1">monday_model.lp!$CKX$2</definedName>
    <definedName name="Variable_own_Mon_00620_Type" localSheetId="0" hidden="1">monday_model.lp!$CKX$1782</definedName>
    <definedName name="Variable_own_Mon_00621" localSheetId="0" hidden="1">monday_model.lp!$CKY$2</definedName>
    <definedName name="Variable_own_Mon_00621_Type" localSheetId="0" hidden="1">monday_model.lp!$CKY$1782</definedName>
    <definedName name="Variable_own_Mon_00622" localSheetId="0" hidden="1">monday_model.lp!$CKZ$2</definedName>
    <definedName name="Variable_own_Mon_00622_Type" localSheetId="0" hidden="1">monday_model.lp!$CKZ$1782</definedName>
    <definedName name="Variable_own_Mon_00623" localSheetId="0" hidden="1">monday_model.lp!$CLA$2</definedName>
    <definedName name="Variable_own_Mon_00623_Type" localSheetId="0" hidden="1">monday_model.lp!$CLA$1782</definedName>
    <definedName name="Variable_own_Mon_00624" localSheetId="0" hidden="1">monday_model.lp!$CLB$2</definedName>
    <definedName name="Variable_own_Mon_00624_Type" localSheetId="0" hidden="1">monday_model.lp!$CLB$1782</definedName>
    <definedName name="Variable_own_Mon_00625" localSheetId="0" hidden="1">monday_model.lp!$CLC$2</definedName>
    <definedName name="Variable_own_Mon_00625_Type" localSheetId="0" hidden="1">monday_model.lp!$CLC$1782</definedName>
    <definedName name="Variable_own_Mon_00626" localSheetId="0" hidden="1">monday_model.lp!$CLD$2</definedName>
    <definedName name="Variable_own_Mon_00626_Type" localSheetId="0" hidden="1">monday_model.lp!$CLD$1782</definedName>
    <definedName name="Variable_own_Mon_00627" localSheetId="0" hidden="1">monday_model.lp!$CLE$2</definedName>
    <definedName name="Variable_own_Mon_00627_Type" localSheetId="0" hidden="1">monday_model.lp!$CLE$1782</definedName>
    <definedName name="Variable_own_Mon_00628" localSheetId="0" hidden="1">monday_model.lp!$CLF$2</definedName>
    <definedName name="Variable_own_Mon_00628_Type" localSheetId="0" hidden="1">monday_model.lp!$CLF$1782</definedName>
    <definedName name="Variable_own_Mon_00629" localSheetId="0" hidden="1">monday_model.lp!$CLG$2</definedName>
    <definedName name="Variable_own_Mon_00629_Type" localSheetId="0" hidden="1">monday_model.lp!$CLG$1782</definedName>
    <definedName name="Variable_own_Mon_00630" localSheetId="0" hidden="1">monday_model.lp!$CLH$2</definedName>
    <definedName name="Variable_own_Mon_00630_Type" localSheetId="0" hidden="1">monday_model.lp!$CLH$1782</definedName>
    <definedName name="Variable_own_Mon_00631" localSheetId="0" hidden="1">monday_model.lp!$CLI$2</definedName>
    <definedName name="Variable_own_Mon_00631_Type" localSheetId="0" hidden="1">monday_model.lp!$CLI$1782</definedName>
    <definedName name="Variable_own_Mon_00632" localSheetId="0" hidden="1">monday_model.lp!$CLJ$2</definedName>
    <definedName name="Variable_own_Mon_00632_Type" localSheetId="0" hidden="1">monday_model.lp!$CLJ$1782</definedName>
    <definedName name="Variable_own_Mon_00633" localSheetId="0" hidden="1">monday_model.lp!$CLK$2</definedName>
    <definedName name="Variable_own_Mon_00633_Type" localSheetId="0" hidden="1">monday_model.lp!$CLK$1782</definedName>
    <definedName name="Variable_own_Mon_00634" localSheetId="0" hidden="1">monday_model.lp!$CLL$2</definedName>
    <definedName name="Variable_own_Mon_00634_Type" localSheetId="0" hidden="1">monday_model.lp!$CLL$1782</definedName>
    <definedName name="Variable_own_Mon_00635" localSheetId="0" hidden="1">monday_model.lp!$CLM$2</definedName>
    <definedName name="Variable_own_Mon_00635_Type" localSheetId="0" hidden="1">monday_model.lp!$CLM$1782</definedName>
    <definedName name="Variable_own_Mon_00636" localSheetId="0" hidden="1">monday_model.lp!$CLN$2</definedName>
    <definedName name="Variable_own_Mon_00636_Type" localSheetId="0" hidden="1">monday_model.lp!$CLN$1782</definedName>
    <definedName name="Variable_own_Mon_00637" localSheetId="0" hidden="1">monday_model.lp!$CLO$2</definedName>
    <definedName name="Variable_own_Mon_00637_Type" localSheetId="0" hidden="1">monday_model.lp!$CLO$1782</definedName>
    <definedName name="Variable_own_Mon_00638" localSheetId="0" hidden="1">monday_model.lp!$CLP$2</definedName>
    <definedName name="Variable_own_Mon_00638_Type" localSheetId="0" hidden="1">monday_model.lp!$CLP$1782</definedName>
    <definedName name="Variable_own_Mon_00639" localSheetId="0" hidden="1">monday_model.lp!$CLQ$2</definedName>
    <definedName name="Variable_own_Mon_00639_Type" localSheetId="0" hidden="1">monday_model.lp!$CLQ$1782</definedName>
    <definedName name="Variable_own_Mon_00640" localSheetId="0" hidden="1">monday_model.lp!$CLR$2</definedName>
    <definedName name="Variable_own_Mon_00640_Type" localSheetId="0" hidden="1">monday_model.lp!$CLR$1782</definedName>
    <definedName name="Variable_own_Mon_00641" localSheetId="0" hidden="1">monday_model.lp!$CLS$2</definedName>
    <definedName name="Variable_own_Mon_00641_Type" localSheetId="0" hidden="1">monday_model.lp!$CLS$1782</definedName>
    <definedName name="Variable_own_Mon_00642" localSheetId="0" hidden="1">monday_model.lp!$CLT$2</definedName>
    <definedName name="Variable_own_Mon_00642_Type" localSheetId="0" hidden="1">monday_model.lp!$CLT$1782</definedName>
    <definedName name="Variable_own_Mon_00643" localSheetId="0" hidden="1">monday_model.lp!$CLU$2</definedName>
    <definedName name="Variable_own_Mon_00643_Type" localSheetId="0" hidden="1">monday_model.lp!$CLU$1782</definedName>
    <definedName name="Variable_own_Mon_00644" localSheetId="0" hidden="1">monday_model.lp!$CLV$2</definedName>
    <definedName name="Variable_own_Mon_00644_Type" localSheetId="0" hidden="1">monday_model.lp!$CLV$1782</definedName>
    <definedName name="Variable_own_Mon_00645" localSheetId="0" hidden="1">monday_model.lp!$CLW$2</definedName>
    <definedName name="Variable_own_Mon_00645_Type" localSheetId="0" hidden="1">monday_model.lp!$CLW$1782</definedName>
    <definedName name="Variable_own_Mon_00646" localSheetId="0" hidden="1">monday_model.lp!$CLX$2</definedName>
    <definedName name="Variable_own_Mon_00646_Type" localSheetId="0" hidden="1">monday_model.lp!$CLX$1782</definedName>
    <definedName name="Variable_own_Mon_00647" localSheetId="0" hidden="1">monday_model.lp!$CLY$2</definedName>
    <definedName name="Variable_own_Mon_00647_Type" localSheetId="0" hidden="1">monday_model.lp!$CLY$1782</definedName>
    <definedName name="Variable_own_Mon_00648" localSheetId="0" hidden="1">monday_model.lp!$CLZ$2</definedName>
    <definedName name="Variable_own_Mon_00648_Type" localSheetId="0" hidden="1">monday_model.lp!$CLZ$1782</definedName>
    <definedName name="Variable_own_Mon_00649" localSheetId="0" hidden="1">monday_model.lp!$CMA$2</definedName>
    <definedName name="Variable_own_Mon_00649_Type" localSheetId="0" hidden="1">monday_model.lp!$CMA$1782</definedName>
    <definedName name="Variable_own_Mon_00650" localSheetId="0" hidden="1">monday_model.lp!$CMB$2</definedName>
    <definedName name="Variable_own_Mon_00650_Type" localSheetId="0" hidden="1">monday_model.lp!$CMB$1782</definedName>
    <definedName name="Variable_own_Mon_00651" localSheetId="0" hidden="1">monday_model.lp!$CMC$2</definedName>
    <definedName name="Variable_own_Mon_00651_Type" localSheetId="0" hidden="1">monday_model.lp!$CMC$1782</definedName>
    <definedName name="Variable_own_Mon_00652" localSheetId="0" hidden="1">monday_model.lp!$CMD$2</definedName>
    <definedName name="Variable_own_Mon_00652_Type" localSheetId="0" hidden="1">monday_model.lp!$CMD$1782</definedName>
    <definedName name="Variable_own_Mon_00653" localSheetId="0" hidden="1">monday_model.lp!$CME$2</definedName>
    <definedName name="Variable_own_Mon_00653_Type" localSheetId="0" hidden="1">monday_model.lp!$CME$1782</definedName>
    <definedName name="Variable_own_Mon_00654" localSheetId="0" hidden="1">monday_model.lp!$CMF$2</definedName>
    <definedName name="Variable_own_Mon_00654_Type" localSheetId="0" hidden="1">monday_model.lp!$CMF$1782</definedName>
    <definedName name="Variable_own_Mon_00655" localSheetId="0" hidden="1">monday_model.lp!$CMG$2</definedName>
    <definedName name="Variable_own_Mon_00655_Type" localSheetId="0" hidden="1">monday_model.lp!$CMG$1782</definedName>
    <definedName name="Variable_own_Mon_00656" localSheetId="0" hidden="1">monday_model.lp!$CMH$2</definedName>
    <definedName name="Variable_own_Mon_00656_Type" localSheetId="0" hidden="1">monday_model.lp!$CMH$1782</definedName>
    <definedName name="Variable_own_Mon_00657" localSheetId="0" hidden="1">monday_model.lp!$CMI$2</definedName>
    <definedName name="Variable_own_Mon_00657_Type" localSheetId="0" hidden="1">monday_model.lp!$CMI$1782</definedName>
    <definedName name="Variable_own_Mon_00658" localSheetId="0" hidden="1">monday_model.lp!$CMJ$2</definedName>
    <definedName name="Variable_own_Mon_00658_Type" localSheetId="0" hidden="1">monday_model.lp!$CMJ$1782</definedName>
    <definedName name="Variable_own_Mon_00659" localSheetId="0" hidden="1">monday_model.lp!$CMK$2</definedName>
    <definedName name="Variable_own_Mon_00659_Type" localSheetId="0" hidden="1">monday_model.lp!$CMK$1782</definedName>
    <definedName name="Variable_own_Mon_00660" localSheetId="0" hidden="1">monday_model.lp!$CML$2</definedName>
    <definedName name="Variable_own_Mon_00660_Type" localSheetId="0" hidden="1">monday_model.lp!$CML$1782</definedName>
    <definedName name="Variable_own_Mon_00661" localSheetId="0" hidden="1">monday_model.lp!$CMM$2</definedName>
    <definedName name="Variable_own_Mon_00661_Type" localSheetId="0" hidden="1">monday_model.lp!$CMM$1782</definedName>
    <definedName name="Variable_own_Mon_00662" localSheetId="0" hidden="1">monday_model.lp!$CMN$2</definedName>
    <definedName name="Variable_own_Mon_00662_Type" localSheetId="0" hidden="1">monday_model.lp!$CMN$1782</definedName>
    <definedName name="Variable_own_Mon_00663" localSheetId="0" hidden="1">monday_model.lp!$CMO$2</definedName>
    <definedName name="Variable_own_Mon_00663_Type" localSheetId="0" hidden="1">monday_model.lp!$CMO$1782</definedName>
    <definedName name="Variable_own_Mon_00664" localSheetId="0" hidden="1">monday_model.lp!$CMP$2</definedName>
    <definedName name="Variable_own_Mon_00664_Type" localSheetId="0" hidden="1">monday_model.lp!$CMP$1782</definedName>
    <definedName name="Variable_own_Mon_00665" localSheetId="0" hidden="1">monday_model.lp!$CMQ$2</definedName>
    <definedName name="Variable_own_Mon_00665_Type" localSheetId="0" hidden="1">monday_model.lp!$CMQ$1782</definedName>
    <definedName name="Variable_own_Mon_00666" localSheetId="0" hidden="1">monday_model.lp!$CMR$2</definedName>
    <definedName name="Variable_own_Mon_00666_Type" localSheetId="0" hidden="1">monday_model.lp!$CMR$1782</definedName>
    <definedName name="Variable_own_Mon_00667" localSheetId="0" hidden="1">monday_model.lp!$CMS$2</definedName>
    <definedName name="Variable_own_Mon_00667_Type" localSheetId="0" hidden="1">monday_model.lp!$CMS$1782</definedName>
    <definedName name="Variable_own_Mon_00668" localSheetId="0" hidden="1">monday_model.lp!$CMT$2</definedName>
    <definedName name="Variable_own_Mon_00668_Type" localSheetId="0" hidden="1">monday_model.lp!$CMT$1782</definedName>
    <definedName name="Variable_own_Mon_00669" localSheetId="0" hidden="1">monday_model.lp!$CMU$2</definedName>
    <definedName name="Variable_own_Mon_00669_Type" localSheetId="0" hidden="1">monday_model.lp!$CMU$1782</definedName>
    <definedName name="Variable_own_Mon_00670" localSheetId="0" hidden="1">monday_model.lp!$CMV$2</definedName>
    <definedName name="Variable_own_Mon_00670_Type" localSheetId="0" hidden="1">monday_model.lp!$CMV$1782</definedName>
    <definedName name="Variable_own_Mon_00671" localSheetId="0" hidden="1">monday_model.lp!$CMW$2</definedName>
    <definedName name="Variable_own_Mon_00671_Type" localSheetId="0" hidden="1">monday_model.lp!$CMW$1782</definedName>
    <definedName name="Variable_own_Mon_00672" localSheetId="0" hidden="1">monday_model.lp!$CMX$2</definedName>
    <definedName name="Variable_own_Mon_00672_Type" localSheetId="0" hidden="1">monday_model.lp!$CMX$1782</definedName>
    <definedName name="Variable_own_Mon_00673" localSheetId="0" hidden="1">monday_model.lp!$CMY$2</definedName>
    <definedName name="Variable_own_Mon_00673_Type" localSheetId="0" hidden="1">monday_model.lp!$CMY$1782</definedName>
    <definedName name="Variable_own_Mon_00674" localSheetId="0" hidden="1">monday_model.lp!$CMZ$2</definedName>
    <definedName name="Variable_own_Mon_00674_Type" localSheetId="0" hidden="1">monday_model.lp!$CMZ$1782</definedName>
    <definedName name="Variable_own_Mon_00675" localSheetId="0" hidden="1">monday_model.lp!$CNA$2</definedName>
    <definedName name="Variable_own_Mon_00675_Type" localSheetId="0" hidden="1">monday_model.lp!$CNA$1782</definedName>
    <definedName name="Variable_own_Mon_00676" localSheetId="0" hidden="1">monday_model.lp!$CNB$2</definedName>
    <definedName name="Variable_own_Mon_00676_Type" localSheetId="0" hidden="1">monday_model.lp!$CNB$1782</definedName>
    <definedName name="Variable_own_Mon_00677" localSheetId="0" hidden="1">monday_model.lp!$CNC$2</definedName>
    <definedName name="Variable_own_Mon_00677_Type" localSheetId="0" hidden="1">monday_model.lp!$CNC$1782</definedName>
    <definedName name="Variable_own_Mon_00678" localSheetId="0" hidden="1">monday_model.lp!$CND$2</definedName>
    <definedName name="Variable_own_Mon_00678_Type" localSheetId="0" hidden="1">monday_model.lp!$CND$1782</definedName>
    <definedName name="Variable_own_Mon_00679" localSheetId="0" hidden="1">monday_model.lp!$CNE$2</definedName>
    <definedName name="Variable_own_Mon_00679_Type" localSheetId="0" hidden="1">monday_model.lp!$CNE$1782</definedName>
    <definedName name="Variable_own_Mon_00680" localSheetId="0" hidden="1">monday_model.lp!$CNF$2</definedName>
    <definedName name="Variable_own_Mon_00680_Type" localSheetId="0" hidden="1">monday_model.lp!$CNF$1782</definedName>
    <definedName name="Variable_own_Mon_00681" localSheetId="0" hidden="1">monday_model.lp!$CNG$2</definedName>
    <definedName name="Variable_own_Mon_00681_Type" localSheetId="0" hidden="1">monday_model.lp!$CNG$1782</definedName>
    <definedName name="Variable_own_Mon_00682" localSheetId="0" hidden="1">monday_model.lp!$CNH$2</definedName>
    <definedName name="Variable_own_Mon_00682_Type" localSheetId="0" hidden="1">monday_model.lp!$CNH$1782</definedName>
    <definedName name="Variable_own_Mon_00683" localSheetId="0" hidden="1">monday_model.lp!$CNI$2</definedName>
    <definedName name="Variable_own_Mon_00683_Type" localSheetId="0" hidden="1">monday_model.lp!$CNI$1782</definedName>
    <definedName name="Variable_own_Mon_00684" localSheetId="0" hidden="1">monday_model.lp!$CNJ$2</definedName>
    <definedName name="Variable_own_Mon_00684_Type" localSheetId="0" hidden="1">monday_model.lp!$CNJ$1782</definedName>
    <definedName name="Variable_own_Mon_00685" localSheetId="0" hidden="1">monday_model.lp!$CNK$2</definedName>
    <definedName name="Variable_own_Mon_00685_Type" localSheetId="0" hidden="1">monday_model.lp!$CNK$1782</definedName>
    <definedName name="Variable_own_Mon_00686" localSheetId="0" hidden="1">monday_model.lp!$CNL$2</definedName>
    <definedName name="Variable_own_Mon_00686_Type" localSheetId="0" hidden="1">monday_model.lp!$CNL$1782</definedName>
    <definedName name="Variable_own_Mon_00687" localSheetId="0" hidden="1">monday_model.lp!$CNM$2</definedName>
    <definedName name="Variable_own_Mon_00687_Type" localSheetId="0" hidden="1">monday_model.lp!$CNM$1782</definedName>
    <definedName name="Variable_own_Mon_00688" localSheetId="0" hidden="1">monday_model.lp!$CNN$2</definedName>
    <definedName name="Variable_own_Mon_00688_Type" localSheetId="0" hidden="1">monday_model.lp!$CNN$1782</definedName>
    <definedName name="Variable_own_Mon_00689" localSheetId="0" hidden="1">monday_model.lp!$CNO$2</definedName>
    <definedName name="Variable_own_Mon_00689_Type" localSheetId="0" hidden="1">monday_model.lp!$CNO$1782</definedName>
    <definedName name="Variable_own_Mon_00690" localSheetId="0" hidden="1">monday_model.lp!$CNP$2</definedName>
    <definedName name="Variable_own_Mon_00690_Type" localSheetId="0" hidden="1">monday_model.lp!$CNP$1782</definedName>
    <definedName name="Variable_own_Mon_00691" localSheetId="0" hidden="1">monday_model.lp!$CNQ$2</definedName>
    <definedName name="Variable_own_Mon_00691_Type" localSheetId="0" hidden="1">monday_model.lp!$CNQ$1782</definedName>
    <definedName name="Variable_own_Mon_00692" localSheetId="0" hidden="1">monday_model.lp!$CNR$2</definedName>
    <definedName name="Variable_own_Mon_00692_Type" localSheetId="0" hidden="1">monday_model.lp!$CNR$1782</definedName>
    <definedName name="Variable_own_Mon_00693" localSheetId="0" hidden="1">monday_model.lp!$CNS$2</definedName>
    <definedName name="Variable_own_Mon_00693_Type" localSheetId="0" hidden="1">monday_model.lp!$CNS$1782</definedName>
    <definedName name="Variable_own_Mon_00694" localSheetId="0" hidden="1">monday_model.lp!$CNT$2</definedName>
    <definedName name="Variable_own_Mon_00694_Type" localSheetId="0" hidden="1">monday_model.lp!$CNT$1782</definedName>
    <definedName name="Variable_own_Mon_00695" localSheetId="0" hidden="1">monday_model.lp!$CNU$2</definedName>
    <definedName name="Variable_own_Mon_00695_Type" localSheetId="0" hidden="1">monday_model.lp!$CNU$1782</definedName>
    <definedName name="Variable_own_Mon_00696" localSheetId="0" hidden="1">monday_model.lp!$CNV$2</definedName>
    <definedName name="Variable_own_Mon_00696_Type" localSheetId="0" hidden="1">monday_model.lp!$CNV$1782</definedName>
    <definedName name="Variable_own_Mon_00697" localSheetId="0" hidden="1">monday_model.lp!$CNW$2</definedName>
    <definedName name="Variable_own_Mon_00697_Type" localSheetId="0" hidden="1">monday_model.lp!$CNW$1782</definedName>
    <definedName name="Variable_own_Mon_00698" localSheetId="0" hidden="1">monday_model.lp!$CNX$2</definedName>
    <definedName name="Variable_own_Mon_00698_Type" localSheetId="0" hidden="1">monday_model.lp!$CNX$1782</definedName>
    <definedName name="Variable_own_Mon_00699" localSheetId="0" hidden="1">monday_model.lp!$CNY$2</definedName>
    <definedName name="Variable_own_Mon_00699_Type" localSheetId="0" hidden="1">monday_model.lp!$CNY$1782</definedName>
    <definedName name="Variable_own_Mon_00700" localSheetId="0" hidden="1">monday_model.lp!$CNZ$2</definedName>
    <definedName name="Variable_own_Mon_00700_Type" localSheetId="0" hidden="1">monday_model.lp!$CNZ$1782</definedName>
    <definedName name="Variable_own_Mon_00701" localSheetId="0" hidden="1">monday_model.lp!$COA$2</definedName>
    <definedName name="Variable_own_Mon_00701_Type" localSheetId="0" hidden="1">monday_model.lp!$COA$1782</definedName>
    <definedName name="Variable_own_Mon_00702" localSheetId="0" hidden="1">monday_model.lp!$COB$2</definedName>
    <definedName name="Variable_own_Mon_00702_Type" localSheetId="0" hidden="1">monday_model.lp!$COB$1782</definedName>
    <definedName name="Variable_own_Mon_00703" localSheetId="0" hidden="1">monday_model.lp!$COC$2</definedName>
    <definedName name="Variable_own_Mon_00703_Type" localSheetId="0" hidden="1">monday_model.lp!$COC$1782</definedName>
    <definedName name="Variable_own_Mon_00704" localSheetId="0" hidden="1">monday_model.lp!$COD$2</definedName>
    <definedName name="Variable_own_Mon_00704_Type" localSheetId="0" hidden="1">monday_model.lp!$COD$1782</definedName>
    <definedName name="Variable_own_Mon_00705" localSheetId="0" hidden="1">monday_model.lp!$COE$2</definedName>
    <definedName name="Variable_own_Mon_00705_Type" localSheetId="0" hidden="1">monday_model.lp!$COE$1782</definedName>
    <definedName name="Variable_own_Mon_00706" localSheetId="0" hidden="1">monday_model.lp!$COF$2</definedName>
    <definedName name="Variable_own_Mon_00706_Type" localSheetId="0" hidden="1">monday_model.lp!$COF$1782</definedName>
    <definedName name="Variable_own_Mon_00707" localSheetId="0" hidden="1">monday_model.lp!$COG$2</definedName>
    <definedName name="Variable_own_Mon_00707_Type" localSheetId="0" hidden="1">monday_model.lp!$COG$1782</definedName>
    <definedName name="Variable_own_Mon_00708" localSheetId="0" hidden="1">monday_model.lp!$COH$2</definedName>
    <definedName name="Variable_own_Mon_00708_Type" localSheetId="0" hidden="1">monday_model.lp!$COH$1782</definedName>
    <definedName name="Variable_own_Mon_00709" localSheetId="0" hidden="1">monday_model.lp!$COI$2</definedName>
    <definedName name="Variable_own_Mon_00709_Type" localSheetId="0" hidden="1">monday_model.lp!$COI$1782</definedName>
    <definedName name="Variable_own_Mon_00710" localSheetId="0" hidden="1">monday_model.lp!$COJ$2</definedName>
    <definedName name="Variable_own_Mon_00710_Type" localSheetId="0" hidden="1">monday_model.lp!$COJ$1782</definedName>
    <definedName name="Variable_own_Mon_00711" localSheetId="0" hidden="1">monday_model.lp!$COK$2</definedName>
    <definedName name="Variable_own_Mon_00711_Type" localSheetId="0" hidden="1">monday_model.lp!$COK$1782</definedName>
    <definedName name="Variable_own_Mon_00712" localSheetId="0" hidden="1">monday_model.lp!$COL$2</definedName>
    <definedName name="Variable_own_Mon_00712_Type" localSheetId="0" hidden="1">monday_model.lp!$COL$1782</definedName>
    <definedName name="Variable_own_Mon_00713" localSheetId="0" hidden="1">monday_model.lp!$COM$2</definedName>
    <definedName name="Variable_own_Mon_00713_Type" localSheetId="0" hidden="1">monday_model.lp!$COM$1782</definedName>
    <definedName name="Variable_own_Mon_00714" localSheetId="0" hidden="1">monday_model.lp!$CON$2</definedName>
    <definedName name="Variable_own_Mon_00714_Type" localSheetId="0" hidden="1">monday_model.lp!$CON$1782</definedName>
    <definedName name="Variable_own_Mon_00715" localSheetId="0" hidden="1">monday_model.lp!$COO$2</definedName>
    <definedName name="Variable_own_Mon_00715_Type" localSheetId="0" hidden="1">monday_model.lp!$COO$1782</definedName>
    <definedName name="Variable_own_Mon_00716" localSheetId="0" hidden="1">monday_model.lp!$COP$2</definedName>
    <definedName name="Variable_own_Mon_00716_Type" localSheetId="0" hidden="1">monday_model.lp!$COP$1782</definedName>
    <definedName name="Variable_own_Mon_00717" localSheetId="0" hidden="1">monday_model.lp!$COQ$2</definedName>
    <definedName name="Variable_own_Mon_00717_Type" localSheetId="0" hidden="1">monday_model.lp!$COQ$1782</definedName>
    <definedName name="Variable_own_Mon_00718" localSheetId="0" hidden="1">monday_model.lp!$COR$2</definedName>
    <definedName name="Variable_own_Mon_00718_Type" localSheetId="0" hidden="1">monday_model.lp!$COR$1782</definedName>
    <definedName name="Variable_own_Mon_00719" localSheetId="0" hidden="1">monday_model.lp!$COS$2</definedName>
    <definedName name="Variable_own_Mon_00719_Type" localSheetId="0" hidden="1">monday_model.lp!$COS$1782</definedName>
    <definedName name="Variable_own_Mon_00720" localSheetId="0" hidden="1">monday_model.lp!$COT$2</definedName>
    <definedName name="Variable_own_Mon_00720_Type" localSheetId="0" hidden="1">monday_model.lp!$COT$1782</definedName>
    <definedName name="Variable_own_Mon_00721" localSheetId="0" hidden="1">monday_model.lp!$COU$2</definedName>
    <definedName name="Variable_own_Mon_00721_Type" localSheetId="0" hidden="1">monday_model.lp!$COU$1782</definedName>
    <definedName name="Variable_own_Mon_00722" localSheetId="0" hidden="1">monday_model.lp!$COV$2</definedName>
    <definedName name="Variable_own_Mon_00722_Type" localSheetId="0" hidden="1">monday_model.lp!$COV$1782</definedName>
    <definedName name="Variable_own_Mon_00723" localSheetId="0" hidden="1">monday_model.lp!$COW$2</definedName>
    <definedName name="Variable_own_Mon_00723_Type" localSheetId="0" hidden="1">monday_model.lp!$COW$1782</definedName>
    <definedName name="Variable_own_Mon_00724" localSheetId="0" hidden="1">monday_model.lp!$COX$2</definedName>
    <definedName name="Variable_own_Mon_00724_Type" localSheetId="0" hidden="1">monday_model.lp!$COX$1782</definedName>
    <definedName name="Variable_own_Mon_00725" localSheetId="0" hidden="1">monday_model.lp!$COY$2</definedName>
    <definedName name="Variable_own_Mon_00725_Type" localSheetId="0" hidden="1">monday_model.lp!$COY$1782</definedName>
    <definedName name="Variable_own_Mon_00726" localSheetId="0" hidden="1">monday_model.lp!$COZ$2</definedName>
    <definedName name="Variable_own_Mon_00726_Type" localSheetId="0" hidden="1">monday_model.lp!$COZ$1782</definedName>
    <definedName name="Variable_own_Mon_00727" localSheetId="0" hidden="1">monday_model.lp!$CPA$2</definedName>
    <definedName name="Variable_own_Mon_00727_Type" localSheetId="0" hidden="1">monday_model.lp!$CPA$1782</definedName>
    <definedName name="Variable_own_Mon_00728" localSheetId="0" hidden="1">monday_model.lp!$CPB$2</definedName>
    <definedName name="Variable_own_Mon_00728_Type" localSheetId="0" hidden="1">monday_model.lp!$CPB$1782</definedName>
    <definedName name="Variable_own_Mon_00729" localSheetId="0" hidden="1">monday_model.lp!$CPC$2</definedName>
    <definedName name="Variable_own_Mon_00729_Type" localSheetId="0" hidden="1">monday_model.lp!$CPC$1782</definedName>
    <definedName name="Variable_own_Mon_00730" localSheetId="0" hidden="1">monday_model.lp!$CPD$2</definedName>
    <definedName name="Variable_own_Mon_00730_Type" localSheetId="0" hidden="1">monday_model.lp!$CPD$1782</definedName>
    <definedName name="Variable_own_Mon_00731" localSheetId="0" hidden="1">monday_model.lp!$CPE$2</definedName>
    <definedName name="Variable_own_Mon_00731_Type" localSheetId="0" hidden="1">monday_model.lp!$CPE$1782</definedName>
    <definedName name="Variable_own_Mon_00732" localSheetId="0" hidden="1">monday_model.lp!$CPF$2</definedName>
    <definedName name="Variable_own_Mon_00732_Type" localSheetId="0" hidden="1">monday_model.lp!$CPF$1782</definedName>
    <definedName name="Variable_own_Mon_00733" localSheetId="0" hidden="1">monday_model.lp!$CPG$2</definedName>
    <definedName name="Variable_own_Mon_00733_Type" localSheetId="0" hidden="1">monday_model.lp!$CPG$1782</definedName>
    <definedName name="Variable_own_Mon_00734" localSheetId="0" hidden="1">monday_model.lp!$CPH$2</definedName>
    <definedName name="Variable_own_Mon_00734_Type" localSheetId="0" hidden="1">monday_model.lp!$CPH$1782</definedName>
    <definedName name="Variable_own_Mon_00735" localSheetId="0" hidden="1">monday_model.lp!$CPI$2</definedName>
    <definedName name="Variable_own_Mon_00735_Type" localSheetId="0" hidden="1">monday_model.lp!$CPI$1782</definedName>
    <definedName name="Variable_own_Mon_00736" localSheetId="0" hidden="1">monday_model.lp!$CPJ$2</definedName>
    <definedName name="Variable_own_Mon_00736_Type" localSheetId="0" hidden="1">monday_model.lp!$CPJ$1782</definedName>
    <definedName name="Variable_own_Mon_00737" localSheetId="0" hidden="1">monday_model.lp!$CPK$2</definedName>
    <definedName name="Variable_own_Mon_00737_Type" localSheetId="0" hidden="1">monday_model.lp!$CPK$1782</definedName>
    <definedName name="Variable_own_Mon_00738" localSheetId="0" hidden="1">monday_model.lp!$CPL$2</definedName>
    <definedName name="Variable_own_Mon_00738_Type" localSheetId="0" hidden="1">monday_model.lp!$CPL$1782</definedName>
    <definedName name="Variable_own_Mon_00739" localSheetId="0" hidden="1">monday_model.lp!$CPM$2</definedName>
    <definedName name="Variable_own_Mon_00739_Type" localSheetId="0" hidden="1">monday_model.lp!$CPM$1782</definedName>
    <definedName name="Variable_own_Mon_00740" localSheetId="0" hidden="1">monday_model.lp!$CPN$2</definedName>
    <definedName name="Variable_own_Mon_00740_Type" localSheetId="0" hidden="1">monday_model.lp!$CPN$1782</definedName>
    <definedName name="Variable_own_Mon_00741" localSheetId="0" hidden="1">monday_model.lp!$CPO$2</definedName>
    <definedName name="Variable_own_Mon_00741_Type" localSheetId="0" hidden="1">monday_model.lp!$CPO$1782</definedName>
    <definedName name="Variable_own_Mon_00742" localSheetId="0" hidden="1">monday_model.lp!$CPP$2</definedName>
    <definedName name="Variable_own_Mon_00742_Type" localSheetId="0" hidden="1">monday_model.lp!$CPP$1782</definedName>
    <definedName name="Variable_own_Mon_00743" localSheetId="0" hidden="1">monday_model.lp!$CPQ$2</definedName>
    <definedName name="Variable_own_Mon_00743_Type" localSheetId="0" hidden="1">monday_model.lp!$CPQ$1782</definedName>
    <definedName name="Variable_own_Mon_00744" localSheetId="0" hidden="1">monday_model.lp!$CPR$2</definedName>
    <definedName name="Variable_own_Mon_00744_Type" localSheetId="0" hidden="1">monday_model.lp!$CPR$1782</definedName>
    <definedName name="Variable_own_Mon_00745" localSheetId="0" hidden="1">monday_model.lp!$CPS$2</definedName>
    <definedName name="Variable_own_Mon_00745_Type" localSheetId="0" hidden="1">monday_model.lp!$CPS$1782</definedName>
    <definedName name="Variable_own_Mon_00746" localSheetId="0" hidden="1">monday_model.lp!$CPT$2</definedName>
    <definedName name="Variable_own_Mon_00746_Type" localSheetId="0" hidden="1">monday_model.lp!$CPT$1782</definedName>
    <definedName name="Variable_own_Mon_00747" localSheetId="0" hidden="1">monday_model.lp!$CPU$2</definedName>
    <definedName name="Variable_own_Mon_00747_Type" localSheetId="0" hidden="1">monday_model.lp!$CPU$1782</definedName>
    <definedName name="Variable_own_Mon_00748" localSheetId="0" hidden="1">monday_model.lp!$CPV$2</definedName>
    <definedName name="Variable_own_Mon_00748_Type" localSheetId="0" hidden="1">monday_model.lp!$CPV$1782</definedName>
    <definedName name="Variable_own_Mon_00749" localSheetId="0" hidden="1">monday_model.lp!$CPW$2</definedName>
    <definedName name="Variable_own_Mon_00749_Type" localSheetId="0" hidden="1">monday_model.lp!$CPW$1782</definedName>
    <definedName name="Variable_own_Mon_00750" localSheetId="0" hidden="1">monday_model.lp!$CPX$2</definedName>
    <definedName name="Variable_own_Mon_00750_Type" localSheetId="0" hidden="1">monday_model.lp!$CPX$1782</definedName>
    <definedName name="Variable_own_Mon_00751" localSheetId="0" hidden="1">monday_model.lp!$CPY$2</definedName>
    <definedName name="Variable_own_Mon_00751_Type" localSheetId="0" hidden="1">monday_model.lp!$CPY$1782</definedName>
    <definedName name="Variable_own_Mon_00752" localSheetId="0" hidden="1">monday_model.lp!$CPZ$2</definedName>
    <definedName name="Variable_own_Mon_00752_Type" localSheetId="0" hidden="1">monday_model.lp!$CPZ$1782</definedName>
    <definedName name="Variable_own_Mon_00753" localSheetId="0" hidden="1">monday_model.lp!$CQA$2</definedName>
    <definedName name="Variable_own_Mon_00753_Type" localSheetId="0" hidden="1">monday_model.lp!$CQA$1782</definedName>
    <definedName name="Variable_own_Mon_00754" localSheetId="0" hidden="1">monday_model.lp!$CQB$2</definedName>
    <definedName name="Variable_own_Mon_00754_Type" localSheetId="0" hidden="1">monday_model.lp!$CQB$1782</definedName>
    <definedName name="Variable_own_Mon_00755" localSheetId="0" hidden="1">monday_model.lp!$CQC$2</definedName>
    <definedName name="Variable_own_Mon_00755_Type" localSheetId="0" hidden="1">monday_model.lp!$CQC$1782</definedName>
    <definedName name="Variable_own_Mon_00756" localSheetId="0" hidden="1">monday_model.lp!$CQD$2</definedName>
    <definedName name="Variable_own_Mon_00756_Type" localSheetId="0" hidden="1">monday_model.lp!$CQD$1782</definedName>
    <definedName name="Variable_own_Mon_00757" localSheetId="0" hidden="1">monday_model.lp!$CQE$2</definedName>
    <definedName name="Variable_own_Mon_00757_Type" localSheetId="0" hidden="1">monday_model.lp!$CQE$1782</definedName>
    <definedName name="Variable_own_Mon_00758" localSheetId="0" hidden="1">monday_model.lp!$CQF$2</definedName>
    <definedName name="Variable_own_Mon_00758_Type" localSheetId="0" hidden="1">monday_model.lp!$CQF$1782</definedName>
    <definedName name="Variable_own_Mon_00759" localSheetId="0" hidden="1">monday_model.lp!$CQG$2</definedName>
    <definedName name="Variable_own_Mon_00759_Type" localSheetId="0" hidden="1">monday_model.lp!$CQG$1782</definedName>
    <definedName name="Variable_own_Mon_00760" localSheetId="0" hidden="1">monday_model.lp!$CQH$2</definedName>
    <definedName name="Variable_own_Mon_00760_Type" localSheetId="0" hidden="1">monday_model.lp!$CQH$1782</definedName>
    <definedName name="Variable_own_Mon_00761" localSheetId="0" hidden="1">monday_model.lp!$CQI$2</definedName>
    <definedName name="Variable_own_Mon_00761_Type" localSheetId="0" hidden="1">monday_model.lp!$CQI$1782</definedName>
    <definedName name="Variable_own_Mon_00762" localSheetId="0" hidden="1">monday_model.lp!$CQJ$2</definedName>
    <definedName name="Variable_own_Mon_00762_Type" localSheetId="0" hidden="1">monday_model.lp!$CQJ$1782</definedName>
    <definedName name="Variable_own_Mon_00763" localSheetId="0" hidden="1">monday_model.lp!$CQK$2</definedName>
    <definedName name="Variable_own_Mon_00763_Type" localSheetId="0" hidden="1">monday_model.lp!$CQK$1782</definedName>
    <definedName name="Variable_own_Mon_00764" localSheetId="0" hidden="1">monday_model.lp!$CQL$2</definedName>
    <definedName name="Variable_own_Mon_00764_Type" localSheetId="0" hidden="1">monday_model.lp!$CQL$1782</definedName>
    <definedName name="Variable_own_Mon_00765" localSheetId="0" hidden="1">monday_model.lp!$CQM$2</definedName>
    <definedName name="Variable_own_Mon_00765_Type" localSheetId="0" hidden="1">monday_model.lp!$CQM$1782</definedName>
    <definedName name="Variable_own_Mon_00766" localSheetId="0" hidden="1">monday_model.lp!$CQN$2</definedName>
    <definedName name="Variable_own_Mon_00766_Type" localSheetId="0" hidden="1">monday_model.lp!$CQN$1782</definedName>
    <definedName name="Variable_own_Mon_00767" localSheetId="0" hidden="1">monday_model.lp!$CQO$2</definedName>
    <definedName name="Variable_own_Mon_00767_Type" localSheetId="0" hidden="1">monday_model.lp!$CQO$1782</definedName>
    <definedName name="Variable_own_Mon_00768" localSheetId="0" hidden="1">monday_model.lp!$CQP$2</definedName>
    <definedName name="Variable_own_Mon_00768_Type" localSheetId="0" hidden="1">monday_model.lp!$CQP$1782</definedName>
    <definedName name="Variable_own_Mon_00769" localSheetId="0" hidden="1">monday_model.lp!$CQQ$2</definedName>
    <definedName name="Variable_own_Mon_00769_Type" localSheetId="0" hidden="1">monday_model.lp!$CQQ$1782</definedName>
    <definedName name="Variable_own_Mon_00770" localSheetId="0" hidden="1">monday_model.lp!$CQR$2</definedName>
    <definedName name="Variable_own_Mon_00770_Type" localSheetId="0" hidden="1">monday_model.lp!$CQR$1782</definedName>
    <definedName name="Variable_own_Mon_00771" localSheetId="0" hidden="1">monday_model.lp!$CQS$2</definedName>
    <definedName name="Variable_own_Mon_00771_Type" localSheetId="0" hidden="1">monday_model.lp!$CQS$1782</definedName>
    <definedName name="Variable_own_Mon_00772" localSheetId="0" hidden="1">monday_model.lp!$CQT$2</definedName>
    <definedName name="Variable_own_Mon_00772_Type" localSheetId="0" hidden="1">monday_model.lp!$CQT$1782</definedName>
    <definedName name="Variable_own_Mon_00773" localSheetId="0" hidden="1">monday_model.lp!$CQU$2</definedName>
    <definedName name="Variable_own_Mon_00773_Type" localSheetId="0" hidden="1">monday_model.lp!$CQU$1782</definedName>
    <definedName name="Variable_own_Mon_00774" localSheetId="0" hidden="1">monday_model.lp!$CQV$2</definedName>
    <definedName name="Variable_own_Mon_00774_Type" localSheetId="0" hidden="1">monday_model.lp!$CQV$1782</definedName>
    <definedName name="Variable_own_Mon_00775" localSheetId="0" hidden="1">monday_model.lp!$CQW$2</definedName>
    <definedName name="Variable_own_Mon_00775_Type" localSheetId="0" hidden="1">monday_model.lp!$CQW$1782</definedName>
    <definedName name="Variable_own_Mon_00776" localSheetId="0" hidden="1">monday_model.lp!$CQX$2</definedName>
    <definedName name="Variable_own_Mon_00776_Type" localSheetId="0" hidden="1">monday_model.lp!$CQX$1782</definedName>
    <definedName name="Variable_own_Mon_00777" localSheetId="0" hidden="1">monday_model.lp!$CQY$2</definedName>
    <definedName name="Variable_own_Mon_00777_Type" localSheetId="0" hidden="1">monday_model.lp!$CQY$1782</definedName>
    <definedName name="Variable_own_Mon_00778" localSheetId="0" hidden="1">monday_model.lp!$CQZ$2</definedName>
    <definedName name="Variable_own_Mon_00778_Type" localSheetId="0" hidden="1">monday_model.lp!$CQZ$1782</definedName>
    <definedName name="Variable_own_Mon_00779" localSheetId="0" hidden="1">monday_model.lp!$CRA$2</definedName>
    <definedName name="Variable_own_Mon_00779_Type" localSheetId="0" hidden="1">monday_model.lp!$CRA$1782</definedName>
    <definedName name="Variable_own_Mon_00780" localSheetId="0" hidden="1">monday_model.lp!$CRB$2</definedName>
    <definedName name="Variable_own_Mon_00780_Type" localSheetId="0" hidden="1">monday_model.lp!$CRB$1782</definedName>
    <definedName name="Variable_own_Mon_00781" localSheetId="0" hidden="1">monday_model.lp!$CRC$2</definedName>
    <definedName name="Variable_own_Mon_00781_Type" localSheetId="0" hidden="1">monday_model.lp!$CRC$1782</definedName>
    <definedName name="Variable_own_Mon_00782" localSheetId="0" hidden="1">monday_model.lp!$CRD$2</definedName>
    <definedName name="Variable_own_Mon_00782_Type" localSheetId="0" hidden="1">monday_model.lp!$CRD$1782</definedName>
    <definedName name="Variable_own_Mon_00783" localSheetId="0" hidden="1">monday_model.lp!$CRE$2</definedName>
    <definedName name="Variable_own_Mon_00783_Type" localSheetId="0" hidden="1">monday_model.lp!$CRE$1782</definedName>
    <definedName name="Variable_own_Mon_00784" localSheetId="0" hidden="1">monday_model.lp!$CRF$2</definedName>
    <definedName name="Variable_own_Mon_00784_Type" localSheetId="0" hidden="1">monday_model.lp!$CRF$1782</definedName>
    <definedName name="Variable_own_Mon_00785" localSheetId="0" hidden="1">monday_model.lp!$CRG$2</definedName>
    <definedName name="Variable_own_Mon_00785_Type" localSheetId="0" hidden="1">monday_model.lp!$CRG$1782</definedName>
    <definedName name="Variable_own_Mon_00786" localSheetId="0" hidden="1">monday_model.lp!$CRH$2</definedName>
    <definedName name="Variable_own_Mon_00786_Type" localSheetId="0" hidden="1">monday_model.lp!$CRH$1782</definedName>
    <definedName name="Variable_own_Mon_00787" localSheetId="0" hidden="1">monday_model.lp!$CRI$2</definedName>
    <definedName name="Variable_own_Mon_00787_Type" localSheetId="0" hidden="1">monday_model.lp!$CRI$1782</definedName>
    <definedName name="Variable_own_Mon_00788" localSheetId="0" hidden="1">monday_model.lp!$CRJ$2</definedName>
    <definedName name="Variable_own_Mon_00788_Type" localSheetId="0" hidden="1">monday_model.lp!$CRJ$1782</definedName>
    <definedName name="Variable_own_Mon_00789" localSheetId="0" hidden="1">monday_model.lp!$CRK$2</definedName>
    <definedName name="Variable_own_Mon_00789_Type" localSheetId="0" hidden="1">monday_model.lp!$CRK$1782</definedName>
    <definedName name="Variable_own_Mon_00790" localSheetId="0" hidden="1">monday_model.lp!$CRL$2</definedName>
    <definedName name="Variable_own_Mon_00790_Type" localSheetId="0" hidden="1">monday_model.lp!$CRL$1782</definedName>
    <definedName name="Variable_own_Mon_00791" localSheetId="0" hidden="1">monday_model.lp!$CRM$2</definedName>
    <definedName name="Variable_own_Mon_00791_Type" localSheetId="0" hidden="1">monday_model.lp!$CRM$1782</definedName>
    <definedName name="Variable_own_Mon_00792" localSheetId="0" hidden="1">monday_model.lp!$CRN$2</definedName>
    <definedName name="Variable_own_Mon_00792_Type" localSheetId="0" hidden="1">monday_model.lp!$CRN$1782</definedName>
    <definedName name="Variable_own_Mon_00793" localSheetId="0" hidden="1">monday_model.lp!$CRO$2</definedName>
    <definedName name="Variable_own_Mon_00793_Type" localSheetId="0" hidden="1">monday_model.lp!$CRO$1782</definedName>
    <definedName name="Variable_own_Mon_00794" localSheetId="0" hidden="1">monday_model.lp!$CRP$2</definedName>
    <definedName name="Variable_own_Mon_00794_Type" localSheetId="0" hidden="1">monday_model.lp!$CRP$1782</definedName>
    <definedName name="Variable_own_Mon_00795" localSheetId="0" hidden="1">monday_model.lp!$CRQ$2</definedName>
    <definedName name="Variable_own_Mon_00795_Type" localSheetId="0" hidden="1">monday_model.lp!$CRQ$1782</definedName>
    <definedName name="Variable_own_Mon_00796" localSheetId="0" hidden="1">monday_model.lp!$CRR$2</definedName>
    <definedName name="Variable_own_Mon_00796_Type" localSheetId="0" hidden="1">monday_model.lp!$CRR$1782</definedName>
    <definedName name="Variable_own_Mon_00797" localSheetId="0" hidden="1">monday_model.lp!$CRS$2</definedName>
    <definedName name="Variable_own_Mon_00797_Type" localSheetId="0" hidden="1">monday_model.lp!$CRS$1782</definedName>
    <definedName name="Variable_own_Mon_00798" localSheetId="0" hidden="1">monday_model.lp!$CRT$2</definedName>
    <definedName name="Variable_own_Mon_00798_Type" localSheetId="0" hidden="1">monday_model.lp!$CRT$1782</definedName>
    <definedName name="Variable_own_Mon_00799" localSheetId="0" hidden="1">monday_model.lp!$CRU$2</definedName>
    <definedName name="Variable_own_Mon_00799_Type" localSheetId="0" hidden="1">monday_model.lp!$CRU$1782</definedName>
    <definedName name="Variable_own_Mon_00800" localSheetId="0" hidden="1">monday_model.lp!$CRV$2</definedName>
    <definedName name="Variable_own_Mon_00800_Type" localSheetId="0" hidden="1">monday_model.lp!$CRV$1782</definedName>
    <definedName name="Variable_own_Mon_00801" localSheetId="0" hidden="1">monday_model.lp!$CRW$2</definedName>
    <definedName name="Variable_own_Mon_00801_Type" localSheetId="0" hidden="1">monday_model.lp!$CRW$1782</definedName>
    <definedName name="Variable_own_Mon_00802" localSheetId="0" hidden="1">monday_model.lp!$CRX$2</definedName>
    <definedName name="Variable_own_Mon_00802_Type" localSheetId="0" hidden="1">monday_model.lp!$CRX$1782</definedName>
    <definedName name="Variable_own_Mon_00803" localSheetId="0" hidden="1">monday_model.lp!$CRY$2</definedName>
    <definedName name="Variable_own_Mon_00803_Type" localSheetId="0" hidden="1">monday_model.lp!$CRY$1782</definedName>
    <definedName name="Variable_own_Mon_00804" localSheetId="0" hidden="1">monday_model.lp!$CRZ$2</definedName>
    <definedName name="Variable_own_Mon_00804_Type" localSheetId="0" hidden="1">monday_model.lp!$CRZ$1782</definedName>
    <definedName name="Variable_own_Mon_00805" localSheetId="0" hidden="1">monday_model.lp!$CSA$2</definedName>
    <definedName name="Variable_own_Mon_00805_Type" localSheetId="0" hidden="1">monday_model.lp!$CSA$1782</definedName>
    <definedName name="Variable_own_Mon_00806" localSheetId="0" hidden="1">monday_model.lp!$CSB$2</definedName>
    <definedName name="Variable_own_Mon_00806_Type" localSheetId="0" hidden="1">monday_model.lp!$CSB$1782</definedName>
    <definedName name="Variable_own_Mon_00807" localSheetId="0" hidden="1">monday_model.lp!$CSC$2</definedName>
    <definedName name="Variable_own_Mon_00807_Type" localSheetId="0" hidden="1">monday_model.lp!$CSC$1782</definedName>
    <definedName name="Variable_own_Mon_00808" localSheetId="0" hidden="1">monday_model.lp!$CSD$2</definedName>
    <definedName name="Variable_own_Mon_00808_Type" localSheetId="0" hidden="1">monday_model.lp!$CSD$1782</definedName>
    <definedName name="Variable_own_Mon_00809" localSheetId="0" hidden="1">monday_model.lp!$CSE$2</definedName>
    <definedName name="Variable_own_Mon_00809_Type" localSheetId="0" hidden="1">monday_model.lp!$CSE$1782</definedName>
    <definedName name="Variable_own_Mon_00810" localSheetId="0" hidden="1">monday_model.lp!$CSF$2</definedName>
    <definedName name="Variable_own_Mon_00810_Type" localSheetId="0" hidden="1">monday_model.lp!$CSF$1782</definedName>
    <definedName name="Variable_own_Mon_00811" localSheetId="0" hidden="1">monday_model.lp!$CSG$2</definedName>
    <definedName name="Variable_own_Mon_00811_Type" localSheetId="0" hidden="1">monday_model.lp!$CSG$1782</definedName>
    <definedName name="Variable_own_Mon_00812" localSheetId="0" hidden="1">monday_model.lp!$CSH$2</definedName>
    <definedName name="Variable_own_Mon_00812_Type" localSheetId="0" hidden="1">monday_model.lp!$CSH$1782</definedName>
    <definedName name="Variable_own_Mon_00813" localSheetId="0" hidden="1">monday_model.lp!$CSI$2</definedName>
    <definedName name="Variable_own_Mon_00813_Type" localSheetId="0" hidden="1">monday_model.lp!$CSI$1782</definedName>
    <definedName name="Variable_own_Mon_00814" localSheetId="0" hidden="1">monday_model.lp!$CSJ$2</definedName>
    <definedName name="Variable_own_Mon_00814_Type" localSheetId="0" hidden="1">monday_model.lp!$CSJ$1782</definedName>
    <definedName name="Variable_own_Mon_00815" localSheetId="0" hidden="1">monday_model.lp!$CSK$2</definedName>
    <definedName name="Variable_own_Mon_00815_Type" localSheetId="0" hidden="1">monday_model.lp!$CSK$1782</definedName>
    <definedName name="Variable_own_Mon_00816" localSheetId="0" hidden="1">monday_model.lp!$CSL$2</definedName>
    <definedName name="Variable_own_Mon_00816_Type" localSheetId="0" hidden="1">monday_model.lp!$CSL$1782</definedName>
    <definedName name="Variable_own_Mon_00817" localSheetId="0" hidden="1">monday_model.lp!$CSM$2</definedName>
    <definedName name="Variable_own_Mon_00817_Type" localSheetId="0" hidden="1">monday_model.lp!$CSM$1782</definedName>
    <definedName name="Variable_own_Mon_00818" localSheetId="0" hidden="1">monday_model.lp!$CSN$2</definedName>
    <definedName name="Variable_own_Mon_00818_Type" localSheetId="0" hidden="1">monday_model.lp!$CSN$1782</definedName>
    <definedName name="Variable_own_Mon_00819" localSheetId="0" hidden="1">monday_model.lp!$CSO$2</definedName>
    <definedName name="Variable_own_Mon_00819_Type" localSheetId="0" hidden="1">monday_model.lp!$CSO$1782</definedName>
    <definedName name="Variable_own_Mon_00820" localSheetId="0" hidden="1">monday_model.lp!$CSP$2</definedName>
    <definedName name="Variable_own_Mon_00820_Type" localSheetId="0" hidden="1">monday_model.lp!$CSP$1782</definedName>
    <definedName name="Variable_own_Mon_00821" localSheetId="0" hidden="1">monday_model.lp!$CSQ$2</definedName>
    <definedName name="Variable_own_Mon_00821_Type" localSheetId="0" hidden="1">monday_model.lp!$CSQ$1782</definedName>
    <definedName name="Variable_own_Mon_00822" localSheetId="0" hidden="1">monday_model.lp!$CSR$2</definedName>
    <definedName name="Variable_own_Mon_00822_Type" localSheetId="0" hidden="1">monday_model.lp!$CSR$1782</definedName>
    <definedName name="Variable_own_Mon_00823" localSheetId="0" hidden="1">monday_model.lp!$CSS$2</definedName>
    <definedName name="Variable_own_Mon_00823_Type" localSheetId="0" hidden="1">monday_model.lp!$CSS$1782</definedName>
    <definedName name="Variable_own_Mon_00824" localSheetId="0" hidden="1">monday_model.lp!$CST$2</definedName>
    <definedName name="Variable_own_Mon_00824_Type" localSheetId="0" hidden="1">monday_model.lp!$CST$1782</definedName>
    <definedName name="Variable_own_Mon_00825" localSheetId="0" hidden="1">monday_model.lp!$CSU$2</definedName>
    <definedName name="Variable_own_Mon_00825_Type" localSheetId="0" hidden="1">monday_model.lp!$CSU$1782</definedName>
    <definedName name="Variable_own_Mon_00826" localSheetId="0" hidden="1">monday_model.lp!$CSV$2</definedName>
    <definedName name="Variable_own_Mon_00826_Type" localSheetId="0" hidden="1">monday_model.lp!$CSV$1782</definedName>
    <definedName name="Variable_own_Mon_00827" localSheetId="0" hidden="1">monday_model.lp!$CSW$2</definedName>
    <definedName name="Variable_own_Mon_00827_Type" localSheetId="0" hidden="1">monday_model.lp!$CSW$1782</definedName>
    <definedName name="Variable_own_Mon_00828" localSheetId="0" hidden="1">monday_model.lp!$CSX$2</definedName>
    <definedName name="Variable_own_Mon_00828_Type" localSheetId="0" hidden="1">monday_model.lp!$CSX$1782</definedName>
    <definedName name="Variable_own_Mon_00829" localSheetId="0" hidden="1">monday_model.lp!$CSY$2</definedName>
    <definedName name="Variable_own_Mon_00829_Type" localSheetId="0" hidden="1">monday_model.lp!$CSY$1782</definedName>
    <definedName name="Variable_own_Mon_00830" localSheetId="0" hidden="1">monday_model.lp!$CSZ$2</definedName>
    <definedName name="Variable_own_Mon_00830_Type" localSheetId="0" hidden="1">monday_model.lp!$CSZ$1782</definedName>
    <definedName name="Variable_own_Mon_00831" localSheetId="0" hidden="1">monday_model.lp!$CTA$2</definedName>
    <definedName name="Variable_own_Mon_00831_Type" localSheetId="0" hidden="1">monday_model.lp!$CTA$1782</definedName>
    <definedName name="Variable_own_Mon_00832" localSheetId="0" hidden="1">monday_model.lp!$CTB$2</definedName>
    <definedName name="Variable_own_Mon_00832_Type" localSheetId="0" hidden="1">monday_model.lp!$CTB$1782</definedName>
    <definedName name="Variable_own_Mon_00833" localSheetId="0" hidden="1">monday_model.lp!$CTC$2</definedName>
    <definedName name="Variable_own_Mon_00833_Type" localSheetId="0" hidden="1">monday_model.lp!$CTC$1782</definedName>
    <definedName name="Variable_own_Mon_00834" localSheetId="0" hidden="1">monday_model.lp!$CTD$2</definedName>
    <definedName name="Variable_own_Mon_00834_Type" localSheetId="0" hidden="1">monday_model.lp!$CTD$1782</definedName>
    <definedName name="Variable_own_Mon_00835" localSheetId="0" hidden="1">monday_model.lp!$CTE$2</definedName>
    <definedName name="Variable_own_Mon_00835_Type" localSheetId="0" hidden="1">monday_model.lp!$CTE$1782</definedName>
    <definedName name="Variable_own_Mon_00836" localSheetId="0" hidden="1">monday_model.lp!$CTF$2</definedName>
    <definedName name="Variable_own_Mon_00836_Type" localSheetId="0" hidden="1">monday_model.lp!$CTF$1782</definedName>
    <definedName name="Variable_own_Mon_00837" localSheetId="0" hidden="1">monday_model.lp!$CTG$2</definedName>
    <definedName name="Variable_own_Mon_00837_Type" localSheetId="0" hidden="1">monday_model.lp!$CTG$1782</definedName>
    <definedName name="Variable_own_Mon_00838" localSheetId="0" hidden="1">monday_model.lp!$CTH$2</definedName>
    <definedName name="Variable_own_Mon_00838_Type" localSheetId="0" hidden="1">monday_model.lp!$CTH$1782</definedName>
    <definedName name="Variable_own_Mon_00839" localSheetId="0" hidden="1">monday_model.lp!$CTI$2</definedName>
    <definedName name="Variable_own_Mon_00839_Type" localSheetId="0" hidden="1">monday_model.lp!$CTI$1782</definedName>
    <definedName name="Variable_own_Mon_00840" localSheetId="0" hidden="1">monday_model.lp!$CTJ$2</definedName>
    <definedName name="Variable_own_Mon_00840_Type" localSheetId="0" hidden="1">monday_model.lp!$CTJ$1782</definedName>
    <definedName name="Variable_own_Mon_00841" localSheetId="0" hidden="1">monday_model.lp!$CTK$2</definedName>
    <definedName name="Variable_own_Mon_00841_Type" localSheetId="0" hidden="1">monday_model.lp!$CTK$1782</definedName>
    <definedName name="Variable_own_Mon_00842" localSheetId="0" hidden="1">monday_model.lp!$CTL$2</definedName>
    <definedName name="Variable_own_Mon_00842_Type" localSheetId="0" hidden="1">monday_model.lp!$CTL$1782</definedName>
    <definedName name="Variable_own_Mon_00843" localSheetId="0" hidden="1">monday_model.lp!$CTM$2</definedName>
    <definedName name="Variable_own_Mon_00843_Type" localSheetId="0" hidden="1">monday_model.lp!$CTM$1782</definedName>
    <definedName name="Variable_own_Mon_00844" localSheetId="0" hidden="1">monday_model.lp!$CTN$2</definedName>
    <definedName name="Variable_own_Mon_00844_Type" localSheetId="0" hidden="1">monday_model.lp!$CTN$1782</definedName>
    <definedName name="Variable_own_Mon_00845" localSheetId="0" hidden="1">monday_model.lp!$CTO$2</definedName>
    <definedName name="Variable_own_Mon_00845_Type" localSheetId="0" hidden="1">monday_model.lp!$CTO$1782</definedName>
    <definedName name="Variable_own_Mon_00846" localSheetId="0" hidden="1">monday_model.lp!$CTP$2</definedName>
    <definedName name="Variable_own_Mon_00846_Type" localSheetId="0" hidden="1">monday_model.lp!$CTP$1782</definedName>
    <definedName name="Variable_own_Mon_00847" localSheetId="0" hidden="1">monday_model.lp!$CTQ$2</definedName>
    <definedName name="Variable_own_Mon_00847_Type" localSheetId="0" hidden="1">monday_model.lp!$CTQ$1782</definedName>
    <definedName name="Variable_own_Mon_00848" localSheetId="0" hidden="1">monday_model.lp!$CTR$2</definedName>
    <definedName name="Variable_own_Mon_00848_Type" localSheetId="0" hidden="1">monday_model.lp!$CTR$1782</definedName>
    <definedName name="Variable_own_Mon_00849" localSheetId="0" hidden="1">monday_model.lp!$CTS$2</definedName>
    <definedName name="Variable_own_Mon_00849_Type" localSheetId="0" hidden="1">monday_model.lp!$CTS$1782</definedName>
    <definedName name="Variable_own_Mon_00850" localSheetId="0" hidden="1">monday_model.lp!$CTT$2</definedName>
    <definedName name="Variable_own_Mon_00850_Type" localSheetId="0" hidden="1">monday_model.lp!$CTT$1782</definedName>
    <definedName name="Variable_own_Mon_00851" localSheetId="0" hidden="1">monday_model.lp!$CTU$2</definedName>
    <definedName name="Variable_own_Mon_00851_Type" localSheetId="0" hidden="1">monday_model.lp!$CTU$1782</definedName>
    <definedName name="Variable_own_Mon_00852" localSheetId="0" hidden="1">monday_model.lp!$CTV$2</definedName>
    <definedName name="Variable_own_Mon_00852_Type" localSheetId="0" hidden="1">monday_model.lp!$CTV$1782</definedName>
    <definedName name="Variable_own_Mon_00853" localSheetId="0" hidden="1">monday_model.lp!$CTW$2</definedName>
    <definedName name="Variable_own_Mon_00853_Type" localSheetId="0" hidden="1">monday_model.lp!$CTW$1782</definedName>
    <definedName name="Variable_own_Mon_00854" localSheetId="0" hidden="1">monday_model.lp!$CTX$2</definedName>
    <definedName name="Variable_own_Mon_00854_Type" localSheetId="0" hidden="1">monday_model.lp!$CTX$1782</definedName>
    <definedName name="Variable_own_Mon_00855" localSheetId="0" hidden="1">monday_model.lp!$CTY$2</definedName>
    <definedName name="Variable_own_Mon_00855_Type" localSheetId="0" hidden="1">monday_model.lp!$CTY$1782</definedName>
    <definedName name="Variable_own_Mon_00856" localSheetId="0" hidden="1">monday_model.lp!$CTZ$2</definedName>
    <definedName name="Variable_own_Mon_00856_Type" localSheetId="0" hidden="1">monday_model.lp!$CTZ$1782</definedName>
    <definedName name="Variable_own_Mon_00857" localSheetId="0" hidden="1">monday_model.lp!$CUA$2</definedName>
    <definedName name="Variable_own_Mon_00857_Type" localSheetId="0" hidden="1">monday_model.lp!$CUA$1782</definedName>
    <definedName name="Variable_own_Mon_00858" localSheetId="0" hidden="1">monday_model.lp!$CUB$2</definedName>
    <definedName name="Variable_own_Mon_00858_Type" localSheetId="0" hidden="1">monday_model.lp!$CUB$1782</definedName>
    <definedName name="Variable_own_Mon_00859" localSheetId="0" hidden="1">monday_model.lp!$CUC$2</definedName>
    <definedName name="Variable_own_Mon_00859_Type" localSheetId="0" hidden="1">monday_model.lp!$CUC$1782</definedName>
    <definedName name="Variable_own_Mon_00860" localSheetId="0" hidden="1">monday_model.lp!$CUD$2</definedName>
    <definedName name="Variable_own_Mon_00860_Type" localSheetId="0" hidden="1">monday_model.lp!$CUD$1782</definedName>
    <definedName name="Variable_own_Mon_00861" localSheetId="0" hidden="1">monday_model.lp!$CUE$2</definedName>
    <definedName name="Variable_own_Mon_00861_Type" localSheetId="0" hidden="1">monday_model.lp!$CUE$1782</definedName>
    <definedName name="Variable_own_Mon_00862" localSheetId="0" hidden="1">monday_model.lp!$CUF$2</definedName>
    <definedName name="Variable_own_Mon_00862_Type" localSheetId="0" hidden="1">monday_model.lp!$CUF$1782</definedName>
    <definedName name="Variable_own_Mon_00863" localSheetId="0" hidden="1">monday_model.lp!$CUG$2</definedName>
    <definedName name="Variable_own_Mon_00863_Type" localSheetId="0" hidden="1">monday_model.lp!$CUG$1782</definedName>
    <definedName name="Variable_own_Mon_00864" localSheetId="0" hidden="1">monday_model.lp!$CUH$2</definedName>
    <definedName name="Variable_own_Mon_00864_Type" localSheetId="0" hidden="1">monday_model.lp!$CUH$1782</definedName>
    <definedName name="Variable_own_Mon_00865" localSheetId="0" hidden="1">monday_model.lp!$CUI$2</definedName>
    <definedName name="Variable_own_Mon_00865_Type" localSheetId="0" hidden="1">monday_model.lp!$CUI$1782</definedName>
    <definedName name="Variable_own_Mon_00866" localSheetId="0" hidden="1">monday_model.lp!$CUJ$2</definedName>
    <definedName name="Variable_own_Mon_00866_Type" localSheetId="0" hidden="1">monday_model.lp!$CUJ$1782</definedName>
    <definedName name="Variable_own_Mon_00867" localSheetId="0" hidden="1">monday_model.lp!$CUK$2</definedName>
    <definedName name="Variable_own_Mon_00867_Type" localSheetId="0" hidden="1">monday_model.lp!$CUK$1782</definedName>
    <definedName name="Variable_own_Mon_00868" localSheetId="0" hidden="1">monday_model.lp!$CUL$2</definedName>
    <definedName name="Variable_own_Mon_00868_Type" localSheetId="0" hidden="1">monday_model.lp!$CUL$1782</definedName>
    <definedName name="Variable_own_Mon_00869" localSheetId="0" hidden="1">monday_model.lp!$CUM$2</definedName>
    <definedName name="Variable_own_Mon_00869_Type" localSheetId="0" hidden="1">monday_model.lp!$CUM$1782</definedName>
    <definedName name="Variable_own_Mon_00870" localSheetId="0" hidden="1">monday_model.lp!$CUN$2</definedName>
    <definedName name="Variable_own_Mon_00870_Type" localSheetId="0" hidden="1">monday_model.lp!$CUN$1782</definedName>
    <definedName name="Variable_own_Mon_00871" localSheetId="0" hidden="1">monday_model.lp!$CUO$2</definedName>
    <definedName name="Variable_own_Mon_00871_Type" localSheetId="0" hidden="1">monday_model.lp!$CUO$1782</definedName>
    <definedName name="Variable_own_Mon_00872" localSheetId="0" hidden="1">monday_model.lp!$CUP$2</definedName>
    <definedName name="Variable_own_Mon_00872_Type" localSheetId="0" hidden="1">monday_model.lp!$CUP$1782</definedName>
    <definedName name="Variable_own_Mon_00873" localSheetId="0" hidden="1">monday_model.lp!$CUQ$2</definedName>
    <definedName name="Variable_own_Mon_00873_Type" localSheetId="0" hidden="1">monday_model.lp!$CUQ$1782</definedName>
    <definedName name="Variable_own_Mon_00874" localSheetId="0" hidden="1">monday_model.lp!$CUR$2</definedName>
    <definedName name="Variable_own_Mon_00874_Type" localSheetId="0" hidden="1">monday_model.lp!$CUR$1782</definedName>
    <definedName name="Variable_own_Mon_00875" localSheetId="0" hidden="1">monday_model.lp!$CUS$2</definedName>
    <definedName name="Variable_own_Mon_00875_Type" localSheetId="0" hidden="1">monday_model.lp!$CUS$1782</definedName>
    <definedName name="Variable_own_Mon_00876" localSheetId="0" hidden="1">monday_model.lp!$CUT$2</definedName>
    <definedName name="Variable_own_Mon_00876_Type" localSheetId="0" hidden="1">monday_model.lp!$CUT$1782</definedName>
    <definedName name="Variable_own_Mon_00877" localSheetId="0" hidden="1">monday_model.lp!$CUU$2</definedName>
    <definedName name="Variable_own_Mon_00877_Type" localSheetId="0" hidden="1">monday_model.lp!$CUU$1782</definedName>
    <definedName name="Variable_own_Mon_00878" localSheetId="0" hidden="1">monday_model.lp!$CUV$2</definedName>
    <definedName name="Variable_own_Mon_00878_Type" localSheetId="0" hidden="1">monday_model.lp!$CUV$1782</definedName>
    <definedName name="Variable_own_Mon_00879" localSheetId="0" hidden="1">monday_model.lp!$CUW$2</definedName>
    <definedName name="Variable_own_Mon_00879_Type" localSheetId="0" hidden="1">monday_model.lp!$CUW$1782</definedName>
    <definedName name="Variable_own_Mon_00880" localSheetId="0" hidden="1">monday_model.lp!$CUX$2</definedName>
    <definedName name="Variable_own_Mon_00880_Type" localSheetId="0" hidden="1">monday_model.lp!$CUX$1782</definedName>
    <definedName name="Variable_own_Mon_00881" localSheetId="0" hidden="1">monday_model.lp!$CUY$2</definedName>
    <definedName name="Variable_own_Mon_00881_Type" localSheetId="0" hidden="1">monday_model.lp!$CUY$1782</definedName>
    <definedName name="Variable_own_Mon_00882" localSheetId="0" hidden="1">monday_model.lp!$CUZ$2</definedName>
    <definedName name="Variable_own_Mon_00882_Type" localSheetId="0" hidden="1">monday_model.lp!$CUZ$1782</definedName>
    <definedName name="Variable_own_Mon_00883" localSheetId="0" hidden="1">monday_model.lp!$CVA$2</definedName>
    <definedName name="Variable_own_Mon_00883_Type" localSheetId="0" hidden="1">monday_model.lp!$CVA$1782</definedName>
    <definedName name="Variable_own_Mon_00884" localSheetId="0" hidden="1">monday_model.lp!$CVB$2</definedName>
    <definedName name="Variable_own_Mon_00884_Type" localSheetId="0" hidden="1">monday_model.lp!$CVB$1782</definedName>
    <definedName name="Variable_own_Mon_00885" localSheetId="0" hidden="1">monday_model.lp!$CVC$2</definedName>
    <definedName name="Variable_own_Mon_00885_Type" localSheetId="0" hidden="1">monday_model.lp!$CVC$1782</definedName>
    <definedName name="Variable_own_Mon_00886" localSheetId="0" hidden="1">monday_model.lp!$CVD$2</definedName>
    <definedName name="Variable_own_Mon_00886_Type" localSheetId="0" hidden="1">monday_model.lp!$CVD$1782</definedName>
    <definedName name="Variable_own_Mon_00887" localSheetId="0" hidden="1">monday_model.lp!$CVE$2</definedName>
    <definedName name="Variable_own_Mon_00887_Type" localSheetId="0" hidden="1">monday_model.lp!$CVE$1782</definedName>
    <definedName name="Variable_own_Mon_00888" localSheetId="0" hidden="1">monday_model.lp!$CVF$2</definedName>
    <definedName name="Variable_own_Mon_00888_Type" localSheetId="0" hidden="1">monday_model.lp!$CVF$1782</definedName>
    <definedName name="Variable_own_Mon_00889" localSheetId="0" hidden="1">monday_model.lp!$CVG$2</definedName>
    <definedName name="Variable_own_Mon_00889_Type" localSheetId="0" hidden="1">monday_model.lp!$CVG$1782</definedName>
    <definedName name="Variable_own_Mon_00890" localSheetId="0" hidden="1">monday_model.lp!$CVH$2</definedName>
    <definedName name="Variable_own_Mon_00890_Type" localSheetId="0" hidden="1">monday_model.lp!$CVH$1782</definedName>
    <definedName name="Variable_own_Mon_00891" localSheetId="0" hidden="1">monday_model.lp!$CVI$2</definedName>
    <definedName name="Variable_own_Mon_00891_Type" localSheetId="0" hidden="1">monday_model.lp!$CVI$1782</definedName>
    <definedName name="Variable_own_Mon_00892" localSheetId="0" hidden="1">monday_model.lp!$CVJ$2</definedName>
    <definedName name="Variable_own_Mon_00892_Type" localSheetId="0" hidden="1">monday_model.lp!$CVJ$1782</definedName>
    <definedName name="Variable_own_Mon_00893" localSheetId="0" hidden="1">monday_model.lp!$CVK$2</definedName>
    <definedName name="Variable_own_Mon_00893_Type" localSheetId="0" hidden="1">monday_model.lp!$CVK$1782</definedName>
    <definedName name="Variable_own_Mon_00894" localSheetId="0" hidden="1">monday_model.lp!$CVL$2</definedName>
    <definedName name="Variable_own_Mon_00894_Type" localSheetId="0" hidden="1">monday_model.lp!$CVL$1782</definedName>
    <definedName name="Variable_own_Mon_00895" localSheetId="0" hidden="1">monday_model.lp!$CVM$2</definedName>
    <definedName name="Variable_own_Mon_00895_Type" localSheetId="0" hidden="1">monday_model.lp!$CVM$1782</definedName>
    <definedName name="Variable_own_Mon_00896" localSheetId="0" hidden="1">monday_model.lp!$CVN$2</definedName>
    <definedName name="Variable_own_Mon_00896_Type" localSheetId="0" hidden="1">monday_model.lp!$CVN$1782</definedName>
    <definedName name="Variable_own_Mon_00897" localSheetId="0" hidden="1">monday_model.lp!$CVO$2</definedName>
    <definedName name="Variable_own_Mon_00897_Type" localSheetId="0" hidden="1">monday_model.lp!$CVO$1782</definedName>
    <definedName name="Variable_own_Mon_00898" localSheetId="0" hidden="1">monday_model.lp!$CVP$2</definedName>
    <definedName name="Variable_own_Mon_00898_Type" localSheetId="0" hidden="1">monday_model.lp!$CVP$1782</definedName>
    <definedName name="Variable_own_Mon_00899" localSheetId="0" hidden="1">monday_model.lp!$CVQ$2</definedName>
    <definedName name="Variable_own_Mon_00899_Type" localSheetId="0" hidden="1">monday_model.lp!$CVQ$1782</definedName>
    <definedName name="Variable_own_Mon_00900" localSheetId="0" hidden="1">monday_model.lp!$CVR$2</definedName>
    <definedName name="Variable_own_Mon_00900_Type" localSheetId="0" hidden="1">monday_model.lp!$CVR$1782</definedName>
    <definedName name="Variable_own_Mon_00901" localSheetId="0" hidden="1">monday_model.lp!$CVS$2</definedName>
    <definedName name="Variable_own_Mon_00901_Type" localSheetId="0" hidden="1">monday_model.lp!$CVS$1782</definedName>
    <definedName name="Variable_own_Mon_00902" localSheetId="0" hidden="1">monday_model.lp!$CVT$2</definedName>
    <definedName name="Variable_own_Mon_00902_Type" localSheetId="0" hidden="1">monday_model.lp!$CVT$1782</definedName>
    <definedName name="Variable_own_Mon_00903" localSheetId="0" hidden="1">monday_model.lp!$CVU$2</definedName>
    <definedName name="Variable_own_Mon_00903_Type" localSheetId="0" hidden="1">monday_model.lp!$CVU$1782</definedName>
    <definedName name="Variable_own_Mon_00904" localSheetId="0" hidden="1">monday_model.lp!$CVV$2</definedName>
    <definedName name="Variable_own_Mon_00904_Type" localSheetId="0" hidden="1">monday_model.lp!$CVV$1782</definedName>
    <definedName name="Variable_own_Mon_00905" localSheetId="0" hidden="1">monday_model.lp!$CVW$2</definedName>
    <definedName name="Variable_own_Mon_00905_Type" localSheetId="0" hidden="1">monday_model.lp!$CVW$1782</definedName>
    <definedName name="Variable_own_Mon_00906" localSheetId="0" hidden="1">monday_model.lp!$CVX$2</definedName>
    <definedName name="Variable_own_Mon_00906_Type" localSheetId="0" hidden="1">monday_model.lp!$CVX$1782</definedName>
    <definedName name="Variable_own_Mon_00907" localSheetId="0" hidden="1">monday_model.lp!$CVY$2</definedName>
    <definedName name="Variable_own_Mon_00907_Type" localSheetId="0" hidden="1">monday_model.lp!$CVY$1782</definedName>
    <definedName name="Variable_own_Mon_00908" localSheetId="0" hidden="1">monday_model.lp!$CVZ$2</definedName>
    <definedName name="Variable_own_Mon_00908_Type" localSheetId="0" hidden="1">monday_model.lp!$CVZ$1782</definedName>
    <definedName name="Variable_own_Mon_00909" localSheetId="0" hidden="1">monday_model.lp!$CWA$2</definedName>
    <definedName name="Variable_own_Mon_00909_Type" localSheetId="0" hidden="1">monday_model.lp!$CWA$1782</definedName>
    <definedName name="Variable_own_Mon_00910" localSheetId="0" hidden="1">monday_model.lp!$CWB$2</definedName>
    <definedName name="Variable_own_Mon_00910_Type" localSheetId="0" hidden="1">monday_model.lp!$CWB$1782</definedName>
    <definedName name="Variable_own_Mon_00911" localSheetId="0" hidden="1">monday_model.lp!$CWC$2</definedName>
    <definedName name="Variable_own_Mon_00911_Type" localSheetId="0" hidden="1">monday_model.lp!$CWC$1782</definedName>
    <definedName name="Variable_own_Mon_00912" localSheetId="0" hidden="1">monday_model.lp!$CWD$2</definedName>
    <definedName name="Variable_own_Mon_00912_Type" localSheetId="0" hidden="1">monday_model.lp!$CWD$1782</definedName>
    <definedName name="Variable_own_Mon_00913" localSheetId="0" hidden="1">monday_model.lp!$CWE$2</definedName>
    <definedName name="Variable_own_Mon_00913_Type" localSheetId="0" hidden="1">monday_model.lp!$CWE$1782</definedName>
    <definedName name="Variable_own_Mon_00914" localSheetId="0" hidden="1">monday_model.lp!$CWF$2</definedName>
    <definedName name="Variable_own_Mon_00914_Type" localSheetId="0" hidden="1">monday_model.lp!$CWF$1782</definedName>
    <definedName name="Variable_own_Mon_00915" localSheetId="0" hidden="1">monday_model.lp!$CWG$2</definedName>
    <definedName name="Variable_own_Mon_00915_Type" localSheetId="0" hidden="1">monday_model.lp!$CWG$1782</definedName>
    <definedName name="Variable_own_Mon_00916" localSheetId="0" hidden="1">monday_model.lp!$CWH$2</definedName>
    <definedName name="Variable_own_Mon_00916_Type" localSheetId="0" hidden="1">monday_model.lp!$CWH$1782</definedName>
    <definedName name="Variable_own_Mon_00917" localSheetId="0" hidden="1">monday_model.lp!$CWI$2</definedName>
    <definedName name="Variable_own_Mon_00917_Type" localSheetId="0" hidden="1">monday_model.lp!$CWI$1782</definedName>
    <definedName name="Variable_own_Mon_00918" localSheetId="0" hidden="1">monday_model.lp!$CWJ$2</definedName>
    <definedName name="Variable_own_Mon_00918_Type" localSheetId="0" hidden="1">monday_model.lp!$CWJ$1782</definedName>
    <definedName name="Variable_own_Mon_00919" localSheetId="0" hidden="1">monday_model.lp!$CWK$2</definedName>
    <definedName name="Variable_own_Mon_00919_Type" localSheetId="0" hidden="1">monday_model.lp!$CWK$1782</definedName>
    <definedName name="Variable_own_Mon_00920" localSheetId="0" hidden="1">monday_model.lp!$CWL$2</definedName>
    <definedName name="Variable_own_Mon_00920_Type" localSheetId="0" hidden="1">monday_model.lp!$CWL$1782</definedName>
    <definedName name="Variable_own_Mon_00921" localSheetId="0" hidden="1">monday_model.lp!$CWM$2</definedName>
    <definedName name="Variable_own_Mon_00921_Type" localSheetId="0" hidden="1">monday_model.lp!$CWM$1782</definedName>
    <definedName name="Variable_own_Mon_00922" localSheetId="0" hidden="1">monday_model.lp!$CWN$2</definedName>
    <definedName name="Variable_own_Mon_00922_Type" localSheetId="0" hidden="1">monday_model.lp!$CWN$1782</definedName>
    <definedName name="Variable_own_Mon_00923" localSheetId="0" hidden="1">monday_model.lp!$CWO$2</definedName>
    <definedName name="Variable_own_Mon_00923_Type" localSheetId="0" hidden="1">monday_model.lp!$CWO$1782</definedName>
    <definedName name="Variable_own_Mon_00924" localSheetId="0" hidden="1">monday_model.lp!$CWP$2</definedName>
    <definedName name="Variable_own_Mon_00924_Type" localSheetId="0" hidden="1">monday_model.lp!$CWP$1782</definedName>
    <definedName name="Variable_own_Mon_00925" localSheetId="0" hidden="1">monday_model.lp!$CWQ$2</definedName>
    <definedName name="Variable_own_Mon_00925_Type" localSheetId="0" hidden="1">monday_model.lp!$CWQ$1782</definedName>
    <definedName name="Variable_own_Mon_00926" localSheetId="0" hidden="1">monday_model.lp!$CWR$2</definedName>
    <definedName name="Variable_own_Mon_00926_Type" localSheetId="0" hidden="1">monday_model.lp!$CWR$1782</definedName>
    <definedName name="Variable_own_Mon_00927" localSheetId="0" hidden="1">monday_model.lp!$CWS$2</definedName>
    <definedName name="Variable_own_Mon_00927_Type" localSheetId="0" hidden="1">monday_model.lp!$CWS$1782</definedName>
    <definedName name="Variable_own_Mon_00928" localSheetId="0" hidden="1">monday_model.lp!$CWT$2</definedName>
    <definedName name="Variable_own_Mon_00928_Type" localSheetId="0" hidden="1">monday_model.lp!$CWT$1782</definedName>
    <definedName name="Variable_own_Mon_00929" localSheetId="0" hidden="1">monday_model.lp!$CWU$2</definedName>
    <definedName name="Variable_own_Mon_00929_Type" localSheetId="0" hidden="1">monday_model.lp!$CWU$1782</definedName>
    <definedName name="Variable_own_Mon_00930" localSheetId="0" hidden="1">monday_model.lp!$CWV$2</definedName>
    <definedName name="Variable_own_Mon_00930_Type" localSheetId="0" hidden="1">monday_model.lp!$CWV$1782</definedName>
    <definedName name="Variable_own_Mon_00931" localSheetId="0" hidden="1">monday_model.lp!$CWW$2</definedName>
    <definedName name="Variable_own_Mon_00931_Type" localSheetId="0" hidden="1">monday_model.lp!$CWW$1782</definedName>
    <definedName name="Variable_own_Mon_00932" localSheetId="0" hidden="1">monday_model.lp!$CWX$2</definedName>
    <definedName name="Variable_own_Mon_00932_Type" localSheetId="0" hidden="1">monday_model.lp!$CWX$1782</definedName>
    <definedName name="Variable_own_Mon_00933" localSheetId="0" hidden="1">monday_model.lp!$CWY$2</definedName>
    <definedName name="Variable_own_Mon_00933_Type" localSheetId="0" hidden="1">monday_model.lp!$CWY$1782</definedName>
    <definedName name="Variable_own_Mon_00934" localSheetId="0" hidden="1">monday_model.lp!$CWZ$2</definedName>
    <definedName name="Variable_own_Mon_00934_Type" localSheetId="0" hidden="1">monday_model.lp!$CWZ$1782</definedName>
    <definedName name="Variable_own_Mon_00935" localSheetId="0" hidden="1">monday_model.lp!$CXA$2</definedName>
    <definedName name="Variable_own_Mon_00935_Type" localSheetId="0" hidden="1">monday_model.lp!$CXA$1782</definedName>
    <definedName name="Variable_own_Mon_00936" localSheetId="0" hidden="1">monday_model.lp!$CXB$2</definedName>
    <definedName name="Variable_own_Mon_00936_Type" localSheetId="0" hidden="1">monday_model.lp!$CXB$1782</definedName>
    <definedName name="Variable_own_Mon_00937" localSheetId="0" hidden="1">monday_model.lp!$CXC$2</definedName>
    <definedName name="Variable_own_Mon_00937_Type" localSheetId="0" hidden="1">monday_model.lp!$CXC$1782</definedName>
    <definedName name="Variable_own_Mon_00938" localSheetId="0" hidden="1">monday_model.lp!$CXD$2</definedName>
    <definedName name="Variable_own_Mon_00938_Type" localSheetId="0" hidden="1">monday_model.lp!$CXD$1782</definedName>
    <definedName name="Variable_own_Mon_00939" localSheetId="0" hidden="1">monday_model.lp!$CXE$2</definedName>
    <definedName name="Variable_own_Mon_00939_Type" localSheetId="0" hidden="1">monday_model.lp!$CXE$1782</definedName>
    <definedName name="Variable_own_Mon_00940" localSheetId="0" hidden="1">monday_model.lp!$CXF$2</definedName>
    <definedName name="Variable_own_Mon_00940_Type" localSheetId="0" hidden="1">monday_model.lp!$CXF$1782</definedName>
    <definedName name="Variable_own_Mon_00941" localSheetId="0" hidden="1">monday_model.lp!$CXG$2</definedName>
    <definedName name="Variable_own_Mon_00941_Type" localSheetId="0" hidden="1">monday_model.lp!$CXG$1782</definedName>
    <definedName name="Variable_own_Mon_00942" localSheetId="0" hidden="1">monday_model.lp!$CXH$2</definedName>
    <definedName name="Variable_own_Mon_00942_Type" localSheetId="0" hidden="1">monday_model.lp!$CXH$1782</definedName>
    <definedName name="Variable_own_Mon_00943" localSheetId="0" hidden="1">monday_model.lp!$CXI$2</definedName>
    <definedName name="Variable_own_Mon_00943_Type" localSheetId="0" hidden="1">monday_model.lp!$CXI$1782</definedName>
    <definedName name="Variable_own_Mon_00944" localSheetId="0" hidden="1">monday_model.lp!$CXJ$2</definedName>
    <definedName name="Variable_own_Mon_00944_Type" localSheetId="0" hidden="1">monday_model.lp!$CXJ$1782</definedName>
    <definedName name="Variable_own_Mon_00945" localSheetId="0" hidden="1">monday_model.lp!$CXK$2</definedName>
    <definedName name="Variable_own_Mon_00945_Type" localSheetId="0" hidden="1">monday_model.lp!$CXK$1782</definedName>
    <definedName name="Variable_own_Mon_00946" localSheetId="0" hidden="1">monday_model.lp!$CXL$2</definedName>
    <definedName name="Variable_own_Mon_00946_Type" localSheetId="0" hidden="1">monday_model.lp!$CXL$1782</definedName>
    <definedName name="Variable_own_Mon_00947" localSheetId="0" hidden="1">monday_model.lp!$CXM$2</definedName>
    <definedName name="Variable_own_Mon_00947_Type" localSheetId="0" hidden="1">monday_model.lp!$CXM$1782</definedName>
    <definedName name="Variable_own_Mon_00948" localSheetId="0" hidden="1">monday_model.lp!$CXN$2</definedName>
    <definedName name="Variable_own_Mon_00948_Type" localSheetId="0" hidden="1">monday_model.lp!$CXN$1782</definedName>
    <definedName name="Variable_own_Mon_00949" localSheetId="0" hidden="1">monday_model.lp!$CXO$2</definedName>
    <definedName name="Variable_own_Mon_00949_Type" localSheetId="0" hidden="1">monday_model.lp!$CXO$1782</definedName>
    <definedName name="Variable_own_Mon_00950" localSheetId="0" hidden="1">monday_model.lp!$CXP$2</definedName>
    <definedName name="Variable_own_Mon_00950_Type" localSheetId="0" hidden="1">monday_model.lp!$CXP$1782</definedName>
    <definedName name="Variable_own_Mon_00951" localSheetId="0" hidden="1">monday_model.lp!$CXQ$2</definedName>
    <definedName name="Variable_own_Mon_00951_Type" localSheetId="0" hidden="1">monday_model.lp!$CXQ$1782</definedName>
    <definedName name="Variable_own_Mon_00952" localSheetId="0" hidden="1">monday_model.lp!$CXR$2</definedName>
    <definedName name="Variable_own_Mon_00952_Type" localSheetId="0" hidden="1">monday_model.lp!$CXR$1782</definedName>
    <definedName name="Variable_own_Mon_00953" localSheetId="0" hidden="1">monday_model.lp!$CXS$2</definedName>
    <definedName name="Variable_own_Mon_00953_Type" localSheetId="0" hidden="1">monday_model.lp!$CXS$1782</definedName>
    <definedName name="Variable_own_Mon_00954" localSheetId="0" hidden="1">monday_model.lp!$CXT$2</definedName>
    <definedName name="Variable_own_Mon_00954_Type" localSheetId="0" hidden="1">monday_model.lp!$CXT$1782</definedName>
    <definedName name="Variable_own_Mon_00955" localSheetId="0" hidden="1">monday_model.lp!$CXU$2</definedName>
    <definedName name="Variable_own_Mon_00955_Type" localSheetId="0" hidden="1">monday_model.lp!$CXU$1782</definedName>
    <definedName name="Variable_own_Mon_00956" localSheetId="0" hidden="1">monday_model.lp!$CXV$2</definedName>
    <definedName name="Variable_own_Mon_00956_Type" localSheetId="0" hidden="1">monday_model.lp!$CXV$1782</definedName>
    <definedName name="Variable_own_Mon_00957" localSheetId="0" hidden="1">monday_model.lp!$CXW$2</definedName>
    <definedName name="Variable_own_Mon_00957_Type" localSheetId="0" hidden="1">monday_model.lp!$CXW$1782</definedName>
    <definedName name="Variable_own_Mon_00958" localSheetId="0" hidden="1">monday_model.lp!$CXX$2</definedName>
    <definedName name="Variable_own_Mon_00958_Type" localSheetId="0" hidden="1">monday_model.lp!$CXX$1782</definedName>
    <definedName name="Variable_own_Mon_00959" localSheetId="0" hidden="1">monday_model.lp!$CXY$2</definedName>
    <definedName name="Variable_own_Mon_00959_Type" localSheetId="0" hidden="1">monday_model.lp!$CXY$1782</definedName>
    <definedName name="Variable_own_Mon_00960" localSheetId="0" hidden="1">monday_model.lp!$CXZ$2</definedName>
    <definedName name="Variable_own_Mon_00960_Type" localSheetId="0" hidden="1">monday_model.lp!$CXZ$1782</definedName>
    <definedName name="Variable_own_Mon_00961" localSheetId="0" hidden="1">monday_model.lp!$CYA$2</definedName>
    <definedName name="Variable_own_Mon_00961_Type" localSheetId="0" hidden="1">monday_model.lp!$CYA$1782</definedName>
    <definedName name="Variable_own_Mon_00962" localSheetId="0" hidden="1">monday_model.lp!$CYB$2</definedName>
    <definedName name="Variable_own_Mon_00962_Type" localSheetId="0" hidden="1">monday_model.lp!$CYB$1782</definedName>
    <definedName name="Variable_own_Mon_00963" localSheetId="0" hidden="1">monday_model.lp!$CYC$2</definedName>
    <definedName name="Variable_own_Mon_00963_Type" localSheetId="0" hidden="1">monday_model.lp!$CYC$1782</definedName>
    <definedName name="Variable_own_Mon_00964" localSheetId="0" hidden="1">monday_model.lp!$CYD$2</definedName>
    <definedName name="Variable_own_Mon_00964_Type" localSheetId="0" hidden="1">monday_model.lp!$CYD$1782</definedName>
    <definedName name="Variable_own_Mon_00965" localSheetId="0" hidden="1">monday_model.lp!$CYE$2</definedName>
    <definedName name="Variable_own_Mon_00965_Type" localSheetId="0" hidden="1">monday_model.lp!$CYE$1782</definedName>
    <definedName name="Variable_own_Mon_00966" localSheetId="0" hidden="1">monday_model.lp!$CYF$2</definedName>
    <definedName name="Variable_own_Mon_00966_Type" localSheetId="0" hidden="1">monday_model.lp!$CYF$1782</definedName>
    <definedName name="Variable_own_Mon_00967" localSheetId="0" hidden="1">monday_model.lp!$CYG$2</definedName>
    <definedName name="Variable_own_Mon_00967_Type" localSheetId="0" hidden="1">monday_model.lp!$CYG$1782</definedName>
    <definedName name="Variable_own_Mon_00968" localSheetId="0" hidden="1">monday_model.lp!$CYH$2</definedName>
    <definedName name="Variable_own_Mon_00968_Type" localSheetId="0" hidden="1">monday_model.lp!$CYH$1782</definedName>
    <definedName name="Variable_own_Mon_00969" localSheetId="0" hidden="1">monday_model.lp!$CYI$2</definedName>
    <definedName name="Variable_own_Mon_00969_Type" localSheetId="0" hidden="1">monday_model.lp!$CYI$1782</definedName>
    <definedName name="Variable_own_Mon_00970" localSheetId="0" hidden="1">monday_model.lp!$CYJ$2</definedName>
    <definedName name="Variable_own_Mon_00970_Type" localSheetId="0" hidden="1">monday_model.lp!$CYJ$1782</definedName>
    <definedName name="Variable_own_Mon_00971" localSheetId="0" hidden="1">monday_model.lp!$CYK$2</definedName>
    <definedName name="Variable_own_Mon_00971_Type" localSheetId="0" hidden="1">monday_model.lp!$CYK$1782</definedName>
    <definedName name="Variable_own_Mon_00972" localSheetId="0" hidden="1">monday_model.lp!$CYL$2</definedName>
    <definedName name="Variable_own_Mon_00972_Type" localSheetId="0" hidden="1">monday_model.lp!$CYL$1782</definedName>
    <definedName name="Variable_own_Mon_00973" localSheetId="0" hidden="1">monday_model.lp!$CYM$2</definedName>
    <definedName name="Variable_own_Mon_00973_Type" localSheetId="0" hidden="1">monday_model.lp!$CYM$1782</definedName>
    <definedName name="Variable_own_Mon_00974" localSheetId="0" hidden="1">monday_model.lp!$CYN$2</definedName>
    <definedName name="Variable_own_Mon_00974_Type" localSheetId="0" hidden="1">monday_model.lp!$CYN$1782</definedName>
    <definedName name="Variable_own_Mon_00975" localSheetId="0" hidden="1">monday_model.lp!$CYO$2</definedName>
    <definedName name="Variable_own_Mon_00975_Type" localSheetId="0" hidden="1">monday_model.lp!$CYO$1782</definedName>
    <definedName name="Variable_own_Mon_00976" localSheetId="0" hidden="1">monday_model.lp!$CYP$2</definedName>
    <definedName name="Variable_own_Mon_00976_Type" localSheetId="0" hidden="1">monday_model.lp!$CYP$1782</definedName>
    <definedName name="Variable_own_Mon_00977" localSheetId="0" hidden="1">monday_model.lp!$CYQ$2</definedName>
    <definedName name="Variable_own_Mon_00977_Type" localSheetId="0" hidden="1">monday_model.lp!$CYQ$1782</definedName>
    <definedName name="Variable_own_Mon_00978" localSheetId="0" hidden="1">monday_model.lp!$CYR$2</definedName>
    <definedName name="Variable_own_Mon_00978_Type" localSheetId="0" hidden="1">monday_model.lp!$CYR$1782</definedName>
    <definedName name="Variable_own_Mon_00979" localSheetId="0" hidden="1">monday_model.lp!$CYS$2</definedName>
    <definedName name="Variable_own_Mon_00979_Type" localSheetId="0" hidden="1">monday_model.lp!$CYS$1782</definedName>
    <definedName name="Variable_own_Mon_00980" localSheetId="0" hidden="1">monday_model.lp!$CYT$2</definedName>
    <definedName name="Variable_own_Mon_00980_Type" localSheetId="0" hidden="1">monday_model.lp!$CYT$1782</definedName>
    <definedName name="Variable_own_Mon_00981" localSheetId="0" hidden="1">monday_model.lp!$CYU$2</definedName>
    <definedName name="Variable_own_Mon_00981_Type" localSheetId="0" hidden="1">monday_model.lp!$CYU$1782</definedName>
    <definedName name="Variable_own_Mon_00982" localSheetId="0" hidden="1">monday_model.lp!$CYV$2</definedName>
    <definedName name="Variable_own_Mon_00982_Type" localSheetId="0" hidden="1">monday_model.lp!$CYV$1782</definedName>
    <definedName name="Variable_own_Mon_00983" localSheetId="0" hidden="1">monday_model.lp!$CYW$2</definedName>
    <definedName name="Variable_own_Mon_00983_Type" localSheetId="0" hidden="1">monday_model.lp!$CYW$1782</definedName>
    <definedName name="Variable_own_Mon_00984" localSheetId="0" hidden="1">monday_model.lp!$CYX$2</definedName>
    <definedName name="Variable_own_Mon_00984_Type" localSheetId="0" hidden="1">monday_model.lp!$CYX$1782</definedName>
    <definedName name="Variable_own_Mon_00985" localSheetId="0" hidden="1">monday_model.lp!$CYY$2</definedName>
    <definedName name="Variable_own_Mon_00985_Type" localSheetId="0" hidden="1">monday_model.lp!$CYY$1782</definedName>
    <definedName name="Variable_own_Mon_00986" localSheetId="0" hidden="1">monday_model.lp!$CYZ$2</definedName>
    <definedName name="Variable_own_Mon_00986_Type" localSheetId="0" hidden="1">monday_model.lp!$CYZ$1782</definedName>
    <definedName name="Variable_own_Mon_00987" localSheetId="0" hidden="1">monday_model.lp!$CZA$2</definedName>
    <definedName name="Variable_own_Mon_00987_Type" localSheetId="0" hidden="1">monday_model.lp!$CZA$1782</definedName>
    <definedName name="Variable_own_Mon_00988" localSheetId="0" hidden="1">monday_model.lp!$CZB$2</definedName>
    <definedName name="Variable_own_Mon_00988_Type" localSheetId="0" hidden="1">monday_model.lp!$CZB$1782</definedName>
    <definedName name="Variable_own_Mon_00989" localSheetId="0" hidden="1">monday_model.lp!$CZC$2</definedName>
    <definedName name="Variable_own_Mon_00989_Type" localSheetId="0" hidden="1">monday_model.lp!$CZC$1782</definedName>
    <definedName name="Variable_own_Mon_00990" localSheetId="0" hidden="1">monday_model.lp!$CZD$2</definedName>
    <definedName name="Variable_own_Mon_00990_Type" localSheetId="0" hidden="1">monday_model.lp!$CZD$1782</definedName>
    <definedName name="Variable_own_Mon_00991" localSheetId="0" hidden="1">monday_model.lp!$CZE$2</definedName>
    <definedName name="Variable_own_Mon_00991_Type" localSheetId="0" hidden="1">monday_model.lp!$CZE$1782</definedName>
    <definedName name="Variable_own_Mon_00992" localSheetId="0" hidden="1">monday_model.lp!$CZF$2</definedName>
    <definedName name="Variable_own_Mon_00992_Type" localSheetId="0" hidden="1">monday_model.lp!$CZF$1782</definedName>
    <definedName name="Variable_own_Mon_00993" localSheetId="0" hidden="1">monday_model.lp!$CZG$2</definedName>
    <definedName name="Variable_own_Mon_00993_Type" localSheetId="0" hidden="1">monday_model.lp!$CZG$1782</definedName>
    <definedName name="Variable_own_Mon_00994" localSheetId="0" hidden="1">monday_model.lp!$CZH$2</definedName>
    <definedName name="Variable_own_Mon_00994_Type" localSheetId="0" hidden="1">monday_model.lp!$CZH$1782</definedName>
    <definedName name="Variable_own_Mon_00995" localSheetId="0" hidden="1">monday_model.lp!$CZI$2</definedName>
    <definedName name="Variable_own_Mon_00995_Type" localSheetId="0" hidden="1">monday_model.lp!$CZI$1782</definedName>
    <definedName name="Variable_own_Mon_00996" localSheetId="0" hidden="1">monday_model.lp!$CZJ$2</definedName>
    <definedName name="Variable_own_Mon_00996_Type" localSheetId="0" hidden="1">monday_model.lp!$CZJ$1782</definedName>
    <definedName name="Variable_own_Mon_00997" localSheetId="0" hidden="1">monday_model.lp!$CZK$2</definedName>
    <definedName name="Variable_own_Mon_00997_Type" localSheetId="0" hidden="1">monday_model.lp!$CZK$1782</definedName>
    <definedName name="Variable_own_Mon_00998" localSheetId="0" hidden="1">monday_model.lp!$CZL$2</definedName>
    <definedName name="Variable_own_Mon_00998_Type" localSheetId="0" hidden="1">monday_model.lp!$CZL$1782</definedName>
    <definedName name="Variable_own_Mon_00999" localSheetId="0" hidden="1">monday_model.lp!$CZM$2</definedName>
    <definedName name="Variable_own_Mon_00999_Type" localSheetId="0" hidden="1">monday_model.lp!$CZM$1782</definedName>
    <definedName name="Variable_own_Mon_01000" localSheetId="0" hidden="1">monday_model.lp!$CZN$2</definedName>
    <definedName name="Variable_own_Mon_01000_Type" localSheetId="0" hidden="1">monday_model.lp!$CZN$1782</definedName>
    <definedName name="Variable_own_Mon_01001" localSheetId="0" hidden="1">monday_model.lp!$CZO$2</definedName>
    <definedName name="Variable_own_Mon_01001_Type" localSheetId="0" hidden="1">monday_model.lp!$CZO$1782</definedName>
    <definedName name="Variable_own_Mon_01002" localSheetId="0" hidden="1">monday_model.lp!$CZP$2</definedName>
    <definedName name="Variable_own_Mon_01002_Type" localSheetId="0" hidden="1">monday_model.lp!$CZP$1782</definedName>
    <definedName name="Variable_own_Mon_01003" localSheetId="0" hidden="1">monday_model.lp!$CZQ$2</definedName>
    <definedName name="Variable_own_Mon_01003_Type" localSheetId="0" hidden="1">monday_model.lp!$CZQ$1782</definedName>
    <definedName name="Variable_own_Mon_01004" localSheetId="0" hidden="1">monday_model.lp!$CZR$2</definedName>
    <definedName name="Variable_own_Mon_01004_Type" localSheetId="0" hidden="1">monday_model.lp!$CZR$1782</definedName>
    <definedName name="Variable_own_Mon_01005" localSheetId="0" hidden="1">monday_model.lp!$CZS$2</definedName>
    <definedName name="Variable_own_Mon_01005_Type" localSheetId="0" hidden="1">monday_model.lp!$CZS$1782</definedName>
    <definedName name="Variable_own_Mon_01006" localSheetId="0" hidden="1">monday_model.lp!$CZT$2</definedName>
    <definedName name="Variable_own_Mon_01006_Type" localSheetId="0" hidden="1">monday_model.lp!$CZT$1782</definedName>
    <definedName name="Variable_own_Mon_01007" localSheetId="0" hidden="1">monday_model.lp!$CZU$2</definedName>
    <definedName name="Variable_own_Mon_01007_Type" localSheetId="0" hidden="1">monday_model.lp!$CZU$1782</definedName>
    <definedName name="Variable_own_Mon_01008" localSheetId="0" hidden="1">monday_model.lp!$CZV$2</definedName>
    <definedName name="Variable_own_Mon_01008_Type" localSheetId="0" hidden="1">monday_model.lp!$CZV$1782</definedName>
    <definedName name="Variable_own_Mon_01009" localSheetId="0" hidden="1">monday_model.lp!$CZW$2</definedName>
    <definedName name="Variable_own_Mon_01009_Type" localSheetId="0" hidden="1">monday_model.lp!$CZW$1782</definedName>
    <definedName name="Variable_own_Mon_01010" localSheetId="0" hidden="1">monday_model.lp!$CZX$2</definedName>
    <definedName name="Variable_own_Mon_01010_Type" localSheetId="0" hidden="1">monday_model.lp!$CZX$1782</definedName>
    <definedName name="Variable_own_Mon_01011" localSheetId="0" hidden="1">monday_model.lp!$CZY$2</definedName>
    <definedName name="Variable_own_Mon_01011_Type" localSheetId="0" hidden="1">monday_model.lp!$CZY$1782</definedName>
    <definedName name="Variable_own_Mon_01012" localSheetId="0" hidden="1">monday_model.lp!$CZZ$2</definedName>
    <definedName name="Variable_own_Mon_01012_Type" localSheetId="0" hidden="1">monday_model.lp!$CZZ$1782</definedName>
    <definedName name="Variable_own_Mon_01013" localSheetId="0" hidden="1">monday_model.lp!$DAA$2</definedName>
    <definedName name="Variable_own_Mon_01013_Type" localSheetId="0" hidden="1">monday_model.lp!$DAA$1782</definedName>
    <definedName name="Variable_own_Mon_01014" localSheetId="0" hidden="1">monday_model.lp!$DAB$2</definedName>
    <definedName name="Variable_own_Mon_01014_Type" localSheetId="0" hidden="1">monday_model.lp!$DAB$1782</definedName>
    <definedName name="Variable_own_Mon_01015" localSheetId="0" hidden="1">monday_model.lp!$DAC$2</definedName>
    <definedName name="Variable_own_Mon_01015_Type" localSheetId="0" hidden="1">monday_model.lp!$DAC$1782</definedName>
    <definedName name="Variable_own_Mon_01016" localSheetId="0" hidden="1">monday_model.lp!$DAD$2</definedName>
    <definedName name="Variable_own_Mon_01016_Type" localSheetId="0" hidden="1">monday_model.lp!$DAD$1782</definedName>
    <definedName name="Variable_own_Mon_01017" localSheetId="0" hidden="1">monday_model.lp!$DAE$2</definedName>
    <definedName name="Variable_own_Mon_01017_Type" localSheetId="0" hidden="1">monday_model.lp!$DAE$1782</definedName>
    <definedName name="Variable_own_Mon_01018" localSheetId="0" hidden="1">monday_model.lp!$DAF$2</definedName>
    <definedName name="Variable_own_Mon_01018_Type" localSheetId="0" hidden="1">monday_model.lp!$DAF$1782</definedName>
    <definedName name="Variable_own_Mon_01019" localSheetId="0" hidden="1">monday_model.lp!$DAG$2</definedName>
    <definedName name="Variable_own_Mon_01019_Type" localSheetId="0" hidden="1">monday_model.lp!$DAG$1782</definedName>
    <definedName name="Variable_own_Mon_01020" localSheetId="0" hidden="1">monday_model.lp!$DAH$2</definedName>
    <definedName name="Variable_own_Mon_01020_Type" localSheetId="0" hidden="1">monday_model.lp!$DAH$1782</definedName>
    <definedName name="Variable_own_Mon_01021" localSheetId="0" hidden="1">monday_model.lp!$DAI$2</definedName>
    <definedName name="Variable_own_Mon_01021_Type" localSheetId="0" hidden="1">monday_model.lp!$DAI$1782</definedName>
    <definedName name="Variable_own_Mon_01022" localSheetId="0" hidden="1">monday_model.lp!$DAJ$2</definedName>
    <definedName name="Variable_own_Mon_01022_Type" localSheetId="0" hidden="1">monday_model.lp!$DAJ$1782</definedName>
    <definedName name="Variable_own_Mon_01023" localSheetId="0" hidden="1">monday_model.lp!$DAK$2</definedName>
    <definedName name="Variable_own_Mon_01023_Type" localSheetId="0" hidden="1">monday_model.lp!$DAK$1782</definedName>
    <definedName name="Variable_own_Mon_01024" localSheetId="0" hidden="1">monday_model.lp!$DAL$2</definedName>
    <definedName name="Variable_own_Mon_01024_Type" localSheetId="0" hidden="1">monday_model.lp!$DAL$1782</definedName>
    <definedName name="Variable_own_Mon_01025" localSheetId="0" hidden="1">monday_model.lp!$DAM$2</definedName>
    <definedName name="Variable_own_Mon_01025_Type" localSheetId="0" hidden="1">monday_model.lp!$DAM$1782</definedName>
    <definedName name="Variable_own_Mon_01026" localSheetId="0" hidden="1">monday_model.lp!$DAN$2</definedName>
    <definedName name="Variable_own_Mon_01026_Type" localSheetId="0" hidden="1">monday_model.lp!$DAN$1782</definedName>
    <definedName name="Variable_own_Mon_01027" localSheetId="0" hidden="1">monday_model.lp!$DAO$2</definedName>
    <definedName name="Variable_own_Mon_01027_Type" localSheetId="0" hidden="1">monday_model.lp!$DAO$1782</definedName>
    <definedName name="Variable_own_Mon_01028" localSheetId="0" hidden="1">monday_model.lp!$DAP$2</definedName>
    <definedName name="Variable_own_Mon_01028_Type" localSheetId="0" hidden="1">monday_model.lp!$DAP$1782</definedName>
    <definedName name="Variable_own_Mon_01029" localSheetId="0" hidden="1">monday_model.lp!$DAQ$2</definedName>
    <definedName name="Variable_own_Mon_01029_Type" localSheetId="0" hidden="1">monday_model.lp!$DAQ$1782</definedName>
    <definedName name="Variable_own_Mon_01030" localSheetId="0" hidden="1">monday_model.lp!$DAR$2</definedName>
    <definedName name="Variable_own_Mon_01030_Type" localSheetId="0" hidden="1">monday_model.lp!$DAR$1782</definedName>
    <definedName name="Variable_own_Mon_01031" localSheetId="0" hidden="1">monday_model.lp!$DAS$2</definedName>
    <definedName name="Variable_own_Mon_01031_Type" localSheetId="0" hidden="1">monday_model.lp!$DAS$1782</definedName>
    <definedName name="Variable_own_Mon_01032" localSheetId="0" hidden="1">monday_model.lp!$DAT$2</definedName>
    <definedName name="Variable_own_Mon_01032_Type" localSheetId="0" hidden="1">monday_model.lp!$DAT$1782</definedName>
    <definedName name="Variable_own_Mon_01033" localSheetId="0" hidden="1">monday_model.lp!$DAU$2</definedName>
    <definedName name="Variable_own_Mon_01033_Type" localSheetId="0" hidden="1">monday_model.lp!$DAU$1782</definedName>
    <definedName name="Variable_own_Mon_01034" localSheetId="0" hidden="1">monday_model.lp!$DAV$2</definedName>
    <definedName name="Variable_own_Mon_01034_Type" localSheetId="0" hidden="1">monday_model.lp!$DAV$1782</definedName>
    <definedName name="Variable_own_Mon_01035" localSheetId="0" hidden="1">monday_model.lp!$DAW$2</definedName>
    <definedName name="Variable_own_Mon_01035_Type" localSheetId="0" hidden="1">monday_model.lp!$DAW$1782</definedName>
    <definedName name="Variable_own_Mon_01036" localSheetId="0" hidden="1">monday_model.lp!$DAX$2</definedName>
    <definedName name="Variable_own_Mon_01036_Type" localSheetId="0" hidden="1">monday_model.lp!$DAX$1782</definedName>
    <definedName name="Variable_own_Mon_01037" localSheetId="0" hidden="1">monday_model.lp!$DAY$2</definedName>
    <definedName name="Variable_own_Mon_01037_Type" localSheetId="0" hidden="1">monday_model.lp!$DAY$1782</definedName>
    <definedName name="Variable_own_Mon_01038" localSheetId="0" hidden="1">monday_model.lp!$DAZ$2</definedName>
    <definedName name="Variable_own_Mon_01038_Type" localSheetId="0" hidden="1">monday_model.lp!$DAZ$1782</definedName>
    <definedName name="Variable_own_Mon_01039" localSheetId="0" hidden="1">monday_model.lp!$DBA$2</definedName>
    <definedName name="Variable_own_Mon_01039_Type" localSheetId="0" hidden="1">monday_model.lp!$DBA$1782</definedName>
    <definedName name="Variable_own_Mon_01040" localSheetId="0" hidden="1">monday_model.lp!$DBB$2</definedName>
    <definedName name="Variable_own_Mon_01040_Type" localSheetId="0" hidden="1">monday_model.lp!$DBB$1782</definedName>
    <definedName name="Variable_own_Mon_01041" localSheetId="0" hidden="1">monday_model.lp!$DBC$2</definedName>
    <definedName name="Variable_own_Mon_01041_Type" localSheetId="0" hidden="1">monday_model.lp!$DBC$1782</definedName>
    <definedName name="Variable_own_Mon_01042" localSheetId="0" hidden="1">monday_model.lp!$DBD$2</definedName>
    <definedName name="Variable_own_Mon_01042_Type" localSheetId="0" hidden="1">monday_model.lp!$DBD$1782</definedName>
    <definedName name="Variable_own_Mon_01043" localSheetId="0" hidden="1">monday_model.lp!$DBE$2</definedName>
    <definedName name="Variable_own_Mon_01043_Type" localSheetId="0" hidden="1">monday_model.lp!$DBE$1782</definedName>
    <definedName name="Variable_own_Mon_01044" localSheetId="0" hidden="1">monday_model.lp!$DBF$2</definedName>
    <definedName name="Variable_own_Mon_01044_Type" localSheetId="0" hidden="1">monday_model.lp!$DBF$1782</definedName>
    <definedName name="Variable_own_Mon_01045" localSheetId="0" hidden="1">monday_model.lp!$DBG$2</definedName>
    <definedName name="Variable_own_Mon_01045_Type" localSheetId="0" hidden="1">monday_model.lp!$DBG$1782</definedName>
    <definedName name="Variable_own_Mon_01046" localSheetId="0" hidden="1">monday_model.lp!$DBH$2</definedName>
    <definedName name="Variable_own_Mon_01046_Type" localSheetId="0" hidden="1">monday_model.lp!$DBH$1782</definedName>
    <definedName name="Variable_own_Mon_01047" localSheetId="0" hidden="1">monday_model.lp!$DBI$2</definedName>
    <definedName name="Variable_own_Mon_01047_Type" localSheetId="0" hidden="1">monday_model.lp!$DBI$1782</definedName>
    <definedName name="Variable_own_Mon_01048" localSheetId="0" hidden="1">monday_model.lp!$DBJ$2</definedName>
    <definedName name="Variable_own_Mon_01048_Type" localSheetId="0" hidden="1">monday_model.lp!$DBJ$1782</definedName>
    <definedName name="Variable_own_Mon_01049" localSheetId="0" hidden="1">monday_model.lp!$DBK$2</definedName>
    <definedName name="Variable_own_Mon_01049_Type" localSheetId="0" hidden="1">monday_model.lp!$DBK$1782</definedName>
    <definedName name="Variable_own_Mon_01050" localSheetId="0" hidden="1">monday_model.lp!$DBL$2</definedName>
    <definedName name="Variable_own_Mon_01050_Type" localSheetId="0" hidden="1">monday_model.lp!$DBL$1782</definedName>
    <definedName name="Variable_own_Mon_01051" localSheetId="0" hidden="1">monday_model.lp!$DBM$2</definedName>
    <definedName name="Variable_own_Mon_01051_Type" localSheetId="0" hidden="1">monday_model.lp!$DBM$1782</definedName>
    <definedName name="Variable_own_Mon_01052" localSheetId="0" hidden="1">monday_model.lp!$DBN$2</definedName>
    <definedName name="Variable_own_Mon_01052_Type" localSheetId="0" hidden="1">monday_model.lp!$DBN$1782</definedName>
    <definedName name="Variable_own_Mon_01053" localSheetId="0" hidden="1">monday_model.lp!$DBO$2</definedName>
    <definedName name="Variable_own_Mon_01053_Type" localSheetId="0" hidden="1">monday_model.lp!$DBO$1782</definedName>
    <definedName name="Variable_own_Mon_01054" localSheetId="0" hidden="1">monday_model.lp!$DBP$2</definedName>
    <definedName name="Variable_own_Mon_01054_Type" localSheetId="0" hidden="1">monday_model.lp!$DBP$1782</definedName>
    <definedName name="Variable_own_Mon_01055" localSheetId="0" hidden="1">monday_model.lp!$DBQ$2</definedName>
    <definedName name="Variable_own_Mon_01055_Type" localSheetId="0" hidden="1">monday_model.lp!$DBQ$1782</definedName>
    <definedName name="Variable_own_Mon_01056" localSheetId="0" hidden="1">monday_model.lp!$DBR$2</definedName>
    <definedName name="Variable_own_Mon_01056_Type" localSheetId="0" hidden="1">monday_model.lp!$DBR$1782</definedName>
    <definedName name="Variable_own_Mon_01057" localSheetId="0" hidden="1">monday_model.lp!$DBS$2</definedName>
    <definedName name="Variable_own_Mon_01057_Type" localSheetId="0" hidden="1">monday_model.lp!$DBS$1782</definedName>
    <definedName name="Variable_own_Mon_01058" localSheetId="0" hidden="1">monday_model.lp!$DBT$2</definedName>
    <definedName name="Variable_own_Mon_01058_Type" localSheetId="0" hidden="1">monday_model.lp!$DBT$1782</definedName>
    <definedName name="Variable_own_Mon_01059" localSheetId="0" hidden="1">monday_model.lp!$DBU$2</definedName>
    <definedName name="Variable_own_Mon_01059_Type" localSheetId="0" hidden="1">monday_model.lp!$DBU$1782</definedName>
    <definedName name="Variable_own_Mon_01060" localSheetId="0" hidden="1">monday_model.lp!$DBV$2</definedName>
    <definedName name="Variable_own_Mon_01060_Type" localSheetId="0" hidden="1">monday_model.lp!$DBV$1782</definedName>
    <definedName name="Variable_own_Mon_01061" localSheetId="0" hidden="1">monday_model.lp!$DBW$2</definedName>
    <definedName name="Variable_own_Mon_01061_Type" localSheetId="0" hidden="1">monday_model.lp!$DBW$1782</definedName>
    <definedName name="Variable_own_Mon_01062" localSheetId="0" hidden="1">monday_model.lp!$DBX$2</definedName>
    <definedName name="Variable_own_Mon_01062_Type" localSheetId="0" hidden="1">monday_model.lp!$DBX$1782</definedName>
    <definedName name="Variable_own_Mon_01063" localSheetId="0" hidden="1">monday_model.lp!$DBY$2</definedName>
    <definedName name="Variable_own_Mon_01063_Type" localSheetId="0" hidden="1">monday_model.lp!$DBY$1782</definedName>
    <definedName name="Variable_own_Mon_01064" localSheetId="0" hidden="1">monday_model.lp!$DBZ$2</definedName>
    <definedName name="Variable_own_Mon_01064_Type" localSheetId="0" hidden="1">monday_model.lp!$DBZ$1782</definedName>
    <definedName name="Variable_own_Mon_01065" localSheetId="0" hidden="1">monday_model.lp!$DCA$2</definedName>
    <definedName name="Variable_own_Mon_01065_Type" localSheetId="0" hidden="1">monday_model.lp!$DCA$1782</definedName>
    <definedName name="Variable_own_Mon_01066" localSheetId="0" hidden="1">monday_model.lp!$DCB$2</definedName>
    <definedName name="Variable_own_Mon_01066_Type" localSheetId="0" hidden="1">monday_model.lp!$DCB$1782</definedName>
    <definedName name="Variable_own_Mon_01067" localSheetId="0" hidden="1">monday_model.lp!$DCC$2</definedName>
    <definedName name="Variable_own_Mon_01067_Type" localSheetId="0" hidden="1">monday_model.lp!$DCC$1782</definedName>
    <definedName name="Variable_own_Mon_01068" localSheetId="0" hidden="1">monday_model.lp!$DCD$2</definedName>
    <definedName name="Variable_own_Mon_01068_Type" localSheetId="0" hidden="1">monday_model.lp!$DCD$1782</definedName>
    <definedName name="Variable_own_Mon_01069" localSheetId="0" hidden="1">monday_model.lp!$DCE$2</definedName>
    <definedName name="Variable_own_Mon_01069_Type" localSheetId="0" hidden="1">monday_model.lp!$DCE$1782</definedName>
    <definedName name="Variable_own_Mon_01070" localSheetId="0" hidden="1">monday_model.lp!$DCF$2</definedName>
    <definedName name="Variable_own_Mon_01070_Type" localSheetId="0" hidden="1">monday_model.lp!$DCF$1782</definedName>
    <definedName name="Variable_own_Mon_01071" localSheetId="0" hidden="1">monday_model.lp!$DCG$2</definedName>
    <definedName name="Variable_own_Mon_01071_Type" localSheetId="0" hidden="1">monday_model.lp!$DCG$1782</definedName>
    <definedName name="Variable_own_Mon_01072" localSheetId="0" hidden="1">monday_model.lp!$DCH$2</definedName>
    <definedName name="Variable_own_Mon_01072_Type" localSheetId="0" hidden="1">monday_model.lp!$DCH$1782</definedName>
    <definedName name="Variable_own_Mon_01073" localSheetId="0" hidden="1">monday_model.lp!$DCI$2</definedName>
    <definedName name="Variable_own_Mon_01073_Type" localSheetId="0" hidden="1">monday_model.lp!$DCI$1782</definedName>
    <definedName name="Variable_own_Mon_01074" localSheetId="0" hidden="1">monday_model.lp!$DCJ$2</definedName>
    <definedName name="Variable_own_Mon_01074_Type" localSheetId="0" hidden="1">monday_model.lp!$DCJ$1782</definedName>
    <definedName name="Variable_own_Mon_01075" localSheetId="0" hidden="1">monday_model.lp!$DCK$2</definedName>
    <definedName name="Variable_own_Mon_01075_Type" localSheetId="0" hidden="1">monday_model.lp!$DCK$1782</definedName>
    <definedName name="Variable_own_Mon_01076" localSheetId="0" hidden="1">monday_model.lp!$DCL$2</definedName>
    <definedName name="Variable_own_Mon_01076_Type" localSheetId="0" hidden="1">monday_model.lp!$DCL$1782</definedName>
    <definedName name="Variable_own_Mon_01077" localSheetId="0" hidden="1">monday_model.lp!$DCM$2</definedName>
    <definedName name="Variable_own_Mon_01077_Type" localSheetId="0" hidden="1">monday_model.lp!$DCM$1782</definedName>
    <definedName name="Variable_own_Mon_01078" localSheetId="0" hidden="1">monday_model.lp!$DCN$2</definedName>
    <definedName name="Variable_own_Mon_01078_Type" localSheetId="0" hidden="1">monday_model.lp!$DCN$1782</definedName>
    <definedName name="Variable_own_Mon_01079" localSheetId="0" hidden="1">monday_model.lp!$DCO$2</definedName>
    <definedName name="Variable_own_Mon_01079_Type" localSheetId="0" hidden="1">monday_model.lp!$DCO$1782</definedName>
    <definedName name="Variable_own_Mon_01080" localSheetId="0" hidden="1">monday_model.lp!$DCP$2</definedName>
    <definedName name="Variable_own_Mon_01080_Type" localSheetId="0" hidden="1">monday_model.lp!$DCP$1782</definedName>
    <definedName name="Variable_own_Mon_01081" localSheetId="0" hidden="1">monday_model.lp!$DCQ$2</definedName>
    <definedName name="Variable_own_Mon_01081_Type" localSheetId="0" hidden="1">monday_model.lp!$DCQ$1782</definedName>
    <definedName name="Variable_own_Mon_01082" localSheetId="0" hidden="1">monday_model.lp!$DCR$2</definedName>
    <definedName name="Variable_own_Mon_01082_Type" localSheetId="0" hidden="1">monday_model.lp!$DCR$1782</definedName>
    <definedName name="Variable_own_Mon_01083" localSheetId="0" hidden="1">monday_model.lp!$DCS$2</definedName>
    <definedName name="Variable_own_Mon_01083_Type" localSheetId="0" hidden="1">monday_model.lp!$DCS$1782</definedName>
    <definedName name="Variable_own_Mon_01084" localSheetId="0" hidden="1">monday_model.lp!$DCT$2</definedName>
    <definedName name="Variable_own_Mon_01084_Type" localSheetId="0" hidden="1">monday_model.lp!$DCT$1782</definedName>
    <definedName name="Variable_own_Mon_01085" localSheetId="0" hidden="1">monday_model.lp!$DCU$2</definedName>
    <definedName name="Variable_own_Mon_01085_Type" localSheetId="0" hidden="1">monday_model.lp!$DCU$1782</definedName>
    <definedName name="Variable_own_Mon_01086" localSheetId="0" hidden="1">monday_model.lp!$DCV$2</definedName>
    <definedName name="Variable_own_Mon_01086_Type" localSheetId="0" hidden="1">monday_model.lp!$DCV$1782</definedName>
    <definedName name="Variable_own_Mon_01087" localSheetId="0" hidden="1">monday_model.lp!$DCW$2</definedName>
    <definedName name="Variable_own_Mon_01087_Type" localSheetId="0" hidden="1">monday_model.lp!$DCW$1782</definedName>
    <definedName name="Variable_own_Mon_01088" localSheetId="0" hidden="1">monday_model.lp!$DCX$2</definedName>
    <definedName name="Variable_own_Mon_01088_Type" localSheetId="0" hidden="1">monday_model.lp!$DCX$1782</definedName>
    <definedName name="Variable_own_Mon_01089" localSheetId="0" hidden="1">monday_model.lp!$DCY$2</definedName>
    <definedName name="Variable_own_Mon_01089_Type" localSheetId="0" hidden="1">monday_model.lp!$DCY$1782</definedName>
    <definedName name="Variable_own_Mon_01090" localSheetId="0" hidden="1">monday_model.lp!$DCZ$2</definedName>
    <definedName name="Variable_own_Mon_01090_Type" localSheetId="0" hidden="1">monday_model.lp!$DCZ$1782</definedName>
    <definedName name="Variable_own_Mon_01091" localSheetId="0" hidden="1">monday_model.lp!$DDA$2</definedName>
    <definedName name="Variable_own_Mon_01091_Type" localSheetId="0" hidden="1">monday_model.lp!$DDA$1782</definedName>
    <definedName name="Variable_own_Mon_01092" localSheetId="0" hidden="1">monday_model.lp!$DDB$2</definedName>
    <definedName name="Variable_own_Mon_01092_Type" localSheetId="0" hidden="1">monday_model.lp!$DDB$1782</definedName>
    <definedName name="Variable_own_Mon_01093" localSheetId="0" hidden="1">monday_model.lp!$DDC$2</definedName>
    <definedName name="Variable_own_Mon_01093_Type" localSheetId="0" hidden="1">monday_model.lp!$DDC$1782</definedName>
    <definedName name="Variable_own_Mon_01094" localSheetId="0" hidden="1">monday_model.lp!$DDD$2</definedName>
    <definedName name="Variable_own_Mon_01094_Type" localSheetId="0" hidden="1">monday_model.lp!$DDD$1782</definedName>
    <definedName name="Variable_own_Mon_01095" localSheetId="0" hidden="1">monday_model.lp!$DDE$2</definedName>
    <definedName name="Variable_own_Mon_01095_Type" localSheetId="0" hidden="1">monday_model.lp!$DDE$1782</definedName>
    <definedName name="Variable_own_Mon_01096" localSheetId="0" hidden="1">monday_model.lp!$DDF$2</definedName>
    <definedName name="Variable_own_Mon_01096_Type" localSheetId="0" hidden="1">monday_model.lp!$DDF$1782</definedName>
    <definedName name="Variable_own_Mon_01097" localSheetId="0" hidden="1">monday_model.lp!$DDG$2</definedName>
    <definedName name="Variable_own_Mon_01097_Type" localSheetId="0" hidden="1">monday_model.lp!$DDG$1782</definedName>
    <definedName name="Variable_own_Mon_01098" localSheetId="0" hidden="1">monday_model.lp!$DDH$2</definedName>
    <definedName name="Variable_own_Mon_01098_Type" localSheetId="0" hidden="1">monday_model.lp!$DDH$1782</definedName>
    <definedName name="Variable_own_Mon_01099" localSheetId="0" hidden="1">monday_model.lp!$DDI$2</definedName>
    <definedName name="Variable_own_Mon_01099_Type" localSheetId="0" hidden="1">monday_model.lp!$DDI$1782</definedName>
    <definedName name="Variable_own_Mon_01100" localSheetId="0" hidden="1">monday_model.lp!$DDJ$2</definedName>
    <definedName name="Variable_own_Mon_01100_Type" localSheetId="0" hidden="1">monday_model.lp!$DDJ$1782</definedName>
    <definedName name="Variable_own_Mon_01101" localSheetId="0" hidden="1">monday_model.lp!$DDK$2</definedName>
    <definedName name="Variable_own_Mon_01101_Type" localSheetId="0" hidden="1">monday_model.lp!$DDK$1782</definedName>
    <definedName name="Variable_own_Mon_01102" localSheetId="0" hidden="1">monday_model.lp!$DDL$2</definedName>
    <definedName name="Variable_own_Mon_01102_Type" localSheetId="0" hidden="1">monday_model.lp!$DDL$1782</definedName>
    <definedName name="Variable_own_Mon_01103" localSheetId="0" hidden="1">monday_model.lp!$DDM$2</definedName>
    <definedName name="Variable_own_Mon_01103_Type" localSheetId="0" hidden="1">monday_model.lp!$DDM$1782</definedName>
    <definedName name="Variable_own_Mon_01104" localSheetId="0" hidden="1">monday_model.lp!$DDN$2</definedName>
    <definedName name="Variable_own_Mon_01104_Type" localSheetId="0" hidden="1">monday_model.lp!$DDN$1782</definedName>
    <definedName name="Variable_own_Mon_01105" localSheetId="0" hidden="1">monday_model.lp!$DDO$2</definedName>
    <definedName name="Variable_own_Mon_01105_Type" localSheetId="0" hidden="1">monday_model.lp!$DDO$1782</definedName>
    <definedName name="Variable_own_Mon_01106" localSheetId="0" hidden="1">monday_model.lp!$DDP$2</definedName>
    <definedName name="Variable_own_Mon_01106_Type" localSheetId="0" hidden="1">monday_model.lp!$DDP$1782</definedName>
    <definedName name="Variable_own_Mon_01107" localSheetId="0" hidden="1">monday_model.lp!$DDQ$2</definedName>
    <definedName name="Variable_own_Mon_01107_Type" localSheetId="0" hidden="1">monday_model.lp!$DDQ$1782</definedName>
    <definedName name="Variable_own_Mon_01108" localSheetId="0" hidden="1">monday_model.lp!$DDR$2</definedName>
    <definedName name="Variable_own_Mon_01108_Type" localSheetId="0" hidden="1">monday_model.lp!$DDR$1782</definedName>
    <definedName name="Variable_own_Mon_01109" localSheetId="0" hidden="1">monday_model.lp!$DDS$2</definedName>
    <definedName name="Variable_own_Mon_01109_Type" localSheetId="0" hidden="1">monday_model.lp!$DDS$1782</definedName>
    <definedName name="Variable_own_Mon_01110" localSheetId="0" hidden="1">monday_model.lp!$DDT$2</definedName>
    <definedName name="Variable_own_Mon_01110_Type" localSheetId="0" hidden="1">monday_model.lp!$DDT$1782</definedName>
    <definedName name="Variable_own_Mon_01111" localSheetId="0" hidden="1">monday_model.lp!$DDU$2</definedName>
    <definedName name="Variable_own_Mon_01111_Type" localSheetId="0" hidden="1">monday_model.lp!$DDU$1782</definedName>
    <definedName name="Variable_own_Mon_01112" localSheetId="0" hidden="1">monday_model.lp!$DDV$2</definedName>
    <definedName name="Variable_own_Mon_01112_Type" localSheetId="0" hidden="1">monday_model.lp!$DDV$1782</definedName>
    <definedName name="Variable_own_Mon_01113" localSheetId="0" hidden="1">monday_model.lp!$DDW$2</definedName>
    <definedName name="Variable_own_Mon_01113_Type" localSheetId="0" hidden="1">monday_model.lp!$DDW$1782</definedName>
    <definedName name="Variable_own_Mon_01114" localSheetId="0" hidden="1">monday_model.lp!$DDX$2</definedName>
    <definedName name="Variable_own_Mon_01114_Type" localSheetId="0" hidden="1">monday_model.lp!$DDX$1782</definedName>
    <definedName name="Variable_own_Mon_01115" localSheetId="0" hidden="1">monday_model.lp!$DDY$2</definedName>
    <definedName name="Variable_own_Mon_01115_Type" localSheetId="0" hidden="1">monday_model.lp!$DDY$1782</definedName>
    <definedName name="Variable_own_Mon_01116" localSheetId="0" hidden="1">monday_model.lp!$DDZ$2</definedName>
    <definedName name="Variable_own_Mon_01116_Type" localSheetId="0" hidden="1">monday_model.lp!$DDZ$1782</definedName>
    <definedName name="Variable_own_Mon_01117" localSheetId="0" hidden="1">monday_model.lp!$DEA$2</definedName>
    <definedName name="Variable_own_Mon_01117_Type" localSheetId="0" hidden="1">monday_model.lp!$DEA$1782</definedName>
    <definedName name="Variable_own_Mon_01118" localSheetId="0" hidden="1">monday_model.lp!$DEB$2</definedName>
    <definedName name="Variable_own_Mon_01118_Type" localSheetId="0" hidden="1">monday_model.lp!$DEB$1782</definedName>
    <definedName name="Variable_own_Mon_01119" localSheetId="0" hidden="1">monday_model.lp!$DEC$2</definedName>
    <definedName name="Variable_own_Mon_01119_Type" localSheetId="0" hidden="1">monday_model.lp!$DEC$1782</definedName>
    <definedName name="Variable_own_Mon_01120" localSheetId="0" hidden="1">monday_model.lp!$DED$2</definedName>
    <definedName name="Variable_own_Mon_01120_Type" localSheetId="0" hidden="1">monday_model.lp!$DED$1782</definedName>
    <definedName name="Variable_own_Mon_01121" localSheetId="0" hidden="1">monday_model.lp!$DEE$2</definedName>
    <definedName name="Variable_own_Mon_01121_Type" localSheetId="0" hidden="1">monday_model.lp!$DEE$1782</definedName>
    <definedName name="Variable_own_Mon_01122" localSheetId="0" hidden="1">monday_model.lp!$DEF$2</definedName>
    <definedName name="Variable_own_Mon_01122_Type" localSheetId="0" hidden="1">monday_model.lp!$DEF$1782</definedName>
    <definedName name="Variable_own_Mon_01123" localSheetId="0" hidden="1">monday_model.lp!$DEG$2</definedName>
    <definedName name="Variable_own_Mon_01123_Type" localSheetId="0" hidden="1">monday_model.lp!$DEG$1782</definedName>
    <definedName name="Variable_own_Mon_01124" localSheetId="0" hidden="1">monday_model.lp!$DEH$2</definedName>
    <definedName name="Variable_own_Mon_01124_Type" localSheetId="0" hidden="1">monday_model.lp!$DEH$1782</definedName>
    <definedName name="Variable_own_Mon_01125" localSheetId="0" hidden="1">monday_model.lp!$DEI$2</definedName>
    <definedName name="Variable_own_Mon_01125_Type" localSheetId="0" hidden="1">monday_model.lp!$DEI$1782</definedName>
    <definedName name="Variable_own_Mon_01126" localSheetId="0" hidden="1">monday_model.lp!$DEJ$2</definedName>
    <definedName name="Variable_own_Mon_01126_Type" localSheetId="0" hidden="1">monday_model.lp!$DEJ$1782</definedName>
    <definedName name="Variable_own_Mon_01127" localSheetId="0" hidden="1">monday_model.lp!$DEK$2</definedName>
    <definedName name="Variable_own_Mon_01127_Type" localSheetId="0" hidden="1">monday_model.lp!$DEK$1782</definedName>
    <definedName name="Variable_own_Mon_01128" localSheetId="0" hidden="1">monday_model.lp!$DEL$2</definedName>
    <definedName name="Variable_own_Mon_01128_Type" localSheetId="0" hidden="1">monday_model.lp!$DEL$1782</definedName>
    <definedName name="Variable_own_Mon_01129" localSheetId="0" hidden="1">monday_model.lp!$DEM$2</definedName>
    <definedName name="Variable_own_Mon_01129_Type" localSheetId="0" hidden="1">monday_model.lp!$DEM$1782</definedName>
    <definedName name="Variable_own_Mon_01130" localSheetId="0" hidden="1">monday_model.lp!$DEN$2</definedName>
    <definedName name="Variable_own_Mon_01130_Type" localSheetId="0" hidden="1">monday_model.lp!$DEN$1782</definedName>
    <definedName name="Variable_own_Mon_01131" localSheetId="0" hidden="1">monday_model.lp!$DEO$2</definedName>
    <definedName name="Variable_own_Mon_01131_Type" localSheetId="0" hidden="1">monday_model.lp!$DEO$1782</definedName>
    <definedName name="Variable_own_Mon_01132" localSheetId="0" hidden="1">monday_model.lp!$DEP$2</definedName>
    <definedName name="Variable_own_Mon_01132_Type" localSheetId="0" hidden="1">monday_model.lp!$DEP$1782</definedName>
    <definedName name="Variable_own_Mon_01133" localSheetId="0" hidden="1">monday_model.lp!$DEQ$2</definedName>
    <definedName name="Variable_own_Mon_01133_Type" localSheetId="0" hidden="1">monday_model.lp!$DEQ$1782</definedName>
    <definedName name="Variable_own_Mon_01134" localSheetId="0" hidden="1">monday_model.lp!$DER$2</definedName>
    <definedName name="Variable_own_Mon_01134_Type" localSheetId="0" hidden="1">monday_model.lp!$DER$1782</definedName>
    <definedName name="Variable_own_Mon_01135" localSheetId="0" hidden="1">monday_model.lp!$DES$2</definedName>
    <definedName name="Variable_own_Mon_01135_Type" localSheetId="0" hidden="1">monday_model.lp!$DES$1782</definedName>
    <definedName name="Variable_own_Mon_01136" localSheetId="0" hidden="1">monday_model.lp!$DET$2</definedName>
    <definedName name="Variable_own_Mon_01136_Type" localSheetId="0" hidden="1">monday_model.lp!$DET$1782</definedName>
    <definedName name="Variable_own_Mon_01137" localSheetId="0" hidden="1">monday_model.lp!$DEU$2</definedName>
    <definedName name="Variable_own_Mon_01137_Type" localSheetId="0" hidden="1">monday_model.lp!$DEU$1782</definedName>
    <definedName name="Variable_own_Mon_01138" localSheetId="0" hidden="1">monday_model.lp!$DEV$2</definedName>
    <definedName name="Variable_own_Mon_01138_Type" localSheetId="0" hidden="1">monday_model.lp!$DEV$1782</definedName>
    <definedName name="Variable_own_Mon_01139" localSheetId="0" hidden="1">monday_model.lp!$DEW$2</definedName>
    <definedName name="Variable_own_Mon_01139_Type" localSheetId="0" hidden="1">monday_model.lp!$DEW$1782</definedName>
    <definedName name="Variable_own_Mon_01140" localSheetId="0" hidden="1">monday_model.lp!$DEX$2</definedName>
    <definedName name="Variable_own_Mon_01140_Type" localSheetId="0" hidden="1">monday_model.lp!$DEX$1782</definedName>
    <definedName name="Variable_own_Mon_01141" localSheetId="0" hidden="1">monday_model.lp!$DEY$2</definedName>
    <definedName name="Variable_own_Mon_01141_Type" localSheetId="0" hidden="1">monday_model.lp!$DEY$1782</definedName>
    <definedName name="Variable_own_Mon_01142" localSheetId="0" hidden="1">monday_model.lp!$DEZ$2</definedName>
    <definedName name="Variable_own_Mon_01142_Type" localSheetId="0" hidden="1">monday_model.lp!$DEZ$1782</definedName>
    <definedName name="Variable_own_Mon_01143" localSheetId="0" hidden="1">monday_model.lp!$DFA$2</definedName>
    <definedName name="Variable_own_Mon_01143_Type" localSheetId="0" hidden="1">monday_model.lp!$DFA$1782</definedName>
    <definedName name="Variable_own_Mon_01144" localSheetId="0" hidden="1">monday_model.lp!$DFB$2</definedName>
    <definedName name="Variable_own_Mon_01144_Type" localSheetId="0" hidden="1">monday_model.lp!$DFB$1782</definedName>
    <definedName name="Variable_own_Mon_01145" localSheetId="0" hidden="1">monday_model.lp!$DFC$2</definedName>
    <definedName name="Variable_own_Mon_01145_Type" localSheetId="0" hidden="1">monday_model.lp!$DFC$1782</definedName>
    <definedName name="Variable_own_Mon_01146" localSheetId="0" hidden="1">monday_model.lp!$DFD$2</definedName>
    <definedName name="Variable_own_Mon_01146_Type" localSheetId="0" hidden="1">monday_model.lp!$DFD$1782</definedName>
    <definedName name="Variable_own_Mon_01147" localSheetId="0" hidden="1">monday_model.lp!$DFE$2</definedName>
    <definedName name="Variable_own_Mon_01147_Type" localSheetId="0" hidden="1">monday_model.lp!$DFE$1782</definedName>
    <definedName name="Variable_own_Mon_01148" localSheetId="0" hidden="1">monday_model.lp!$DFF$2</definedName>
    <definedName name="Variable_own_Mon_01148_Type" localSheetId="0" hidden="1">monday_model.lp!$DFF$1782</definedName>
    <definedName name="Variable_own_Mon_01149" localSheetId="0" hidden="1">monday_model.lp!$DFG$2</definedName>
    <definedName name="Variable_own_Mon_01149_Type" localSheetId="0" hidden="1">monday_model.lp!$DFG$1782</definedName>
    <definedName name="Variable_own_Mon_01150" localSheetId="0" hidden="1">monday_model.lp!$DFH$2</definedName>
    <definedName name="Variable_own_Mon_01150_Type" localSheetId="0" hidden="1">monday_model.lp!$DFH$1782</definedName>
    <definedName name="Variable_own_Mon_01151" localSheetId="0" hidden="1">monday_model.lp!$DFI$2</definedName>
    <definedName name="Variable_own_Mon_01151_Type" localSheetId="0" hidden="1">monday_model.lp!$DFI$1782</definedName>
    <definedName name="Variable_own_Mon_01152" localSheetId="0" hidden="1">monday_model.lp!$DFJ$2</definedName>
    <definedName name="Variable_own_Mon_01152_Type" localSheetId="0" hidden="1">monday_model.lp!$DFJ$1782</definedName>
    <definedName name="Variable_own_Mon_01153" localSheetId="0" hidden="1">monday_model.lp!$DFK$2</definedName>
    <definedName name="Variable_own_Mon_01153_Type" localSheetId="0" hidden="1">monday_model.lp!$DFK$1782</definedName>
    <definedName name="Variable_own_Mon_01154" localSheetId="0" hidden="1">monday_model.lp!$DFL$2</definedName>
    <definedName name="Variable_own_Mon_01154_Type" localSheetId="0" hidden="1">monday_model.lp!$DFL$1782</definedName>
    <definedName name="Variable_own_Mon_01155" localSheetId="0" hidden="1">monday_model.lp!$DFM$2</definedName>
    <definedName name="Variable_own_Mon_01155_Type" localSheetId="0" hidden="1">monday_model.lp!$DFM$1782</definedName>
    <definedName name="Variable_own_Mon_01156" localSheetId="0" hidden="1">monday_model.lp!$DFN$2</definedName>
    <definedName name="Variable_own_Mon_01156_Type" localSheetId="0" hidden="1">monday_model.lp!$DFN$1782</definedName>
    <definedName name="Variable_own_Mon_01157" localSheetId="0" hidden="1">monday_model.lp!$DFO$2</definedName>
    <definedName name="Variable_own_Mon_01157_Type" localSheetId="0" hidden="1">monday_model.lp!$DFO$1782</definedName>
    <definedName name="Variable_own_Mon_01158" localSheetId="0" hidden="1">monday_model.lp!$DFP$2</definedName>
    <definedName name="Variable_own_Mon_01158_Type" localSheetId="0" hidden="1">monday_model.lp!$DFP$1782</definedName>
    <definedName name="Variable_own_Mon_01159" localSheetId="0" hidden="1">monday_model.lp!$DFQ$2</definedName>
    <definedName name="Variable_own_Mon_01159_Type" localSheetId="0" hidden="1">monday_model.lp!$DFQ$1782</definedName>
    <definedName name="Variable_own_Mon_01160" localSheetId="0" hidden="1">monday_model.lp!$DFR$2</definedName>
    <definedName name="Variable_own_Mon_01160_Type" localSheetId="0" hidden="1">monday_model.lp!$DFR$1782</definedName>
    <definedName name="Variable_own_Mon_01161" localSheetId="0" hidden="1">monday_model.lp!$DFS$2</definedName>
    <definedName name="Variable_own_Mon_01161_Type" localSheetId="0" hidden="1">monday_model.lp!$DFS$1782</definedName>
    <definedName name="Variable_own_Mon_01162" localSheetId="0" hidden="1">monday_model.lp!$DFT$2</definedName>
    <definedName name="Variable_own_Mon_01162_Type" localSheetId="0" hidden="1">monday_model.lp!$DFT$1782</definedName>
    <definedName name="Variable_own_Mon_01163" localSheetId="0" hidden="1">monday_model.lp!$DFU$2</definedName>
    <definedName name="Variable_own_Mon_01163_Type" localSheetId="0" hidden="1">monday_model.lp!$DFU$1782</definedName>
    <definedName name="Variable_own_Mon_01164" localSheetId="0" hidden="1">monday_model.lp!$DFV$2</definedName>
    <definedName name="Variable_own_Mon_01164_Type" localSheetId="0" hidden="1">monday_model.lp!$DFV$1782</definedName>
    <definedName name="Variable_own_Mon_01165" localSheetId="0" hidden="1">monday_model.lp!$DFW$2</definedName>
    <definedName name="Variable_own_Mon_01165_Type" localSheetId="0" hidden="1">monday_model.lp!$DFW$1782</definedName>
    <definedName name="Variable_own_Mon_01166" localSheetId="0" hidden="1">monday_model.lp!$DFX$2</definedName>
    <definedName name="Variable_own_Mon_01166_Type" localSheetId="0" hidden="1">monday_model.lp!$DFX$1782</definedName>
    <definedName name="Variable_own_Mon_01167" localSheetId="0" hidden="1">monday_model.lp!$DFY$2</definedName>
    <definedName name="Variable_own_Mon_01167_Type" localSheetId="0" hidden="1">monday_model.lp!$DFY$1782</definedName>
    <definedName name="Variable_own_Mon_01168" localSheetId="0" hidden="1">monday_model.lp!$DFZ$2</definedName>
    <definedName name="Variable_own_Mon_01168_Type" localSheetId="0" hidden="1">monday_model.lp!$DFZ$1782</definedName>
    <definedName name="Variable_own_Mon_01169" localSheetId="0" hidden="1">monday_model.lp!$DGA$2</definedName>
    <definedName name="Variable_own_Mon_01169_Type" localSheetId="0" hidden="1">monday_model.lp!$DGA$1782</definedName>
    <definedName name="Variable_own_Mon_01170" localSheetId="0" hidden="1">monday_model.lp!$DGB$2</definedName>
    <definedName name="Variable_own_Mon_01170_Type" localSheetId="0" hidden="1">monday_model.lp!$DGB$1782</definedName>
    <definedName name="Variable_own_Mon_01171" localSheetId="0" hidden="1">monday_model.lp!$DGC$2</definedName>
    <definedName name="Variable_own_Mon_01171_Type" localSheetId="0" hidden="1">monday_model.lp!$DGC$1782</definedName>
    <definedName name="Variable_own_Mon_01172" localSheetId="0" hidden="1">monday_model.lp!$DGD$2</definedName>
    <definedName name="Variable_own_Mon_01172_Type" localSheetId="0" hidden="1">monday_model.lp!$DGD$1782</definedName>
    <definedName name="Variable_own_Mon_01173" localSheetId="0" hidden="1">monday_model.lp!$DGE$2</definedName>
    <definedName name="Variable_own_Mon_01173_Type" localSheetId="0" hidden="1">monday_model.lp!$DGE$1782</definedName>
    <definedName name="Variable_own_Mon_01174" localSheetId="0" hidden="1">monday_model.lp!$DGF$2</definedName>
    <definedName name="Variable_own_Mon_01174_Type" localSheetId="0" hidden="1">monday_model.lp!$DGF$1782</definedName>
    <definedName name="Variable_own_Mon_01175" localSheetId="0" hidden="1">monday_model.lp!$DGG$2</definedName>
    <definedName name="Variable_own_Mon_01175_Type" localSheetId="0" hidden="1">monday_model.lp!$DGG$1782</definedName>
    <definedName name="Variable_own_Mon_01176" localSheetId="0" hidden="1">monday_model.lp!$DGH$2</definedName>
    <definedName name="Variable_own_Mon_01176_Type" localSheetId="0" hidden="1">monday_model.lp!$DGH$1782</definedName>
    <definedName name="Variable_own_Mon_01177" localSheetId="0" hidden="1">monday_model.lp!$DGI$2</definedName>
    <definedName name="Variable_own_Mon_01177_Type" localSheetId="0" hidden="1">monday_model.lp!$DGI$1782</definedName>
    <definedName name="Variable_own_Mon_01178" localSheetId="0" hidden="1">monday_model.lp!$DGJ$2</definedName>
    <definedName name="Variable_own_Mon_01178_Type" localSheetId="0" hidden="1">monday_model.lp!$DGJ$1782</definedName>
    <definedName name="Variable_own_Mon_01179" localSheetId="0" hidden="1">monday_model.lp!$DGK$2</definedName>
    <definedName name="Variable_own_Mon_01179_Type" localSheetId="0" hidden="1">monday_model.lp!$DGK$1782</definedName>
    <definedName name="Variable_own_Mon_01180" localSheetId="0" hidden="1">monday_model.lp!$DGL$2</definedName>
    <definedName name="Variable_own_Mon_01180_Type" localSheetId="0" hidden="1">monday_model.lp!$DGL$1782</definedName>
    <definedName name="Variable_own_Mon_01181" localSheetId="0" hidden="1">monday_model.lp!$DGM$2</definedName>
    <definedName name="Variable_own_Mon_01181_Type" localSheetId="0" hidden="1">monday_model.lp!$DGM$1782</definedName>
    <definedName name="Variable_own_Mon_01182" localSheetId="0" hidden="1">monday_model.lp!$DGN$2</definedName>
    <definedName name="Variable_own_Mon_01182_Type" localSheetId="0" hidden="1">monday_model.lp!$DGN$1782</definedName>
    <definedName name="Variable_own_Mon_01183" localSheetId="0" hidden="1">monday_model.lp!$DGO$2</definedName>
    <definedName name="Variable_own_Mon_01183_Type" localSheetId="0" hidden="1">monday_model.lp!$DGO$1782</definedName>
    <definedName name="Variable_own_Mon_01184" localSheetId="0" hidden="1">monday_model.lp!$DGP$2</definedName>
    <definedName name="Variable_own_Mon_01184_Type" localSheetId="0" hidden="1">monday_model.lp!$DGP$1782</definedName>
    <definedName name="Variable_own_Mon_01185" localSheetId="0" hidden="1">monday_model.lp!$DGQ$2</definedName>
    <definedName name="Variable_own_Mon_01185_Type" localSheetId="0" hidden="1">monday_model.lp!$DGQ$1782</definedName>
    <definedName name="Variable_own_Mon_01186" localSheetId="0" hidden="1">monday_model.lp!$DGR$2</definedName>
    <definedName name="Variable_own_Mon_01186_Type" localSheetId="0" hidden="1">monday_model.lp!$DGR$1782</definedName>
    <definedName name="Variable_own_Mon_01187" localSheetId="0" hidden="1">monday_model.lp!$DGS$2</definedName>
    <definedName name="Variable_own_Mon_01187_Type" localSheetId="0" hidden="1">monday_model.lp!$DGS$1782</definedName>
    <definedName name="Variable_own_Mon_01188" localSheetId="0" hidden="1">monday_model.lp!$DGT$2</definedName>
    <definedName name="Variable_own_Mon_01188_Type" localSheetId="0" hidden="1">monday_model.lp!$DGT$1782</definedName>
    <definedName name="Variable_own_Mon_01189" localSheetId="0" hidden="1">monday_model.lp!$DGU$2</definedName>
    <definedName name="Variable_own_Mon_01189_Type" localSheetId="0" hidden="1">monday_model.lp!$DGU$1782</definedName>
    <definedName name="Variable_own_Mon_01190" localSheetId="0" hidden="1">monday_model.lp!$DGV$2</definedName>
    <definedName name="Variable_own_Mon_01190_Type" localSheetId="0" hidden="1">monday_model.lp!$DGV$1782</definedName>
    <definedName name="Variable_own_Mon_01191" localSheetId="0" hidden="1">monday_model.lp!$DGW$2</definedName>
    <definedName name="Variable_own_Mon_01191_Type" localSheetId="0" hidden="1">monday_model.lp!$DGW$1782</definedName>
    <definedName name="Variable_own_Mon_01192" localSheetId="0" hidden="1">monday_model.lp!$DGX$2</definedName>
    <definedName name="Variable_own_Mon_01192_Type" localSheetId="0" hidden="1">monday_model.lp!$DGX$1782</definedName>
    <definedName name="Variable_own_Mon_01193" localSheetId="0" hidden="1">monday_model.lp!$DGY$2</definedName>
    <definedName name="Variable_own_Mon_01193_Type" localSheetId="0" hidden="1">monday_model.lp!$DGY$1782</definedName>
    <definedName name="Variable_own_Mon_01194" localSheetId="0" hidden="1">monday_model.lp!$DGZ$2</definedName>
    <definedName name="Variable_own_Mon_01194_Type" localSheetId="0" hidden="1">monday_model.lp!$DGZ$1782</definedName>
    <definedName name="Variable_own_Mon_01195" localSheetId="0" hidden="1">monday_model.lp!$DHA$2</definedName>
    <definedName name="Variable_own_Mon_01195_Type" localSheetId="0" hidden="1">monday_model.lp!$DHA$1782</definedName>
    <definedName name="Variable_own_Mon_01196" localSheetId="0" hidden="1">monday_model.lp!$DHB$2</definedName>
    <definedName name="Variable_own_Mon_01196_Type" localSheetId="0" hidden="1">monday_model.lp!$DHB$1782</definedName>
    <definedName name="Variable_own_Mon_01197" localSheetId="0" hidden="1">monday_model.lp!$DHC$2</definedName>
    <definedName name="Variable_own_Mon_01197_Type" localSheetId="0" hidden="1">monday_model.lp!$DHC$1782</definedName>
    <definedName name="Variable_own_Mon_01198" localSheetId="0" hidden="1">monday_model.lp!$DHD$2</definedName>
    <definedName name="Variable_own_Mon_01198_Type" localSheetId="0" hidden="1">monday_model.lp!$DHD$1782</definedName>
    <definedName name="Variable_own_Mon_01199" localSheetId="0" hidden="1">monday_model.lp!$DHE$2</definedName>
    <definedName name="Variable_own_Mon_01199_Type" localSheetId="0" hidden="1">monday_model.lp!$DHE$1782</definedName>
    <definedName name="Variable_own_Mon_01200" localSheetId="0" hidden="1">monday_model.lp!$DHF$2</definedName>
    <definedName name="Variable_own_Mon_01200_Type" localSheetId="0" hidden="1">monday_model.lp!$DHF$1782</definedName>
    <definedName name="Variable_own_Mon_01201" localSheetId="0" hidden="1">monday_model.lp!$DHG$2</definedName>
    <definedName name="Variable_own_Mon_01201_Type" localSheetId="0" hidden="1">monday_model.lp!$DHG$1782</definedName>
    <definedName name="Variable_own_Mon_01202" localSheetId="0" hidden="1">monday_model.lp!$DHH$2</definedName>
    <definedName name="Variable_own_Mon_01202_Type" localSheetId="0" hidden="1">monday_model.lp!$DHH$1782</definedName>
    <definedName name="Variable_own_Mon_01203" localSheetId="0" hidden="1">monday_model.lp!$DHI$2</definedName>
    <definedName name="Variable_own_Mon_01203_Type" localSheetId="0" hidden="1">monday_model.lp!$DHI$1782</definedName>
    <definedName name="Variable_own_Mon_01204" localSheetId="0" hidden="1">monday_model.lp!$DHJ$2</definedName>
    <definedName name="Variable_own_Mon_01204_Type" localSheetId="0" hidden="1">monday_model.lp!$DHJ$1782</definedName>
    <definedName name="Variable_own_Mon_01205" localSheetId="0" hidden="1">monday_model.lp!$DHK$2</definedName>
    <definedName name="Variable_own_Mon_01205_Type" localSheetId="0" hidden="1">monday_model.lp!$DHK$1782</definedName>
    <definedName name="Variable_own_Mon_01206" localSheetId="0" hidden="1">monday_model.lp!$DHL$2</definedName>
    <definedName name="Variable_own_Mon_01206_Type" localSheetId="0" hidden="1">monday_model.lp!$DHL$1782</definedName>
    <definedName name="Variable_own_Mon_01207" localSheetId="0" hidden="1">monday_model.lp!$DHM$2</definedName>
    <definedName name="Variable_own_Mon_01207_Type" localSheetId="0" hidden="1">monday_model.lp!$DHM$1782</definedName>
    <definedName name="Variable_own_Mon_01208" localSheetId="0" hidden="1">monday_model.lp!$DHN$2</definedName>
    <definedName name="Variable_own_Mon_01208_Type" localSheetId="0" hidden="1">monday_model.lp!$DHN$1782</definedName>
    <definedName name="Variable_own_Mon_01209" localSheetId="0" hidden="1">monday_model.lp!$DHO$2</definedName>
    <definedName name="Variable_own_Mon_01209_Type" localSheetId="0" hidden="1">monday_model.lp!$DHO$1782</definedName>
    <definedName name="Variable_own_Mon_01210" localSheetId="0" hidden="1">monday_model.lp!$DHP$2</definedName>
    <definedName name="Variable_own_Mon_01210_Type" localSheetId="0" hidden="1">monday_model.lp!$DHP$1782</definedName>
    <definedName name="Variable_own_Mon_01211" localSheetId="0" hidden="1">monday_model.lp!$DHQ$2</definedName>
    <definedName name="Variable_own_Mon_01211_Type" localSheetId="0" hidden="1">monday_model.lp!$DHQ$1782</definedName>
    <definedName name="Variable_own_Mon_01212" localSheetId="0" hidden="1">monday_model.lp!$DHR$2</definedName>
    <definedName name="Variable_own_Mon_01212_Type" localSheetId="0" hidden="1">monday_model.lp!$DHR$1782</definedName>
    <definedName name="Variable_own_Mon_01213" localSheetId="0" hidden="1">monday_model.lp!$DHS$2</definedName>
    <definedName name="Variable_own_Mon_01213_Type" localSheetId="0" hidden="1">monday_model.lp!$DHS$1782</definedName>
    <definedName name="Variable_own_Mon_01214" localSheetId="0" hidden="1">monday_model.lp!$DHT$2</definedName>
    <definedName name="Variable_own_Mon_01214_Type" localSheetId="0" hidden="1">monday_model.lp!$DHT$1782</definedName>
    <definedName name="Variable_own_Mon_01215" localSheetId="0" hidden="1">monday_model.lp!$DHU$2</definedName>
    <definedName name="Variable_own_Mon_01215_Type" localSheetId="0" hidden="1">monday_model.lp!$DHU$1782</definedName>
    <definedName name="Variable_own_Mon_01216" localSheetId="0" hidden="1">monday_model.lp!$DHV$2</definedName>
    <definedName name="Variable_own_Mon_01216_Type" localSheetId="0" hidden="1">monday_model.lp!$DHV$1782</definedName>
    <definedName name="Variable_own_Mon_01217" localSheetId="0" hidden="1">monday_model.lp!$DHW$2</definedName>
    <definedName name="Variable_own_Mon_01217_Type" localSheetId="0" hidden="1">monday_model.lp!$DHW$1782</definedName>
    <definedName name="Variable_own_Mon_01218" localSheetId="0" hidden="1">monday_model.lp!$DHX$2</definedName>
    <definedName name="Variable_own_Mon_01218_Type" localSheetId="0" hidden="1">monday_model.lp!$DHX$1782</definedName>
    <definedName name="Variable_own_Mon_01219" localSheetId="0" hidden="1">monday_model.lp!$DHY$2</definedName>
    <definedName name="Variable_own_Mon_01219_Type" localSheetId="0" hidden="1">monday_model.lp!$DHY$1782</definedName>
    <definedName name="Variable_own_Mon_01220" localSheetId="0" hidden="1">monday_model.lp!$DHZ$2</definedName>
    <definedName name="Variable_own_Mon_01220_Type" localSheetId="0" hidden="1">monday_model.lp!$DHZ$1782</definedName>
    <definedName name="Variable_own_Mon_01221" localSheetId="0" hidden="1">monday_model.lp!$DIA$2</definedName>
    <definedName name="Variable_own_Mon_01221_Type" localSheetId="0" hidden="1">monday_model.lp!$DIA$1782</definedName>
    <definedName name="Variable_own_Mon_01222" localSheetId="0" hidden="1">monday_model.lp!$DIB$2</definedName>
    <definedName name="Variable_own_Mon_01222_Type" localSheetId="0" hidden="1">monday_model.lp!$DIB$1782</definedName>
    <definedName name="Variable_own_Mon_01223" localSheetId="0" hidden="1">monday_model.lp!$DIC$2</definedName>
    <definedName name="Variable_own_Mon_01223_Type" localSheetId="0" hidden="1">monday_model.lp!$DIC$1782</definedName>
    <definedName name="Variable_own_Mon_01224" localSheetId="0" hidden="1">monday_model.lp!$DID$2</definedName>
    <definedName name="Variable_own_Mon_01224_Type" localSheetId="0" hidden="1">monday_model.lp!$DID$1782</definedName>
    <definedName name="Variable_own_Mon_01225" localSheetId="0" hidden="1">monday_model.lp!$DIE$2</definedName>
    <definedName name="Variable_own_Mon_01225_Type" localSheetId="0" hidden="1">monday_model.lp!$DIE$1782</definedName>
    <definedName name="Variable_own_Mon_01226" localSheetId="0" hidden="1">monday_model.lp!$DIF$2</definedName>
    <definedName name="Variable_own_Mon_01226_Type" localSheetId="0" hidden="1">monday_model.lp!$DIF$1782</definedName>
    <definedName name="Variable_own_Mon_01227" localSheetId="0" hidden="1">monday_model.lp!$DIG$2</definedName>
    <definedName name="Variable_own_Mon_01227_Type" localSheetId="0" hidden="1">monday_model.lp!$DIG$1782</definedName>
    <definedName name="Variable_own_Mon_01228" localSheetId="0" hidden="1">monday_model.lp!$DIH$2</definedName>
    <definedName name="Variable_own_Mon_01228_Type" localSheetId="0" hidden="1">monday_model.lp!$DIH$1782</definedName>
    <definedName name="Variable_own_Mon_01229" localSheetId="0" hidden="1">monday_model.lp!$DII$2</definedName>
    <definedName name="Variable_own_Mon_01229_Type" localSheetId="0" hidden="1">monday_model.lp!$DII$1782</definedName>
    <definedName name="Variable_own_Mon_01230" localSheetId="0" hidden="1">monday_model.lp!$DIJ$2</definedName>
    <definedName name="Variable_own_Mon_01230_Type" localSheetId="0" hidden="1">monday_model.lp!$DIJ$1782</definedName>
    <definedName name="Variable_own_Mon_01231" localSheetId="0" hidden="1">monday_model.lp!$DIK$2</definedName>
    <definedName name="Variable_own_Mon_01231_Type" localSheetId="0" hidden="1">monday_model.lp!$DIK$1782</definedName>
    <definedName name="Variable_own_Mon_01232" localSheetId="0" hidden="1">monday_model.lp!$DIL$2</definedName>
    <definedName name="Variable_own_Mon_01232_Type" localSheetId="0" hidden="1">monday_model.lp!$DIL$1782</definedName>
    <definedName name="Variable_own_Mon_01233" localSheetId="0" hidden="1">monday_model.lp!$DIM$2</definedName>
    <definedName name="Variable_own_Mon_01233_Type" localSheetId="0" hidden="1">monday_model.lp!$DIM$1782</definedName>
    <definedName name="Variable_own_Mon_01234" localSheetId="0" hidden="1">monday_model.lp!$DIN$2</definedName>
    <definedName name="Variable_own_Mon_01234_Type" localSheetId="0" hidden="1">monday_model.lp!$DIN$1782</definedName>
    <definedName name="Variable_own_Mon_01235" localSheetId="0" hidden="1">monday_model.lp!$DIO$2</definedName>
    <definedName name="Variable_own_Mon_01235_Type" localSheetId="0" hidden="1">monday_model.lp!$DIO$1782</definedName>
    <definedName name="Variable_own_Mon_01236" localSheetId="0" hidden="1">monday_model.lp!$DIP$2</definedName>
    <definedName name="Variable_own_Mon_01236_Type" localSheetId="0" hidden="1">monday_model.lp!$DIP$1782</definedName>
    <definedName name="Variable_own_Mon_01237" localSheetId="0" hidden="1">monday_model.lp!$DIQ$2</definedName>
    <definedName name="Variable_own_Mon_01237_Type" localSheetId="0" hidden="1">monday_model.lp!$DIQ$1782</definedName>
    <definedName name="Variable_own_Mon_01238" localSheetId="0" hidden="1">monday_model.lp!$DIR$2</definedName>
    <definedName name="Variable_own_Mon_01238_Type" localSheetId="0" hidden="1">monday_model.lp!$DIR$1782</definedName>
    <definedName name="Variable_own_Mon_01239" localSheetId="0" hidden="1">monday_model.lp!$DIS$2</definedName>
    <definedName name="Variable_own_Mon_01239_Type" localSheetId="0" hidden="1">monday_model.lp!$DIS$1782</definedName>
    <definedName name="Variable_own_Mon_01240" localSheetId="0" hidden="1">monday_model.lp!$DIT$2</definedName>
    <definedName name="Variable_own_Mon_01240_Type" localSheetId="0" hidden="1">monday_model.lp!$DIT$1782</definedName>
    <definedName name="Variable_own_Mon_01241" localSheetId="0" hidden="1">monday_model.lp!$DIU$2</definedName>
    <definedName name="Variable_own_Mon_01241_Type" localSheetId="0" hidden="1">monday_model.lp!$DIU$1782</definedName>
    <definedName name="Variable_own_Mon_01242" localSheetId="0" hidden="1">monday_model.lp!$DIV$2</definedName>
    <definedName name="Variable_own_Mon_01242_Type" localSheetId="0" hidden="1">monday_model.lp!$DIV$1782</definedName>
    <definedName name="Variable_own_Mon_01243" localSheetId="0" hidden="1">monday_model.lp!$DIW$2</definedName>
    <definedName name="Variable_own_Mon_01243_Type" localSheetId="0" hidden="1">monday_model.lp!$DIW$1782</definedName>
    <definedName name="Variable_own_Mon_01244" localSheetId="0" hidden="1">monday_model.lp!$DIX$2</definedName>
    <definedName name="Variable_own_Mon_01244_Type" localSheetId="0" hidden="1">monday_model.lp!$DIX$1782</definedName>
    <definedName name="Variable_own_Mon_01245" localSheetId="0" hidden="1">monday_model.lp!$DIY$2</definedName>
    <definedName name="Variable_own_Mon_01245_Type" localSheetId="0" hidden="1">monday_model.lp!$DIY$1782</definedName>
    <definedName name="Variable_own_Mon_01246" localSheetId="0" hidden="1">monday_model.lp!$DIZ$2</definedName>
    <definedName name="Variable_own_Mon_01246_Type" localSheetId="0" hidden="1">monday_model.lp!$DIZ$1782</definedName>
    <definedName name="Variable_own_Mon_01247" localSheetId="0" hidden="1">monday_model.lp!$DJA$2</definedName>
    <definedName name="Variable_own_Mon_01247_Type" localSheetId="0" hidden="1">monday_model.lp!$DJA$1782</definedName>
    <definedName name="Variable_own_Mon_01248" localSheetId="0" hidden="1">monday_model.lp!$DJB$2</definedName>
    <definedName name="Variable_own_Mon_01248_Type" localSheetId="0" hidden="1">monday_model.lp!$DJB$1782</definedName>
    <definedName name="Variable_own_Mon_01249" localSheetId="0" hidden="1">monday_model.lp!$DJC$2</definedName>
    <definedName name="Variable_own_Mon_01249_Type" localSheetId="0" hidden="1">monday_model.lp!$DJC$1782</definedName>
    <definedName name="Variable_own_Mon_01250" localSheetId="0" hidden="1">monday_model.lp!$DJD$2</definedName>
    <definedName name="Variable_own_Mon_01250_Type" localSheetId="0" hidden="1">monday_model.lp!$DJD$1782</definedName>
    <definedName name="Variable_own_Mon_01251" localSheetId="0" hidden="1">monday_model.lp!$DJE$2</definedName>
    <definedName name="Variable_own_Mon_01251_Type" localSheetId="0" hidden="1">monday_model.lp!$DJE$1782</definedName>
    <definedName name="Variable_own_Mon_01252" localSheetId="0" hidden="1">monday_model.lp!$DJF$2</definedName>
    <definedName name="Variable_own_Mon_01252_Type" localSheetId="0" hidden="1">monday_model.lp!$DJF$1782</definedName>
    <definedName name="Variable_own_Mon_01253" localSheetId="0" hidden="1">monday_model.lp!$DJG$2</definedName>
    <definedName name="Variable_own_Mon_01253_Type" localSheetId="0" hidden="1">monday_model.lp!$DJG$1782</definedName>
    <definedName name="Variable_own_Mon_01254" localSheetId="0" hidden="1">monday_model.lp!$DJH$2</definedName>
    <definedName name="Variable_own_Mon_01254_Type" localSheetId="0" hidden="1">monday_model.lp!$DJH$1782</definedName>
    <definedName name="Variable_own_Mon_01255" localSheetId="0" hidden="1">monday_model.lp!$DJI$2</definedName>
    <definedName name="Variable_own_Mon_01255_Type" localSheetId="0" hidden="1">monday_model.lp!$DJI$1782</definedName>
    <definedName name="Variable_own_Mon_01256" localSheetId="0" hidden="1">monday_model.lp!$DJJ$2</definedName>
    <definedName name="Variable_own_Mon_01256_Type" localSheetId="0" hidden="1">monday_model.lp!$DJJ$1782</definedName>
    <definedName name="Variable_own_Mon_01257" localSheetId="0" hidden="1">monday_model.lp!$DJK$2</definedName>
    <definedName name="Variable_own_Mon_01257_Type" localSheetId="0" hidden="1">monday_model.lp!$DJK$1782</definedName>
    <definedName name="Variable_own_Mon_01258" localSheetId="0" hidden="1">monday_model.lp!$DJL$2</definedName>
    <definedName name="Variable_own_Mon_01258_Type" localSheetId="0" hidden="1">monday_model.lp!$DJL$1782</definedName>
    <definedName name="Variable_own_Mon_01259" localSheetId="0" hidden="1">monday_model.lp!$DJM$2</definedName>
    <definedName name="Variable_own_Mon_01259_Type" localSheetId="0" hidden="1">monday_model.lp!$DJM$1782</definedName>
    <definedName name="Variable_own_Mon_01260" localSheetId="0" hidden="1">monday_model.lp!$DJN$2</definedName>
    <definedName name="Variable_own_Mon_01260_Type" localSheetId="0" hidden="1">monday_model.lp!$DJN$1782</definedName>
    <definedName name="Variable_own_Mon_01261" localSheetId="0" hidden="1">monday_model.lp!$DJO$2</definedName>
    <definedName name="Variable_own_Mon_01261_Type" localSheetId="0" hidden="1">monday_model.lp!$DJO$1782</definedName>
    <definedName name="Variable_own_Mon_01262" localSheetId="0" hidden="1">monday_model.lp!$DJP$2</definedName>
    <definedName name="Variable_own_Mon_01262_Type" localSheetId="0" hidden="1">monday_model.lp!$DJP$1782</definedName>
    <definedName name="Variable_own_Mon_01263" localSheetId="0" hidden="1">monday_model.lp!$DJQ$2</definedName>
    <definedName name="Variable_own_Mon_01263_Type" localSheetId="0" hidden="1">monday_model.lp!$DJQ$1782</definedName>
    <definedName name="Variable_own_Mon_01264" localSheetId="0" hidden="1">monday_model.lp!$DJR$2</definedName>
    <definedName name="Variable_own_Mon_01264_Type" localSheetId="0" hidden="1">monday_model.lp!$DJR$1782</definedName>
    <definedName name="Variable_own_Mon_01265" localSheetId="0" hidden="1">monday_model.lp!$DJS$2</definedName>
    <definedName name="Variable_own_Mon_01265_Type" localSheetId="0" hidden="1">monday_model.lp!$DJS$1782</definedName>
    <definedName name="Variable_own_Mon_01266" localSheetId="0" hidden="1">monday_model.lp!$DJT$2</definedName>
    <definedName name="Variable_own_Mon_01266_Type" localSheetId="0" hidden="1">monday_model.lp!$DJT$1782</definedName>
    <definedName name="Variable_own_Mon_01267" localSheetId="0" hidden="1">monday_model.lp!$DJU$2</definedName>
    <definedName name="Variable_own_Mon_01267_Type" localSheetId="0" hidden="1">monday_model.lp!$DJU$1782</definedName>
    <definedName name="Variable_own_Mon_01268" localSheetId="0" hidden="1">monday_model.lp!$DJV$2</definedName>
    <definedName name="Variable_own_Mon_01268_Type" localSheetId="0" hidden="1">monday_model.lp!$DJV$1782</definedName>
    <definedName name="Variable_own_Mon_01269" localSheetId="0" hidden="1">monday_model.lp!$DJW$2</definedName>
    <definedName name="Variable_own_Mon_01269_Type" localSheetId="0" hidden="1">monday_model.lp!$DJW$1782</definedName>
    <definedName name="Variable_own_Mon_01270" localSheetId="0" hidden="1">monday_model.lp!$DJX$2</definedName>
    <definedName name="Variable_own_Mon_01270_Type" localSheetId="0" hidden="1">monday_model.lp!$DJX$1782</definedName>
    <definedName name="Variable_own_Mon_01271" localSheetId="0" hidden="1">monday_model.lp!$DJY$2</definedName>
    <definedName name="Variable_own_Mon_01271_Type" localSheetId="0" hidden="1">monday_model.lp!$DJY$1782</definedName>
    <definedName name="Variable_own_Mon_01272" localSheetId="0" hidden="1">monday_model.lp!$DJZ$2</definedName>
    <definedName name="Variable_own_Mon_01272_Type" localSheetId="0" hidden="1">monday_model.lp!$DJZ$1782</definedName>
    <definedName name="Variable_own_Mon_01273" localSheetId="0" hidden="1">monday_model.lp!$DKA$2</definedName>
    <definedName name="Variable_own_Mon_01273_Type" localSheetId="0" hidden="1">monday_model.lp!$DKA$1782</definedName>
    <definedName name="Variable_own_Mon_01274" localSheetId="0" hidden="1">monday_model.lp!$DKB$2</definedName>
    <definedName name="Variable_own_Mon_01274_Type" localSheetId="0" hidden="1">monday_model.lp!$DKB$1782</definedName>
    <definedName name="Variable_own_Mon_01275" localSheetId="0" hidden="1">monday_model.lp!$DKC$2</definedName>
    <definedName name="Variable_own_Mon_01275_Type" localSheetId="0" hidden="1">monday_model.lp!$DKC$1782</definedName>
    <definedName name="Variable_own_Mon_01276" localSheetId="0" hidden="1">monday_model.lp!$DKD$2</definedName>
    <definedName name="Variable_own_Mon_01276_Type" localSheetId="0" hidden="1">monday_model.lp!$DKD$1782</definedName>
    <definedName name="Variable_own_Mon_01277" localSheetId="0" hidden="1">monday_model.lp!$DKE$2</definedName>
    <definedName name="Variable_own_Mon_01277_Type" localSheetId="0" hidden="1">monday_model.lp!$DKE$1782</definedName>
    <definedName name="Variable_own_Mon_01278" localSheetId="0" hidden="1">monday_model.lp!$DKF$2</definedName>
    <definedName name="Variable_own_Mon_01278_Type" localSheetId="0" hidden="1">monday_model.lp!$DKF$1782</definedName>
    <definedName name="Variable_own_Mon_01279" localSheetId="0" hidden="1">monday_model.lp!$DKG$2</definedName>
    <definedName name="Variable_own_Mon_01279_Type" localSheetId="0" hidden="1">monday_model.lp!$DKG$1782</definedName>
    <definedName name="Variable_own_Mon_01280" localSheetId="0" hidden="1">monday_model.lp!$DKH$2</definedName>
    <definedName name="Variable_own_Mon_01280_Type" localSheetId="0" hidden="1">monday_model.lp!$DKH$1782</definedName>
    <definedName name="Variable_own_Mon_01281" localSheetId="0" hidden="1">monday_model.lp!$DKI$2</definedName>
    <definedName name="Variable_own_Mon_01281_Type" localSheetId="0" hidden="1">monday_model.lp!$DKI$1782</definedName>
    <definedName name="Variable_own_Mon_01282" localSheetId="0" hidden="1">monday_model.lp!$DKJ$2</definedName>
    <definedName name="Variable_own_Mon_01282_Type" localSheetId="0" hidden="1">monday_model.lp!$DKJ$1782</definedName>
    <definedName name="Variable_own_Mon_01283" localSheetId="0" hidden="1">monday_model.lp!$DKK$2</definedName>
    <definedName name="Variable_own_Mon_01283_Type" localSheetId="0" hidden="1">monday_model.lp!$DKK$1782</definedName>
    <definedName name="Variable_own_Mon_01284" localSheetId="0" hidden="1">monday_model.lp!$DKL$2</definedName>
    <definedName name="Variable_own_Mon_01284_Type" localSheetId="0" hidden="1">monday_model.lp!$DKL$1782</definedName>
    <definedName name="Variable_own_Mon_01285" localSheetId="0" hidden="1">monday_model.lp!$DKM$2</definedName>
    <definedName name="Variable_own_Mon_01285_Type" localSheetId="0" hidden="1">monday_model.lp!$DKM$1782</definedName>
    <definedName name="Variable_own_Mon_01286" localSheetId="0" hidden="1">monday_model.lp!$DKN$2</definedName>
    <definedName name="Variable_own_Mon_01286_Type" localSheetId="0" hidden="1">monday_model.lp!$DKN$1782</definedName>
    <definedName name="Variable_own_Mon_01287" localSheetId="0" hidden="1">monday_model.lp!$DKO$2</definedName>
    <definedName name="Variable_own_Mon_01287_Type" localSheetId="0" hidden="1">monday_model.lp!$DKO$1782</definedName>
    <definedName name="Variable_own_Mon_01288" localSheetId="0" hidden="1">monday_model.lp!$DKP$2</definedName>
    <definedName name="Variable_own_Mon_01288_Type" localSheetId="0" hidden="1">monday_model.lp!$DKP$1782</definedName>
    <definedName name="Variable_own_Mon_01289" localSheetId="0" hidden="1">monday_model.lp!$DKQ$2</definedName>
    <definedName name="Variable_own_Mon_01289_Type" localSheetId="0" hidden="1">monday_model.lp!$DKQ$1782</definedName>
    <definedName name="Variable_own_Mon_01290" localSheetId="0" hidden="1">monday_model.lp!$DKR$2</definedName>
    <definedName name="Variable_own_Mon_01290_Type" localSheetId="0" hidden="1">monday_model.lp!$DKR$1782</definedName>
    <definedName name="Variable_own_Mon_01291" localSheetId="0" hidden="1">monday_model.lp!$DKS$2</definedName>
    <definedName name="Variable_own_Mon_01291_Type" localSheetId="0" hidden="1">monday_model.lp!$DKS$1782</definedName>
    <definedName name="Variable_own_Mon_01292" localSheetId="0" hidden="1">monday_model.lp!$DKT$2</definedName>
    <definedName name="Variable_own_Mon_01292_Type" localSheetId="0" hidden="1">monday_model.lp!$DKT$1782</definedName>
    <definedName name="Variable_own_Mon_01293" localSheetId="0" hidden="1">monday_model.lp!$DKU$2</definedName>
    <definedName name="Variable_own_Mon_01293_Type" localSheetId="0" hidden="1">monday_model.lp!$DKU$1782</definedName>
    <definedName name="Variable_own_Mon_01294" localSheetId="0" hidden="1">monday_model.lp!$DKV$2</definedName>
    <definedName name="Variable_own_Mon_01294_Type" localSheetId="0" hidden="1">monday_model.lp!$DKV$1782</definedName>
    <definedName name="Variable_own_Mon_01295" localSheetId="0" hidden="1">monday_model.lp!$DKW$2</definedName>
    <definedName name="Variable_own_Mon_01295_Type" localSheetId="0" hidden="1">monday_model.lp!$DKW$1782</definedName>
    <definedName name="Variable_own_Mon_01296" localSheetId="0" hidden="1">monday_model.lp!$DKX$2</definedName>
    <definedName name="Variable_own_Mon_01296_Type" localSheetId="0" hidden="1">monday_model.lp!$DKX$1782</definedName>
    <definedName name="Variable_own_Mon_01297" localSheetId="0" hidden="1">monday_model.lp!$DKY$2</definedName>
    <definedName name="Variable_own_Mon_01297_Type" localSheetId="0" hidden="1">monday_model.lp!$DKY$1782</definedName>
    <definedName name="Variable_own_Mon_01298" localSheetId="0" hidden="1">monday_model.lp!$DKZ$2</definedName>
    <definedName name="Variable_own_Mon_01298_Type" localSheetId="0" hidden="1">monday_model.lp!$DKZ$1782</definedName>
    <definedName name="Variable_own_Mon_01299" localSheetId="0" hidden="1">monday_model.lp!$DLA$2</definedName>
    <definedName name="Variable_own_Mon_01299_Type" localSheetId="0" hidden="1">monday_model.lp!$DLA$1782</definedName>
    <definedName name="Variable_own_Mon_01300" localSheetId="0" hidden="1">monday_model.lp!$DLB$2</definedName>
    <definedName name="Variable_own_Mon_01300_Type" localSheetId="0" hidden="1">monday_model.lp!$DLB$1782</definedName>
    <definedName name="Variable_own_Mon_01301" localSheetId="0" hidden="1">monday_model.lp!$DLC$2</definedName>
    <definedName name="Variable_own_Mon_01301_Type" localSheetId="0" hidden="1">monday_model.lp!$DLC$1782</definedName>
    <definedName name="Variable_own_Mon_01302" localSheetId="0" hidden="1">monday_model.lp!$DLD$2</definedName>
    <definedName name="Variable_own_Mon_01302_Type" localSheetId="0" hidden="1">monday_model.lp!$DLD$1782</definedName>
    <definedName name="Variable_own_Mon_01303" localSheetId="0" hidden="1">monday_model.lp!$DLE$2</definedName>
    <definedName name="Variable_own_Mon_01303_Type" localSheetId="0" hidden="1">monday_model.lp!$DLE$1782</definedName>
    <definedName name="Variable_own_Mon_01304" localSheetId="0" hidden="1">monday_model.lp!$DLF$2</definedName>
    <definedName name="Variable_own_Mon_01304_Type" localSheetId="0" hidden="1">monday_model.lp!$DLF$1782</definedName>
    <definedName name="Variable_own_Mon_01305" localSheetId="0" hidden="1">monday_model.lp!$DLG$2</definedName>
    <definedName name="Variable_own_Mon_01305_Type" localSheetId="0" hidden="1">monday_model.lp!$DLG$1782</definedName>
    <definedName name="Variable_own_Mon_01306" localSheetId="0" hidden="1">monday_model.lp!$DLH$2</definedName>
    <definedName name="Variable_own_Mon_01306_Type" localSheetId="0" hidden="1">monday_model.lp!$DLH$1782</definedName>
    <definedName name="Variable_own_Mon_01307" localSheetId="0" hidden="1">monday_model.lp!$DLI$2</definedName>
    <definedName name="Variable_own_Mon_01307_Type" localSheetId="0" hidden="1">monday_model.lp!$DLI$1782</definedName>
    <definedName name="Variable_own_Mon_01308" localSheetId="0" hidden="1">monday_model.lp!$DLJ$2</definedName>
    <definedName name="Variable_own_Mon_01308_Type" localSheetId="0" hidden="1">monday_model.lp!$DLJ$1782</definedName>
    <definedName name="Variable_own_Mon_01309" localSheetId="0" hidden="1">monday_model.lp!$DLK$2</definedName>
    <definedName name="Variable_own_Mon_01309_Type" localSheetId="0" hidden="1">monday_model.lp!$DLK$1782</definedName>
    <definedName name="Variable_own_Mon_01310" localSheetId="0" hidden="1">monday_model.lp!$DLL$2</definedName>
    <definedName name="Variable_own_Mon_01310_Type" localSheetId="0" hidden="1">monday_model.lp!$DLL$1782</definedName>
    <definedName name="Variable_own_Mon_01311" localSheetId="0" hidden="1">monday_model.lp!$DLM$2</definedName>
    <definedName name="Variable_own_Mon_01311_Type" localSheetId="0" hidden="1">monday_model.lp!$DLM$1782</definedName>
    <definedName name="Variable_own_Mon_01312" localSheetId="0" hidden="1">monday_model.lp!$DLN$2</definedName>
    <definedName name="Variable_own_Mon_01312_Type" localSheetId="0" hidden="1">monday_model.lp!$DLN$1782</definedName>
    <definedName name="Variable_own_Mon_01313" localSheetId="0" hidden="1">monday_model.lp!$DLO$2</definedName>
    <definedName name="Variable_own_Mon_01313_Type" localSheetId="0" hidden="1">monday_model.lp!$DLO$1782</definedName>
    <definedName name="Variable_own_Mon_01314" localSheetId="0" hidden="1">monday_model.lp!$DLP$2</definedName>
    <definedName name="Variable_own_Mon_01314_Type" localSheetId="0" hidden="1">monday_model.lp!$DLP$1782</definedName>
    <definedName name="Variable_own_Mon_01315" localSheetId="0" hidden="1">monday_model.lp!$DLQ$2</definedName>
    <definedName name="Variable_own_Mon_01315_Type" localSheetId="0" hidden="1">monday_model.lp!$DLQ$1782</definedName>
    <definedName name="Variable_own_Mon_01316" localSheetId="0" hidden="1">monday_model.lp!$DLR$2</definedName>
    <definedName name="Variable_own_Mon_01316_Type" localSheetId="0" hidden="1">monday_model.lp!$DLR$1782</definedName>
    <definedName name="Variable_own_Mon_01317" localSheetId="0" hidden="1">monday_model.lp!$DLS$2</definedName>
    <definedName name="Variable_own_Mon_01317_Type" localSheetId="0" hidden="1">monday_model.lp!$DLS$1782</definedName>
    <definedName name="Variable_own_Mon_01318" localSheetId="0" hidden="1">monday_model.lp!$DLT$2</definedName>
    <definedName name="Variable_own_Mon_01318_Type" localSheetId="0" hidden="1">monday_model.lp!$DLT$1782</definedName>
    <definedName name="Variable_own_Mon_01319" localSheetId="0" hidden="1">monday_model.lp!$DLU$2</definedName>
    <definedName name="Variable_own_Mon_01319_Type" localSheetId="0" hidden="1">monday_model.lp!$DLU$1782</definedName>
    <definedName name="Variable_own_Mon_01320" localSheetId="0" hidden="1">monday_model.lp!$DLV$2</definedName>
    <definedName name="Variable_own_Mon_01320_Type" localSheetId="0" hidden="1">monday_model.lp!$DLV$1782</definedName>
    <definedName name="Variable_own_Mon_01321" localSheetId="0" hidden="1">monday_model.lp!$DLW$2</definedName>
    <definedName name="Variable_own_Mon_01321_Type" localSheetId="0" hidden="1">monday_model.lp!$DLW$1782</definedName>
    <definedName name="Variable_own_Mon_01322" localSheetId="0" hidden="1">monday_model.lp!$DLX$2</definedName>
    <definedName name="Variable_own_Mon_01322_Type" localSheetId="0" hidden="1">monday_model.lp!$DLX$1782</definedName>
    <definedName name="Variable_own_Mon_01323" localSheetId="0" hidden="1">monday_model.lp!$DLY$2</definedName>
    <definedName name="Variable_own_Mon_01323_Type" localSheetId="0" hidden="1">monday_model.lp!$DLY$1782</definedName>
    <definedName name="Variable_own_Mon_01324" localSheetId="0" hidden="1">monday_model.lp!$DLZ$2</definedName>
    <definedName name="Variable_own_Mon_01324_Type" localSheetId="0" hidden="1">monday_model.lp!$DLZ$1782</definedName>
    <definedName name="Variable_own_Mon_01325" localSheetId="0" hidden="1">monday_model.lp!$DMA$2</definedName>
    <definedName name="Variable_own_Mon_01325_Type" localSheetId="0" hidden="1">monday_model.lp!$DMA$1782</definedName>
    <definedName name="Variable_own_Mon_01326" localSheetId="0" hidden="1">monday_model.lp!$DMB$2</definedName>
    <definedName name="Variable_own_Mon_01326_Type" localSheetId="0" hidden="1">monday_model.lp!$DMB$1782</definedName>
    <definedName name="Variable_own_Mon_01327" localSheetId="0" hidden="1">monday_model.lp!$DMC$2</definedName>
    <definedName name="Variable_own_Mon_01327_Type" localSheetId="0" hidden="1">monday_model.lp!$DMC$1782</definedName>
    <definedName name="Variable_own_Mon_01328" localSheetId="0" hidden="1">monday_model.lp!$DMD$2</definedName>
    <definedName name="Variable_own_Mon_01328_Type" localSheetId="0" hidden="1">monday_model.lp!$DMD$1782</definedName>
    <definedName name="Variable_own_Mon_01329" localSheetId="0" hidden="1">monday_model.lp!$DME$2</definedName>
    <definedName name="Variable_own_Mon_01329_Type" localSheetId="0" hidden="1">monday_model.lp!$DME$1782</definedName>
    <definedName name="Variable_own_Mon_01330" localSheetId="0" hidden="1">monday_model.lp!$DMF$2</definedName>
    <definedName name="Variable_own_Mon_01330_Type" localSheetId="0" hidden="1">monday_model.lp!$DMF$1782</definedName>
    <definedName name="Variable_own_Mon_01331" localSheetId="0" hidden="1">monday_model.lp!$DMG$2</definedName>
    <definedName name="Variable_own_Mon_01331_Type" localSheetId="0" hidden="1">monday_model.lp!$DMG$1782</definedName>
    <definedName name="Variable_own_Mon_01332" localSheetId="0" hidden="1">monday_model.lp!$DMH$2</definedName>
    <definedName name="Variable_own_Mon_01332_Type" localSheetId="0" hidden="1">monday_model.lp!$DMH$1782</definedName>
    <definedName name="Variable_own_Mon_01333" localSheetId="0" hidden="1">monday_model.lp!$DMI$2</definedName>
    <definedName name="Variable_own_Mon_01333_Type" localSheetId="0" hidden="1">monday_model.lp!$DMI$1782</definedName>
    <definedName name="Variable_own_Mon_01334" localSheetId="0" hidden="1">monday_model.lp!$DMJ$2</definedName>
    <definedName name="Variable_own_Mon_01334_Type" localSheetId="0" hidden="1">monday_model.lp!$DMJ$1782</definedName>
    <definedName name="Variable_own_Mon_01335" localSheetId="0" hidden="1">monday_model.lp!$DMK$2</definedName>
    <definedName name="Variable_own_Mon_01335_Type" localSheetId="0" hidden="1">monday_model.lp!$DMK$1782</definedName>
    <definedName name="Variable_own_Mon_01336" localSheetId="0" hidden="1">monday_model.lp!$DML$2</definedName>
    <definedName name="Variable_own_Mon_01336_Type" localSheetId="0" hidden="1">monday_model.lp!$DML$1782</definedName>
    <definedName name="Variable_own_Mon_01337" localSheetId="0" hidden="1">monday_model.lp!$DMM$2</definedName>
    <definedName name="Variable_own_Mon_01337_Type" localSheetId="0" hidden="1">monday_model.lp!$DMM$1782</definedName>
    <definedName name="Variable_own_Mon_01338" localSheetId="0" hidden="1">monday_model.lp!$DMN$2</definedName>
    <definedName name="Variable_own_Mon_01338_Type" localSheetId="0" hidden="1">monday_model.lp!$DMN$1782</definedName>
    <definedName name="Variable_own_Mon_01339" localSheetId="0" hidden="1">monday_model.lp!$DMO$2</definedName>
    <definedName name="Variable_own_Mon_01339_Type" localSheetId="0" hidden="1">monday_model.lp!$DMO$1782</definedName>
    <definedName name="Variable_own_Mon_01340" localSheetId="0" hidden="1">monday_model.lp!$DMP$2</definedName>
    <definedName name="Variable_own_Mon_01340_Type" localSheetId="0" hidden="1">monday_model.lp!$DMP$1782</definedName>
    <definedName name="Variable_own_Mon_01341" localSheetId="0" hidden="1">monday_model.lp!$DMQ$2</definedName>
    <definedName name="Variable_own_Mon_01341_Type" localSheetId="0" hidden="1">monday_model.lp!$DMQ$1782</definedName>
    <definedName name="Variable_own_Mon_01342" localSheetId="0" hidden="1">monday_model.lp!$DMR$2</definedName>
    <definedName name="Variable_own_Mon_01342_Type" localSheetId="0" hidden="1">monday_model.lp!$DMR$1782</definedName>
    <definedName name="Variable_own_Mon_01343" localSheetId="0" hidden="1">monday_model.lp!$DMS$2</definedName>
    <definedName name="Variable_own_Mon_01343_Type" localSheetId="0" hidden="1">monday_model.lp!$DMS$1782</definedName>
    <definedName name="Variable_own_Mon_01344" localSheetId="0" hidden="1">monday_model.lp!$DMT$2</definedName>
    <definedName name="Variable_own_Mon_01344_Type" localSheetId="0" hidden="1">monday_model.lp!$DMT$1782</definedName>
    <definedName name="Variable_own_Mon_01345" localSheetId="0" hidden="1">monday_model.lp!$DMU$2</definedName>
    <definedName name="Variable_own_Mon_01345_Type" localSheetId="0" hidden="1">monday_model.lp!$DMU$1782</definedName>
    <definedName name="Variable_own_Mon_01346" localSheetId="0" hidden="1">monday_model.lp!$DMV$2</definedName>
    <definedName name="Variable_own_Mon_01346_Type" localSheetId="0" hidden="1">monday_model.lp!$DMV$1782</definedName>
    <definedName name="Variable_own_Mon_01347" localSheetId="0" hidden="1">monday_model.lp!$DMW$2</definedName>
    <definedName name="Variable_own_Mon_01347_Type" localSheetId="0" hidden="1">monday_model.lp!$DMW$1782</definedName>
    <definedName name="Variable_own_Mon_01348" localSheetId="0" hidden="1">monday_model.lp!$DMX$2</definedName>
    <definedName name="Variable_own_Mon_01348_Type" localSheetId="0" hidden="1">monday_model.lp!$DMX$1782</definedName>
    <definedName name="Variable_own_Mon_01349" localSheetId="0" hidden="1">monday_model.lp!$DMY$2</definedName>
    <definedName name="Variable_own_Mon_01349_Type" localSheetId="0" hidden="1">monday_model.lp!$DMY$1782</definedName>
    <definedName name="Variable_own_Mon_01350" localSheetId="0" hidden="1">monday_model.lp!$DMZ$2</definedName>
    <definedName name="Variable_own_Mon_01350_Type" localSheetId="0" hidden="1">monday_model.lp!$DMZ$1782</definedName>
    <definedName name="Variable_own_Mon_01351" localSheetId="0" hidden="1">monday_model.lp!$DNA$2</definedName>
    <definedName name="Variable_own_Mon_01351_Type" localSheetId="0" hidden="1">monday_model.lp!$DNA$1782</definedName>
    <definedName name="Variable_own_Mon_01352" localSheetId="0" hidden="1">monday_model.lp!$DNB$2</definedName>
    <definedName name="Variable_own_Mon_01352_Type" localSheetId="0" hidden="1">monday_model.lp!$DNB$1782</definedName>
    <definedName name="Variable_own_Mon_01353" localSheetId="0" hidden="1">monday_model.lp!$DNC$2</definedName>
    <definedName name="Variable_own_Mon_01353_Type" localSheetId="0" hidden="1">monday_model.lp!$DNC$1782</definedName>
    <definedName name="Variable_own_Mon_01354" localSheetId="0" hidden="1">monday_model.lp!$DND$2</definedName>
    <definedName name="Variable_own_Mon_01354_Type" localSheetId="0" hidden="1">monday_model.lp!$DND$1782</definedName>
    <definedName name="Variable_own_Mon_01355" localSheetId="0" hidden="1">monday_model.lp!$DNE$2</definedName>
    <definedName name="Variable_own_Mon_01355_Type" localSheetId="0" hidden="1">monday_model.lp!$DNE$1782</definedName>
    <definedName name="Variable_own_Mon_01356" localSheetId="0" hidden="1">monday_model.lp!$DNF$2</definedName>
    <definedName name="Variable_own_Mon_01356_Type" localSheetId="0" hidden="1">monday_model.lp!$DNF$1782</definedName>
    <definedName name="Variable_own_Mon_01357" localSheetId="0" hidden="1">monday_model.lp!$DNG$2</definedName>
    <definedName name="Variable_own_Mon_01357_Type" localSheetId="0" hidden="1">monday_model.lp!$DNG$1782</definedName>
    <definedName name="Variable_own_Mon_01358" localSheetId="0" hidden="1">monday_model.lp!$DNH$2</definedName>
    <definedName name="Variable_own_Mon_01358_Type" localSheetId="0" hidden="1">monday_model.lp!$DNH$1782</definedName>
    <definedName name="Variable_own_Mon_01359" localSheetId="0" hidden="1">monday_model.lp!$DNI$2</definedName>
    <definedName name="Variable_own_Mon_01359_Type" localSheetId="0" hidden="1">monday_model.lp!$DNI$1782</definedName>
    <definedName name="Variable_own_Mon_01360" localSheetId="0" hidden="1">monday_model.lp!$DNJ$2</definedName>
    <definedName name="Variable_own_Mon_01360_Type" localSheetId="0" hidden="1">monday_model.lp!$DNJ$1782</definedName>
    <definedName name="Variable_own_Mon_01361" localSheetId="0" hidden="1">monday_model.lp!$DNK$2</definedName>
    <definedName name="Variable_own_Mon_01361_Type" localSheetId="0" hidden="1">monday_model.lp!$DNK$1782</definedName>
    <definedName name="Variable_own_Mon_01362" localSheetId="0" hidden="1">monday_model.lp!$DNL$2</definedName>
    <definedName name="Variable_own_Mon_01362_Type" localSheetId="0" hidden="1">monday_model.lp!$DNL$1782</definedName>
    <definedName name="Variable_own_Mon_01363" localSheetId="0" hidden="1">monday_model.lp!$DNM$2</definedName>
    <definedName name="Variable_own_Mon_01363_Type" localSheetId="0" hidden="1">monday_model.lp!$DNM$1782</definedName>
    <definedName name="Variable_own_Mon_01364" localSheetId="0" hidden="1">monday_model.lp!$DNN$2</definedName>
    <definedName name="Variable_own_Mon_01364_Type" localSheetId="0" hidden="1">monday_model.lp!$DNN$1782</definedName>
    <definedName name="Variable_own_Mon_01365" localSheetId="0" hidden="1">monday_model.lp!$DNO$2</definedName>
    <definedName name="Variable_own_Mon_01365_Type" localSheetId="0" hidden="1">monday_model.lp!$DNO$1782</definedName>
    <definedName name="Variable_own_Mon_01366" localSheetId="0" hidden="1">monday_model.lp!$DNP$2</definedName>
    <definedName name="Variable_own_Mon_01366_Type" localSheetId="0" hidden="1">monday_model.lp!$DNP$1782</definedName>
    <definedName name="Variable_own_Mon_01367" localSheetId="0" hidden="1">monday_model.lp!$DNQ$2</definedName>
    <definedName name="Variable_own_Mon_01367_Type" localSheetId="0" hidden="1">monday_model.lp!$DNQ$1782</definedName>
    <definedName name="Variable_own_Mon_01368" localSheetId="0" hidden="1">monday_model.lp!$DNR$2</definedName>
    <definedName name="Variable_own_Mon_01368_Type" localSheetId="0" hidden="1">monday_model.lp!$DNR$1782</definedName>
    <definedName name="Variable_own_Mon_01369" localSheetId="0" hidden="1">monday_model.lp!$DNS$2</definedName>
    <definedName name="Variable_own_Mon_01369_Type" localSheetId="0" hidden="1">monday_model.lp!$DNS$1782</definedName>
    <definedName name="Variable_own_Mon_01370" localSheetId="0" hidden="1">monday_model.lp!$DNT$2</definedName>
    <definedName name="Variable_own_Mon_01370_Type" localSheetId="0" hidden="1">monday_model.lp!$DNT$1782</definedName>
    <definedName name="Variable_own_Mon_01371" localSheetId="0" hidden="1">monday_model.lp!$DNU$2</definedName>
    <definedName name="Variable_own_Mon_01371_Type" localSheetId="0" hidden="1">monday_model.lp!$DNU$1782</definedName>
    <definedName name="Variable_own_Mon_01372" localSheetId="0" hidden="1">monday_model.lp!$DNV$2</definedName>
    <definedName name="Variable_own_Mon_01372_Type" localSheetId="0" hidden="1">monday_model.lp!$DNV$1782</definedName>
    <definedName name="Variable_own_Mon_01373" localSheetId="0" hidden="1">monday_model.lp!$DNW$2</definedName>
    <definedName name="Variable_own_Mon_01373_Type" localSheetId="0" hidden="1">monday_model.lp!$DNW$1782</definedName>
    <definedName name="Variable_own_Mon_01374" localSheetId="0" hidden="1">monday_model.lp!$DNX$2</definedName>
    <definedName name="Variable_own_Mon_01374_Type" localSheetId="0" hidden="1">monday_model.lp!$DNX$1782</definedName>
    <definedName name="Variable_own_Mon_01375" localSheetId="0" hidden="1">monday_model.lp!$DNY$2</definedName>
    <definedName name="Variable_own_Mon_01375_Type" localSheetId="0" hidden="1">monday_model.lp!$DNY$1782</definedName>
    <definedName name="Variable_own_Mon_01376" localSheetId="0" hidden="1">monday_model.lp!$DNZ$2</definedName>
    <definedName name="Variable_own_Mon_01376_Type" localSheetId="0" hidden="1">monday_model.lp!$DNZ$1782</definedName>
    <definedName name="Variable_own_Mon_01377" localSheetId="0" hidden="1">monday_model.lp!$DOA$2</definedName>
    <definedName name="Variable_own_Mon_01377_Type" localSheetId="0" hidden="1">monday_model.lp!$DOA$1782</definedName>
    <definedName name="Variable_own_Mon_01378" localSheetId="0" hidden="1">monday_model.lp!$DOB$2</definedName>
    <definedName name="Variable_own_Mon_01378_Type" localSheetId="0" hidden="1">monday_model.lp!$DOB$1782</definedName>
    <definedName name="Variable_own_Mon_01379" localSheetId="0" hidden="1">monday_model.lp!$DOC$2</definedName>
    <definedName name="Variable_own_Mon_01379_Type" localSheetId="0" hidden="1">monday_model.lp!$DOC$1782</definedName>
    <definedName name="Variable_own_Mon_01380" localSheetId="0" hidden="1">monday_model.lp!$DOD$2</definedName>
    <definedName name="Variable_own_Mon_01380_Type" localSheetId="0" hidden="1">monday_model.lp!$DOD$1782</definedName>
    <definedName name="Variable_own_Mon_01381" localSheetId="0" hidden="1">monday_model.lp!$DOE$2</definedName>
    <definedName name="Variable_own_Mon_01381_Type" localSheetId="0" hidden="1">monday_model.lp!$DOE$1782</definedName>
    <definedName name="Variable_own_Mon_01382" localSheetId="0" hidden="1">monday_model.lp!$DOF$2</definedName>
    <definedName name="Variable_own_Mon_01382_Type" localSheetId="0" hidden="1">monday_model.lp!$DOF$1782</definedName>
    <definedName name="Variable_own_Mon_01383" localSheetId="0" hidden="1">monday_model.lp!$DOG$2</definedName>
    <definedName name="Variable_own_Mon_01383_Type" localSheetId="0" hidden="1">monday_model.lp!$DOG$1782</definedName>
    <definedName name="Variable_own_Mon_01384" localSheetId="0" hidden="1">monday_model.lp!$DOH$2</definedName>
    <definedName name="Variable_own_Mon_01384_Type" localSheetId="0" hidden="1">monday_model.lp!$DOH$1782</definedName>
    <definedName name="Variable_own_Mon_01385" localSheetId="0" hidden="1">monday_model.lp!$DOI$2</definedName>
    <definedName name="Variable_own_Mon_01385_Type" localSheetId="0" hidden="1">monday_model.lp!$DOI$1782</definedName>
    <definedName name="Variable_own_Mon_01386" localSheetId="0" hidden="1">monday_model.lp!$DOJ$2</definedName>
    <definedName name="Variable_own_Mon_01386_Type" localSheetId="0" hidden="1">monday_model.lp!$DOJ$1782</definedName>
    <definedName name="Variable_own_Mon_01387" localSheetId="0" hidden="1">monday_model.lp!$DOK$2</definedName>
    <definedName name="Variable_own_Mon_01387_Type" localSheetId="0" hidden="1">monday_model.lp!$DOK$1782</definedName>
    <definedName name="Variable_own_Mon_01388" localSheetId="0" hidden="1">monday_model.lp!$DOL$2</definedName>
    <definedName name="Variable_own_Mon_01388_Type" localSheetId="0" hidden="1">monday_model.lp!$DOL$1782</definedName>
    <definedName name="Variable_own_Mon_01389" localSheetId="0" hidden="1">monday_model.lp!$DOM$2</definedName>
    <definedName name="Variable_own_Mon_01389_Type" localSheetId="0" hidden="1">monday_model.lp!$DOM$1782</definedName>
    <definedName name="Variable_own_Mon_01390" localSheetId="0" hidden="1">monday_model.lp!$DON$2</definedName>
    <definedName name="Variable_own_Mon_01390_Type" localSheetId="0" hidden="1">monday_model.lp!$DON$1782</definedName>
    <definedName name="Variable_own_Mon_01391" localSheetId="0" hidden="1">monday_model.lp!$DOO$2</definedName>
    <definedName name="Variable_own_Mon_01391_Type" localSheetId="0" hidden="1">monday_model.lp!$DOO$1782</definedName>
    <definedName name="Variable_own_Mon_01392" localSheetId="0" hidden="1">monday_model.lp!$DOP$2</definedName>
    <definedName name="Variable_own_Mon_01392_Type" localSheetId="0" hidden="1">monday_model.lp!$DOP$1782</definedName>
    <definedName name="Variable_own_Mon_01393" localSheetId="0" hidden="1">monday_model.lp!$DOQ$2</definedName>
    <definedName name="Variable_own_Mon_01393_Type" localSheetId="0" hidden="1">monday_model.lp!$DOQ$1782</definedName>
    <definedName name="Variable_own_Mon_01394" localSheetId="0" hidden="1">monday_model.lp!$DOR$2</definedName>
    <definedName name="Variable_own_Mon_01394_Type" localSheetId="0" hidden="1">monday_model.lp!$DOR$1782</definedName>
    <definedName name="Variable_own_Mon_01395" localSheetId="0" hidden="1">monday_model.lp!$DOS$2</definedName>
    <definedName name="Variable_own_Mon_01395_Type" localSheetId="0" hidden="1">monday_model.lp!$DOS$1782</definedName>
    <definedName name="Variable_own_Mon_01396" localSheetId="0" hidden="1">monday_model.lp!$DOT$2</definedName>
    <definedName name="Variable_own_Mon_01396_Type" localSheetId="0" hidden="1">monday_model.lp!$DOT$1782</definedName>
    <definedName name="Variable_own_Mon_01397" localSheetId="0" hidden="1">monday_model.lp!$DOU$2</definedName>
    <definedName name="Variable_own_Mon_01397_Type" localSheetId="0" hidden="1">monday_model.lp!$DOU$1782</definedName>
    <definedName name="Variable_own_Mon_01398" localSheetId="0" hidden="1">monday_model.lp!$DOV$2</definedName>
    <definedName name="Variable_own_Mon_01398_Type" localSheetId="0" hidden="1">monday_model.lp!$DOV$1782</definedName>
    <definedName name="Variable_own_Mon_01399" localSheetId="0" hidden="1">monday_model.lp!$DOW$2</definedName>
    <definedName name="Variable_own_Mon_01399_Type" localSheetId="0" hidden="1">monday_model.lp!$DOW$1782</definedName>
    <definedName name="Variable_own_Mon_01400" localSheetId="0" hidden="1">monday_model.lp!$DOX$2</definedName>
    <definedName name="Variable_own_Mon_01400_Type" localSheetId="0" hidden="1">monday_model.lp!$DOX$1782</definedName>
    <definedName name="Variable_own_Mon_01401" localSheetId="0" hidden="1">monday_model.lp!$DOY$2</definedName>
    <definedName name="Variable_own_Mon_01401_Type" localSheetId="0" hidden="1">monday_model.lp!$DOY$1782</definedName>
    <definedName name="Variable_own_Mon_01402" localSheetId="0" hidden="1">monday_model.lp!$DOZ$2</definedName>
    <definedName name="Variable_own_Mon_01402_Type" localSheetId="0" hidden="1">monday_model.lp!$DOZ$1782</definedName>
    <definedName name="Variable_own_Mon_01403" localSheetId="0" hidden="1">monday_model.lp!$DPA$2</definedName>
    <definedName name="Variable_own_Mon_01403_Type" localSheetId="0" hidden="1">monday_model.lp!$DPA$1782</definedName>
    <definedName name="Variable_own_Mon_01404" localSheetId="0" hidden="1">monday_model.lp!$DPB$2</definedName>
    <definedName name="Variable_own_Mon_01404_Type" localSheetId="0" hidden="1">monday_model.lp!$DPB$1782</definedName>
    <definedName name="Variable_own_Mon_01405" localSheetId="0" hidden="1">monday_model.lp!$DPC$2</definedName>
    <definedName name="Variable_own_Mon_01405_Type" localSheetId="0" hidden="1">monday_model.lp!$DPC$1782</definedName>
    <definedName name="Variable_own_Mon_01406" localSheetId="0" hidden="1">monday_model.lp!$DPD$2</definedName>
    <definedName name="Variable_own_Mon_01406_Type" localSheetId="0" hidden="1">monday_model.lp!$DPD$1782</definedName>
    <definedName name="Variable_own_Mon_01407" localSheetId="0" hidden="1">monday_model.lp!$DPE$2</definedName>
    <definedName name="Variable_own_Mon_01407_Type" localSheetId="0" hidden="1">monday_model.lp!$DPE$1782</definedName>
    <definedName name="Variable_own_Mon_01408" localSheetId="0" hidden="1">monday_model.lp!$DPF$2</definedName>
    <definedName name="Variable_own_Mon_01408_Type" localSheetId="0" hidden="1">monday_model.lp!$DPF$1782</definedName>
    <definedName name="Variable_own_Mon_01409" localSheetId="0" hidden="1">monday_model.lp!$DPG$2</definedName>
    <definedName name="Variable_own_Mon_01409_Type" localSheetId="0" hidden="1">monday_model.lp!$DPG$1782</definedName>
    <definedName name="Variable_own_Mon_01410" localSheetId="0" hidden="1">monday_model.lp!$DPH$2</definedName>
    <definedName name="Variable_own_Mon_01410_Type" localSheetId="0" hidden="1">monday_model.lp!$DPH$1782</definedName>
    <definedName name="Variable_own_Mon_01411" localSheetId="0" hidden="1">monday_model.lp!$DPI$2</definedName>
    <definedName name="Variable_own_Mon_01411_Type" localSheetId="0" hidden="1">monday_model.lp!$DPI$1782</definedName>
    <definedName name="Variable_own_Mon_01412" localSheetId="0" hidden="1">monday_model.lp!$DPJ$2</definedName>
    <definedName name="Variable_own_Mon_01412_Type" localSheetId="0" hidden="1">monday_model.lp!$DPJ$1782</definedName>
    <definedName name="Variable_own_Mon_01413" localSheetId="0" hidden="1">monday_model.lp!$DPK$2</definedName>
    <definedName name="Variable_own_Mon_01413_Type" localSheetId="0" hidden="1">monday_model.lp!$DPK$1782</definedName>
    <definedName name="Variable_own_Mon_01414" localSheetId="0" hidden="1">monday_model.lp!$DPL$2</definedName>
    <definedName name="Variable_own_Mon_01414_Type" localSheetId="0" hidden="1">monday_model.lp!$DPL$1782</definedName>
    <definedName name="Variable_own_Mon_01415" localSheetId="0" hidden="1">monday_model.lp!$DPM$2</definedName>
    <definedName name="Variable_own_Mon_01415_Type" localSheetId="0" hidden="1">monday_model.lp!$DPM$1782</definedName>
    <definedName name="Variable_own_Mon_01416" localSheetId="0" hidden="1">monday_model.lp!$DPN$2</definedName>
    <definedName name="Variable_own_Mon_01416_Type" localSheetId="0" hidden="1">monday_model.lp!$DPN$1782</definedName>
    <definedName name="Variable_own_Mon_01417" localSheetId="0" hidden="1">monday_model.lp!$DPO$2</definedName>
    <definedName name="Variable_own_Mon_01417_Type" localSheetId="0" hidden="1">monday_model.lp!$DPO$1782</definedName>
    <definedName name="Variable_own_Mon_01418" localSheetId="0" hidden="1">monday_model.lp!$DPP$2</definedName>
    <definedName name="Variable_own_Mon_01418_Type" localSheetId="0" hidden="1">monday_model.lp!$DPP$1782</definedName>
    <definedName name="Variable_own_Mon_01419" localSheetId="0" hidden="1">monday_model.lp!$DPQ$2</definedName>
    <definedName name="Variable_own_Mon_01419_Type" localSheetId="0" hidden="1">monday_model.lp!$DPQ$1782</definedName>
    <definedName name="Variable_own_Mon_01420" localSheetId="0" hidden="1">monday_model.lp!$DPR$2</definedName>
    <definedName name="Variable_own_Mon_01420_Type" localSheetId="0" hidden="1">monday_model.lp!$DPR$1782</definedName>
    <definedName name="Variable_own_Mon_01421" localSheetId="0" hidden="1">monday_model.lp!$DPS$2</definedName>
    <definedName name="Variable_own_Mon_01421_Type" localSheetId="0" hidden="1">monday_model.lp!$DPS$1782</definedName>
    <definedName name="Variable_own_Mon_01422" localSheetId="0" hidden="1">monday_model.lp!$DPT$2</definedName>
    <definedName name="Variable_own_Mon_01422_Type" localSheetId="0" hidden="1">monday_model.lp!$DPT$1782</definedName>
    <definedName name="Variable_own_Mon_01423" localSheetId="0" hidden="1">monday_model.lp!$DPU$2</definedName>
    <definedName name="Variable_own_Mon_01423_Type" localSheetId="0" hidden="1">monday_model.lp!$DPU$1782</definedName>
    <definedName name="Variable_own_Mon_01424" localSheetId="0" hidden="1">monday_model.lp!$DPV$2</definedName>
    <definedName name="Variable_own_Mon_01424_Type" localSheetId="0" hidden="1">monday_model.lp!$DPV$1782</definedName>
    <definedName name="Variable_own_Mon_01425" localSheetId="0" hidden="1">monday_model.lp!$DPW$2</definedName>
    <definedName name="Variable_own_Mon_01425_Type" localSheetId="0" hidden="1">monday_model.lp!$DPW$1782</definedName>
    <definedName name="Variable_own_Mon_01426" localSheetId="0" hidden="1">monday_model.lp!$DPX$2</definedName>
    <definedName name="Variable_own_Mon_01426_Type" localSheetId="0" hidden="1">monday_model.lp!$DPX$1782</definedName>
    <definedName name="Variable_own_Mon_01427" localSheetId="0" hidden="1">monday_model.lp!$DPY$2</definedName>
    <definedName name="Variable_own_Mon_01427_Type" localSheetId="0" hidden="1">monday_model.lp!$DPY$1782</definedName>
    <definedName name="Variable_own_Mon_01428" localSheetId="0" hidden="1">monday_model.lp!$DPZ$2</definedName>
    <definedName name="Variable_own_Mon_01428_Type" localSheetId="0" hidden="1">monday_model.lp!$DPZ$1782</definedName>
    <definedName name="Variable_own_Mon_01429" localSheetId="0" hidden="1">monday_model.lp!$DQA$2</definedName>
    <definedName name="Variable_own_Mon_01429_Type" localSheetId="0" hidden="1">monday_model.lp!$DQA$1782</definedName>
    <definedName name="Variable_own_Mon_01430" localSheetId="0" hidden="1">monday_model.lp!$DQB$2</definedName>
    <definedName name="Variable_own_Mon_01430_Type" localSheetId="0" hidden="1">monday_model.lp!$DQB$1782</definedName>
    <definedName name="Variable_own_Mon_01431" localSheetId="0" hidden="1">monday_model.lp!$DQC$2</definedName>
    <definedName name="Variable_own_Mon_01431_Type" localSheetId="0" hidden="1">monday_model.lp!$DQC$1782</definedName>
    <definedName name="Variable_own_Mon_01432" localSheetId="0" hidden="1">monday_model.lp!$DQD$2</definedName>
    <definedName name="Variable_own_Mon_01432_Type" localSheetId="0" hidden="1">monday_model.lp!$DQD$1782</definedName>
    <definedName name="Variable_own_Mon_01433" localSheetId="0" hidden="1">monday_model.lp!$DQE$2</definedName>
    <definedName name="Variable_own_Mon_01433_Type" localSheetId="0" hidden="1">monday_model.lp!$DQE$1782</definedName>
    <definedName name="Variable_own_Mon_01434" localSheetId="0" hidden="1">monday_model.lp!$DQF$2</definedName>
    <definedName name="Variable_own_Mon_01434_Type" localSheetId="0" hidden="1">monday_model.lp!$DQF$1782</definedName>
    <definedName name="Variable_own_Mon_01435" localSheetId="0" hidden="1">monday_model.lp!$DQG$2</definedName>
    <definedName name="Variable_own_Mon_01435_Type" localSheetId="0" hidden="1">monday_model.lp!$DQG$1782</definedName>
    <definedName name="Variable_own_Mon_01436" localSheetId="0" hidden="1">monday_model.lp!$DQH$2</definedName>
    <definedName name="Variable_own_Mon_01436_Type" localSheetId="0" hidden="1">monday_model.lp!$DQH$1782</definedName>
    <definedName name="Variable_own_Mon_01437" localSheetId="0" hidden="1">monday_model.lp!$DQI$2</definedName>
    <definedName name="Variable_own_Mon_01437_Type" localSheetId="0" hidden="1">monday_model.lp!$DQI$1782</definedName>
    <definedName name="Variable_own_Mon_01438" localSheetId="0" hidden="1">monday_model.lp!$DQJ$2</definedName>
    <definedName name="Variable_own_Mon_01438_Type" localSheetId="0" hidden="1">monday_model.lp!$DQJ$1782</definedName>
    <definedName name="Variable_own_Mon_01439" localSheetId="0" hidden="1">monday_model.lp!$DQK$2</definedName>
    <definedName name="Variable_own_Mon_01439_Type" localSheetId="0" hidden="1">monday_model.lp!$DQK$1782</definedName>
    <definedName name="Variable_own_Mon_01440" localSheetId="0" hidden="1">monday_model.lp!$DQL$2</definedName>
    <definedName name="Variable_own_Mon_01440_Type" localSheetId="0" hidden="1">monday_model.lp!$DQL$1782</definedName>
    <definedName name="Variable_own_Mon_01441" localSheetId="0" hidden="1">monday_model.lp!$DQM$2</definedName>
    <definedName name="Variable_own_Mon_01441_Type" localSheetId="0" hidden="1">monday_model.lp!$DQM$1782</definedName>
    <definedName name="Variable_own_Mon_01442" localSheetId="0" hidden="1">monday_model.lp!$DQN$2</definedName>
    <definedName name="Variable_own_Mon_01442_Type" localSheetId="0" hidden="1">monday_model.lp!$DQN$1782</definedName>
    <definedName name="Variable_own_Mon_01443" localSheetId="0" hidden="1">monday_model.lp!$DQO$2</definedName>
    <definedName name="Variable_own_Mon_01443_Type" localSheetId="0" hidden="1">monday_model.lp!$DQO$1782</definedName>
    <definedName name="Variable_own_Mon_01444" localSheetId="0" hidden="1">monday_model.lp!$DQP$2</definedName>
    <definedName name="Variable_own_Mon_01444_Type" localSheetId="0" hidden="1">monday_model.lp!$DQP$1782</definedName>
    <definedName name="Variable_own_Mon_01445" localSheetId="0" hidden="1">monday_model.lp!$DQQ$2</definedName>
    <definedName name="Variable_own_Mon_01445_Type" localSheetId="0" hidden="1">monday_model.lp!$DQQ$1782</definedName>
    <definedName name="Variable_own_Mon_01446" localSheetId="0" hidden="1">monday_model.lp!$DQR$2</definedName>
    <definedName name="Variable_own_Mon_01446_Type" localSheetId="0" hidden="1">monday_model.lp!$DQR$1782</definedName>
    <definedName name="Variable_own_Mon_01447" localSheetId="0" hidden="1">monday_model.lp!$DQS$2</definedName>
    <definedName name="Variable_own_Mon_01447_Type" localSheetId="0" hidden="1">monday_model.lp!$DQS$1782</definedName>
    <definedName name="Variable_own_Mon_01448" localSheetId="0" hidden="1">monday_model.lp!$DQT$2</definedName>
    <definedName name="Variable_own_Mon_01448_Type" localSheetId="0" hidden="1">monday_model.lp!$DQT$1782</definedName>
    <definedName name="Variable_own_Mon_01449" localSheetId="0" hidden="1">monday_model.lp!$DQU$2</definedName>
    <definedName name="Variable_own_Mon_01449_Type" localSheetId="0" hidden="1">monday_model.lp!$DQU$1782</definedName>
    <definedName name="Variable_own_Mon_01450" localSheetId="0" hidden="1">monday_model.lp!$DQV$2</definedName>
    <definedName name="Variable_own_Mon_01450_Type" localSheetId="0" hidden="1">monday_model.lp!$DQV$1782</definedName>
    <definedName name="Variable_own_Mon_01451" localSheetId="0" hidden="1">monday_model.lp!$DQW$2</definedName>
    <definedName name="Variable_own_Mon_01451_Type" localSheetId="0" hidden="1">monday_model.lp!$DQW$1782</definedName>
    <definedName name="Variable_own_Mon_01452" localSheetId="0" hidden="1">monday_model.lp!$DQX$2</definedName>
    <definedName name="Variable_own_Mon_01452_Type" localSheetId="0" hidden="1">monday_model.lp!$DQX$1782</definedName>
    <definedName name="Variable_own_Mon_01453" localSheetId="0" hidden="1">monday_model.lp!$DQY$2</definedName>
    <definedName name="Variable_own_Mon_01453_Type" localSheetId="0" hidden="1">monday_model.lp!$DQY$1782</definedName>
    <definedName name="Variable_own_Mon_01454" localSheetId="0" hidden="1">monday_model.lp!$DQZ$2</definedName>
    <definedName name="Variable_own_Mon_01454_Type" localSheetId="0" hidden="1">monday_model.lp!$DQZ$1782</definedName>
    <definedName name="Variable_own_Mon_01455" localSheetId="0" hidden="1">monday_model.lp!$DRA$2</definedName>
    <definedName name="Variable_own_Mon_01455_Type" localSheetId="0" hidden="1">monday_model.lp!$DRA$1782</definedName>
    <definedName name="Variable_own_Mon_01456" localSheetId="0" hidden="1">monday_model.lp!$DRB$2</definedName>
    <definedName name="Variable_own_Mon_01456_Type" localSheetId="0" hidden="1">monday_model.lp!$DRB$1782</definedName>
    <definedName name="Variable_own_Mon_01457" localSheetId="0" hidden="1">monday_model.lp!$DRC$2</definedName>
    <definedName name="Variable_own_Mon_01457_Type" localSheetId="0" hidden="1">monday_model.lp!$DRC$1782</definedName>
    <definedName name="Variable_own_Mon_01458" localSheetId="0" hidden="1">monday_model.lp!$DRD$2</definedName>
    <definedName name="Variable_own_Mon_01458_Type" localSheetId="0" hidden="1">monday_model.lp!$DRD$1782</definedName>
    <definedName name="Variable_own_Mon_01459" localSheetId="0" hidden="1">monday_model.lp!$DRE$2</definedName>
    <definedName name="Variable_own_Mon_01459_Type" localSheetId="0" hidden="1">monday_model.lp!$DRE$1782</definedName>
    <definedName name="Variable_own_Mon_01460" localSheetId="0" hidden="1">monday_model.lp!$DRF$2</definedName>
    <definedName name="Variable_own_Mon_01460_Type" localSheetId="0" hidden="1">monday_model.lp!$DRF$1782</definedName>
    <definedName name="Variable_own_Mon_01461" localSheetId="0" hidden="1">monday_model.lp!$DRG$2</definedName>
    <definedName name="Variable_own_Mon_01461_Type" localSheetId="0" hidden="1">monday_model.lp!$DRG$1782</definedName>
    <definedName name="Variable_own_Mon_01462" localSheetId="0" hidden="1">monday_model.lp!$DRH$2</definedName>
    <definedName name="Variable_own_Mon_01462_Type" localSheetId="0" hidden="1">monday_model.lp!$DRH$1782</definedName>
    <definedName name="Variable_own_Mon_01463" localSheetId="0" hidden="1">monday_model.lp!$DRI$2</definedName>
    <definedName name="Variable_own_Mon_01463_Type" localSheetId="0" hidden="1">monday_model.lp!$DRI$1782</definedName>
    <definedName name="Variable_own_Mon_01464" localSheetId="0" hidden="1">monday_model.lp!$DRJ$2</definedName>
    <definedName name="Variable_own_Mon_01464_Type" localSheetId="0" hidden="1">monday_model.lp!$DRJ$1782</definedName>
    <definedName name="Variable_own_Mon_01465" localSheetId="0" hidden="1">monday_model.lp!$DRK$2</definedName>
    <definedName name="Variable_own_Mon_01465_Type" localSheetId="0" hidden="1">monday_model.lp!$DRK$1782</definedName>
    <definedName name="Variable_own_Mon_01466" localSheetId="0" hidden="1">monday_model.lp!$DRL$2</definedName>
    <definedName name="Variable_own_Mon_01466_Type" localSheetId="0" hidden="1">monday_model.lp!$DRL$1782</definedName>
    <definedName name="Variable_own_Mon_01467" localSheetId="0" hidden="1">monday_model.lp!$DRM$2</definedName>
    <definedName name="Variable_own_Mon_01467_Type" localSheetId="0" hidden="1">monday_model.lp!$DRM$1782</definedName>
    <definedName name="Variable_own_Mon_01468" localSheetId="0" hidden="1">monday_model.lp!$DRN$2</definedName>
    <definedName name="Variable_own_Mon_01468_Type" localSheetId="0" hidden="1">monday_model.lp!$DRN$1782</definedName>
    <definedName name="Variable_own_Mon_01469" localSheetId="0" hidden="1">monday_model.lp!$DRO$2</definedName>
    <definedName name="Variable_own_Mon_01469_Type" localSheetId="0" hidden="1">monday_model.lp!$DRO$1782</definedName>
    <definedName name="Variable_own_Mon_01470" localSheetId="0" hidden="1">monday_model.lp!$DRP$2</definedName>
    <definedName name="Variable_own_Mon_01470_Type" localSheetId="0" hidden="1">monday_model.lp!$DRP$1782</definedName>
    <definedName name="Variable_own_Mon_01471" localSheetId="0" hidden="1">monday_model.lp!$DRQ$2</definedName>
    <definedName name="Variable_own_Mon_01471_Type" localSheetId="0" hidden="1">monday_model.lp!$DRQ$1782</definedName>
    <definedName name="Variable_own_Mon_01472" localSheetId="0" hidden="1">monday_model.lp!$DRR$2</definedName>
    <definedName name="Variable_own_Mon_01472_Type" localSheetId="0" hidden="1">monday_model.lp!$DRR$1782</definedName>
    <definedName name="Variable_own_Mon_01473" localSheetId="0" hidden="1">monday_model.lp!$DRS$2</definedName>
    <definedName name="Variable_own_Mon_01473_Type" localSheetId="0" hidden="1">monday_model.lp!$DRS$1782</definedName>
    <definedName name="Variable_own_Mon_01474" localSheetId="0" hidden="1">monday_model.lp!$DRT$2</definedName>
    <definedName name="Variable_own_Mon_01474_Type" localSheetId="0" hidden="1">monday_model.lp!$DRT$1782</definedName>
    <definedName name="Variable_own_Mon_01475" localSheetId="0" hidden="1">monday_model.lp!$DRU$2</definedName>
    <definedName name="Variable_own_Mon_01475_Type" localSheetId="0" hidden="1">monday_model.lp!$DRU$1782</definedName>
    <definedName name="Variable_own_Mon_01476" localSheetId="0" hidden="1">monday_model.lp!$DRV$2</definedName>
    <definedName name="Variable_own_Mon_01476_Type" localSheetId="0" hidden="1">monday_model.lp!$DRV$1782</definedName>
    <definedName name="Variable_own_Mon_01477" localSheetId="0" hidden="1">monday_model.lp!$DRW$2</definedName>
    <definedName name="Variable_own_Mon_01477_Type" localSheetId="0" hidden="1">monday_model.lp!$DRW$1782</definedName>
    <definedName name="Variable_own_Mon_01478" localSheetId="0" hidden="1">monday_model.lp!$DRX$2</definedName>
    <definedName name="Variable_own_Mon_01478_Type" localSheetId="0" hidden="1">monday_model.lp!$DRX$1782</definedName>
    <definedName name="Variable_own_Mon_01479" localSheetId="0" hidden="1">monday_model.lp!$DRY$2</definedName>
    <definedName name="Variable_own_Mon_01479_Type" localSheetId="0" hidden="1">monday_model.lp!$DRY$1782</definedName>
    <definedName name="Variable_own_Mon_01480" localSheetId="0" hidden="1">monday_model.lp!$DRZ$2</definedName>
    <definedName name="Variable_own_Mon_01480_Type" localSheetId="0" hidden="1">monday_model.lp!$DRZ$1782</definedName>
    <definedName name="Variable_own_Mon_01481" localSheetId="0" hidden="1">monday_model.lp!$DSA$2</definedName>
    <definedName name="Variable_own_Mon_01481_Type" localSheetId="0" hidden="1">monday_model.lp!$DSA$1782</definedName>
    <definedName name="Variable_own_Mon_01482" localSheetId="0" hidden="1">monday_model.lp!$DSB$2</definedName>
    <definedName name="Variable_own_Mon_01482_Type" localSheetId="0" hidden="1">monday_model.lp!$DSB$1782</definedName>
    <definedName name="Variable_own_Mon_01483" localSheetId="0" hidden="1">monday_model.lp!$DSC$2</definedName>
    <definedName name="Variable_own_Mon_01483_Type" localSheetId="0" hidden="1">monday_model.lp!$DSC$1782</definedName>
    <definedName name="Variable_own_Mon_01484" localSheetId="0" hidden="1">monday_model.lp!$DSD$2</definedName>
    <definedName name="Variable_own_Mon_01484_Type" localSheetId="0" hidden="1">monday_model.lp!$DSD$1782</definedName>
    <definedName name="Variable_own_Mon_01485" localSheetId="0" hidden="1">monday_model.lp!$DSE$2</definedName>
    <definedName name="Variable_own_Mon_01485_Type" localSheetId="0" hidden="1">monday_model.lp!$DSE$1782</definedName>
    <definedName name="Variable_own_Mon_01486" localSheetId="0" hidden="1">monday_model.lp!$DSF$2</definedName>
    <definedName name="Variable_own_Mon_01486_Type" localSheetId="0" hidden="1">monday_model.lp!$DSF$1782</definedName>
    <definedName name="Variable_own_Mon_01487" localSheetId="0" hidden="1">monday_model.lp!$DSG$2</definedName>
    <definedName name="Variable_own_Mon_01487_Type" localSheetId="0" hidden="1">monday_model.lp!$DSG$1782</definedName>
    <definedName name="Variable_own_Mon_01488" localSheetId="0" hidden="1">monday_model.lp!$DSH$2</definedName>
    <definedName name="Variable_own_Mon_01488_Type" localSheetId="0" hidden="1">monday_model.lp!$DSH$1782</definedName>
    <definedName name="Variable_own_Mon_01489" localSheetId="0" hidden="1">monday_model.lp!$DSI$2</definedName>
    <definedName name="Variable_own_Mon_01489_Type" localSheetId="0" hidden="1">monday_model.lp!$DSI$1782</definedName>
    <definedName name="Variable_own_Mon_01490" localSheetId="0" hidden="1">monday_model.lp!$DSJ$2</definedName>
    <definedName name="Variable_own_Mon_01490_Type" localSheetId="0" hidden="1">monday_model.lp!$DSJ$1782</definedName>
    <definedName name="Variable_own_Mon_01491" localSheetId="0" hidden="1">monday_model.lp!$DSK$2</definedName>
    <definedName name="Variable_own_Mon_01491_Type" localSheetId="0" hidden="1">monday_model.lp!$DSK$1782</definedName>
    <definedName name="Variable_own_Mon_01492" localSheetId="0" hidden="1">monday_model.lp!$DSL$2</definedName>
    <definedName name="Variable_own_Mon_01492_Type" localSheetId="0" hidden="1">monday_model.lp!$DSL$1782</definedName>
    <definedName name="Variable_own_Mon_01493" localSheetId="0" hidden="1">monday_model.lp!$DSM$2</definedName>
    <definedName name="Variable_own_Mon_01493_Type" localSheetId="0" hidden="1">monday_model.lp!$DSM$1782</definedName>
    <definedName name="Variable_own_Mon_01494" localSheetId="0" hidden="1">monday_model.lp!$DSN$2</definedName>
    <definedName name="Variable_own_Mon_01494_Type" localSheetId="0" hidden="1">monday_model.lp!$DSN$1782</definedName>
    <definedName name="Variable_own_Mon_01495" localSheetId="0" hidden="1">monday_model.lp!$DSO$2</definedName>
    <definedName name="Variable_own_Mon_01495_Type" localSheetId="0" hidden="1">monday_model.lp!$DSO$1782</definedName>
    <definedName name="Variable_own_Mon_01496" localSheetId="0" hidden="1">monday_model.lp!$DSP$2</definedName>
    <definedName name="Variable_own_Mon_01496_Type" localSheetId="0" hidden="1">monday_model.lp!$DSP$1782</definedName>
    <definedName name="Variable_own_Mon_01497" localSheetId="0" hidden="1">monday_model.lp!$DSQ$2</definedName>
    <definedName name="Variable_own_Mon_01497_Type" localSheetId="0" hidden="1">monday_model.lp!$DSQ$1782</definedName>
    <definedName name="Variable_own_Mon_01498" localSheetId="0" hidden="1">monday_model.lp!$DSR$2</definedName>
    <definedName name="Variable_own_Mon_01498_Type" localSheetId="0" hidden="1">monday_model.lp!$DSR$1782</definedName>
    <definedName name="Variable_own_Mon_01499" localSheetId="0" hidden="1">monday_model.lp!$DSS$2</definedName>
    <definedName name="Variable_own_Mon_01499_Type" localSheetId="0" hidden="1">monday_model.lp!$DSS$1782</definedName>
    <definedName name="Variable_own_Mon_01500" localSheetId="0" hidden="1">monday_model.lp!$DST$2</definedName>
    <definedName name="Variable_own_Mon_01500_Type" localSheetId="0" hidden="1">monday_model.lp!$DST$1782</definedName>
    <definedName name="Variable_own_Mon_01501" localSheetId="0" hidden="1">monday_model.lp!$DSU$2</definedName>
    <definedName name="Variable_own_Mon_01501_Type" localSheetId="0" hidden="1">monday_model.lp!$DSU$1782</definedName>
    <definedName name="Variable_own_Mon_01502" localSheetId="0" hidden="1">monday_model.lp!$DSV$2</definedName>
    <definedName name="Variable_own_Mon_01502_Type" localSheetId="0" hidden="1">monday_model.lp!$DSV$1782</definedName>
    <definedName name="Variable_own_Mon_01503" localSheetId="0" hidden="1">monday_model.lp!$DSW$2</definedName>
    <definedName name="Variable_own_Mon_01503_Type" localSheetId="0" hidden="1">monday_model.lp!$DSW$1782</definedName>
    <definedName name="Variable_own_Mon_01504" localSheetId="0" hidden="1">monday_model.lp!$DSX$2</definedName>
    <definedName name="Variable_own_Mon_01504_Type" localSheetId="0" hidden="1">monday_model.lp!$DSX$1782</definedName>
    <definedName name="Variable_own_Mon_01505" localSheetId="0" hidden="1">monday_model.lp!$DSY$2</definedName>
    <definedName name="Variable_own_Mon_01505_Type" localSheetId="0" hidden="1">monday_model.lp!$DSY$1782</definedName>
    <definedName name="Variable_own_Mon_01506" localSheetId="0" hidden="1">monday_model.lp!$DSZ$2</definedName>
    <definedName name="Variable_own_Mon_01506_Type" localSheetId="0" hidden="1">monday_model.lp!$DSZ$1782</definedName>
    <definedName name="Variable_own_Mon_01507" localSheetId="0" hidden="1">monday_model.lp!$DTA$2</definedName>
    <definedName name="Variable_own_Mon_01507_Type" localSheetId="0" hidden="1">monday_model.lp!$DTA$1782</definedName>
    <definedName name="Variable_own_Mon_01508" localSheetId="0" hidden="1">monday_model.lp!$DTB$2</definedName>
    <definedName name="Variable_own_Mon_01508_Type" localSheetId="0" hidden="1">monday_model.lp!$DTB$1782</definedName>
    <definedName name="Variable_own_Mon_01509" localSheetId="0" hidden="1">monday_model.lp!$DTC$2</definedName>
    <definedName name="Variable_own_Mon_01509_Type" localSheetId="0" hidden="1">monday_model.lp!$DTC$1782</definedName>
    <definedName name="Variable_own_Mon_01510" localSheetId="0" hidden="1">monday_model.lp!$DTD$2</definedName>
    <definedName name="Variable_own_Mon_01510_Type" localSheetId="0" hidden="1">monday_model.lp!$DTD$1782</definedName>
    <definedName name="Variable_own_Mon_01511" localSheetId="0" hidden="1">monday_model.lp!$DTE$2</definedName>
    <definedName name="Variable_own_Mon_01511_Type" localSheetId="0" hidden="1">monday_model.lp!$DTE$1782</definedName>
    <definedName name="Variable_own_Mon_01512" localSheetId="0" hidden="1">monday_model.lp!$DTF$2</definedName>
    <definedName name="Variable_own_Mon_01512_Type" localSheetId="0" hidden="1">monday_model.lp!$DTF$1782</definedName>
    <definedName name="Variable_own_Mon_01513" localSheetId="0" hidden="1">monday_model.lp!$DTG$2</definedName>
    <definedName name="Variable_own_Mon_01513_Type" localSheetId="0" hidden="1">monday_model.lp!$DTG$1782</definedName>
    <definedName name="Variable_own_Mon_01514" localSheetId="0" hidden="1">monday_model.lp!$DTH$2</definedName>
    <definedName name="Variable_own_Mon_01514_Type" localSheetId="0" hidden="1">monday_model.lp!$DTH$1782</definedName>
    <definedName name="Variable_own_Mon_01515" localSheetId="0" hidden="1">monday_model.lp!$DTI$2</definedName>
    <definedName name="Variable_own_Mon_01515_Type" localSheetId="0" hidden="1">monday_model.lp!$DTI$1782</definedName>
    <definedName name="Variable_own_Mon_01516" localSheetId="0" hidden="1">monday_model.lp!$DTJ$2</definedName>
    <definedName name="Variable_own_Mon_01516_Type" localSheetId="0" hidden="1">monday_model.lp!$DTJ$1782</definedName>
    <definedName name="Variable_own_Mon_01517" localSheetId="0" hidden="1">monday_model.lp!$DTK$2</definedName>
    <definedName name="Variable_own_Mon_01517_Type" localSheetId="0" hidden="1">monday_model.lp!$DTK$1782</definedName>
    <definedName name="Variable_own_Mon_01518" localSheetId="0" hidden="1">monday_model.lp!$DTL$2</definedName>
    <definedName name="Variable_own_Mon_01518_Type" localSheetId="0" hidden="1">monday_model.lp!$DTL$1782</definedName>
    <definedName name="Variable_own_Mon_01519" localSheetId="0" hidden="1">monday_model.lp!$DTM$2</definedName>
    <definedName name="Variable_own_Mon_01519_Type" localSheetId="0" hidden="1">monday_model.lp!$DTM$1782</definedName>
    <definedName name="Variable_own_Mon_01520" localSheetId="0" hidden="1">monday_model.lp!$DTN$2</definedName>
    <definedName name="Variable_own_Mon_01520_Type" localSheetId="0" hidden="1">monday_model.lp!$DTN$1782</definedName>
    <definedName name="Variable_own_Mon_01521" localSheetId="0" hidden="1">monday_model.lp!$DTO$2</definedName>
    <definedName name="Variable_own_Mon_01521_Type" localSheetId="0" hidden="1">monday_model.lp!$DTO$1782</definedName>
    <definedName name="Variable_own_Mon_01522" localSheetId="0" hidden="1">monday_model.lp!$DTP$2</definedName>
    <definedName name="Variable_own_Mon_01522_Type" localSheetId="0" hidden="1">monday_model.lp!$DTP$1782</definedName>
    <definedName name="Variable_own_Mon_01523" localSheetId="0" hidden="1">monday_model.lp!$DTQ$2</definedName>
    <definedName name="Variable_own_Mon_01523_Type" localSheetId="0" hidden="1">monday_model.lp!$DTQ$1782</definedName>
    <definedName name="Variable_own_Mon_01524" localSheetId="0" hidden="1">monday_model.lp!$DTR$2</definedName>
    <definedName name="Variable_own_Mon_01524_Type" localSheetId="0" hidden="1">monday_model.lp!$DTR$1782</definedName>
    <definedName name="Variable_own_Mon_01525" localSheetId="0" hidden="1">monday_model.lp!$DTS$2</definedName>
    <definedName name="Variable_own_Mon_01525_Type" localSheetId="0" hidden="1">monday_model.lp!$DTS$1782</definedName>
    <definedName name="Variable_own_Mon_01526" localSheetId="0" hidden="1">monday_model.lp!$DTT$2</definedName>
    <definedName name="Variable_own_Mon_01526_Type" localSheetId="0" hidden="1">monday_model.lp!$DTT$1782</definedName>
    <definedName name="Variable_own_Mon_01527" localSheetId="0" hidden="1">monday_model.lp!$DTU$2</definedName>
    <definedName name="Variable_own_Mon_01527_Type" localSheetId="0" hidden="1">monday_model.lp!$DTU$1782</definedName>
    <definedName name="Variable_own_Mon_01528" localSheetId="0" hidden="1">monday_model.lp!$DTV$2</definedName>
    <definedName name="Variable_own_Mon_01528_Type" localSheetId="0" hidden="1">monday_model.lp!$DTV$1782</definedName>
    <definedName name="Variable_own_Mon_01529" localSheetId="0" hidden="1">monday_model.lp!$DTW$2</definedName>
    <definedName name="Variable_own_Mon_01529_Type" localSheetId="0" hidden="1">monday_model.lp!$DTW$1782</definedName>
    <definedName name="Variable_own_Mon_01530" localSheetId="0" hidden="1">monday_model.lp!$DTX$2</definedName>
    <definedName name="Variable_own_Mon_01530_Type" localSheetId="0" hidden="1">monday_model.lp!$DTX$1782</definedName>
    <definedName name="Variable_own_Mon_01531" localSheetId="0" hidden="1">monday_model.lp!$DTY$2</definedName>
    <definedName name="Variable_own_Mon_01531_Type" localSheetId="0" hidden="1">monday_model.lp!$DTY$1782</definedName>
    <definedName name="Variable_own_Mon_01532" localSheetId="0" hidden="1">monday_model.lp!$DTZ$2</definedName>
    <definedName name="Variable_own_Mon_01532_Type" localSheetId="0" hidden="1">monday_model.lp!$DTZ$1782</definedName>
    <definedName name="Variable_own_Mon_01533" localSheetId="0" hidden="1">monday_model.lp!$DUA$2</definedName>
    <definedName name="Variable_own_Mon_01533_Type" localSheetId="0" hidden="1">monday_model.lp!$DUA$1782</definedName>
    <definedName name="Variable_own_Mon_01534" localSheetId="0" hidden="1">monday_model.lp!$DUB$2</definedName>
    <definedName name="Variable_own_Mon_01534_Type" localSheetId="0" hidden="1">monday_model.lp!$DUB$1782</definedName>
    <definedName name="Variable_own_Mon_01535" localSheetId="0" hidden="1">monday_model.lp!$DUC$2</definedName>
    <definedName name="Variable_own_Mon_01535_Type" localSheetId="0" hidden="1">monday_model.lp!$DUC$1782</definedName>
    <definedName name="Variable_own_Mon_01536" localSheetId="0" hidden="1">monday_model.lp!$DUD$2</definedName>
    <definedName name="Variable_own_Mon_01536_Type" localSheetId="0" hidden="1">monday_model.lp!$DUD$1782</definedName>
    <definedName name="Variable_own_Mon_01537" localSheetId="0" hidden="1">monday_model.lp!$DUE$2</definedName>
    <definedName name="Variable_own_Mon_01537_Type" localSheetId="0" hidden="1">monday_model.lp!$DUE$1782</definedName>
    <definedName name="Variable_own_Mon_01538" localSheetId="0" hidden="1">monday_model.lp!$DUF$2</definedName>
    <definedName name="Variable_own_Mon_01538_Type" localSheetId="0" hidden="1">monday_model.lp!$DUF$1782</definedName>
    <definedName name="Variable_own_Mon_01539" localSheetId="0" hidden="1">monday_model.lp!$DUG$2</definedName>
    <definedName name="Variable_own_Mon_01539_Type" localSheetId="0" hidden="1">monday_model.lp!$DUG$1782</definedName>
    <definedName name="Variable_own_Mon_01540" localSheetId="0" hidden="1">monday_model.lp!$DUH$2</definedName>
    <definedName name="Variable_own_Mon_01540_Type" localSheetId="0" hidden="1">monday_model.lp!$DUH$1782</definedName>
    <definedName name="Variable_own_Mon_01541" localSheetId="0" hidden="1">monday_model.lp!$DUI$2</definedName>
    <definedName name="Variable_own_Mon_01541_Type" localSheetId="0" hidden="1">monday_model.lp!$DUI$1782</definedName>
    <definedName name="Variable_own_Mon_01542" localSheetId="0" hidden="1">monday_model.lp!$DUJ$2</definedName>
    <definedName name="Variable_own_Mon_01542_Type" localSheetId="0" hidden="1">monday_model.lp!$DUJ$1782</definedName>
    <definedName name="Variable_own_Mon_01543" localSheetId="0" hidden="1">monday_model.lp!$DUK$2</definedName>
    <definedName name="Variable_own_Mon_01543_Type" localSheetId="0" hidden="1">monday_model.lp!$DUK$1782</definedName>
    <definedName name="Variable_own_Mon_01544" localSheetId="0" hidden="1">monday_model.lp!$DUL$2</definedName>
    <definedName name="Variable_own_Mon_01544_Type" localSheetId="0" hidden="1">monday_model.lp!$DUL$1782</definedName>
    <definedName name="Variable_own_Mon_01545" localSheetId="0" hidden="1">monday_model.lp!$DUM$2</definedName>
    <definedName name="Variable_own_Mon_01545_Type" localSheetId="0" hidden="1">monday_model.lp!$DUM$1782</definedName>
    <definedName name="Variable_own_Mon_01546" localSheetId="0" hidden="1">monday_model.lp!$DUN$2</definedName>
    <definedName name="Variable_own_Mon_01546_Type" localSheetId="0" hidden="1">monday_model.lp!$DUN$1782</definedName>
    <definedName name="Variable_own_Mon_01547" localSheetId="0" hidden="1">monday_model.lp!$DUO$2</definedName>
    <definedName name="Variable_own_Mon_01547_Type" localSheetId="0" hidden="1">monday_model.lp!$DUO$1782</definedName>
    <definedName name="Variable_own_Mon_01548" localSheetId="0" hidden="1">monday_model.lp!$DUP$2</definedName>
    <definedName name="Variable_own_Mon_01548_Type" localSheetId="0" hidden="1">monday_model.lp!$DUP$1782</definedName>
    <definedName name="Variable_own_Mon_01549" localSheetId="0" hidden="1">monday_model.lp!$DUQ$2</definedName>
    <definedName name="Variable_own_Mon_01549_Type" localSheetId="0" hidden="1">monday_model.lp!$DUQ$1782</definedName>
    <definedName name="Variable_own_Mon_01550" localSheetId="0" hidden="1">monday_model.lp!$DUR$2</definedName>
    <definedName name="Variable_own_Mon_01550_Type" localSheetId="0" hidden="1">monday_model.lp!$DUR$1782</definedName>
    <definedName name="Variable_own_Mon_01551" localSheetId="0" hidden="1">monday_model.lp!$DUS$2</definedName>
    <definedName name="Variable_own_Mon_01551_Type" localSheetId="0" hidden="1">monday_model.lp!$DUS$1782</definedName>
    <definedName name="Variable_own_Mon_01552" localSheetId="0" hidden="1">monday_model.lp!$DUT$2</definedName>
    <definedName name="Variable_own_Mon_01552_Type" localSheetId="0" hidden="1">monday_model.lp!$DUT$1782</definedName>
    <definedName name="Variable_own_Mon_01553" localSheetId="0" hidden="1">monday_model.lp!$DUU$2</definedName>
    <definedName name="Variable_own_Mon_01553_Type" localSheetId="0" hidden="1">monday_model.lp!$DUU$1782</definedName>
    <definedName name="Variable_own_Mon_01554" localSheetId="0" hidden="1">monday_model.lp!$DUV$2</definedName>
    <definedName name="Variable_own_Mon_01554_Type" localSheetId="0" hidden="1">monday_model.lp!$DUV$1782</definedName>
    <definedName name="Variable_own_Mon_01555" localSheetId="0" hidden="1">monday_model.lp!$DUW$2</definedName>
    <definedName name="Variable_own_Mon_01555_Type" localSheetId="0" hidden="1">monday_model.lp!$DUW$1782</definedName>
    <definedName name="Variable_own_Mon_01556" localSheetId="0" hidden="1">monday_model.lp!$DUX$2</definedName>
    <definedName name="Variable_own_Mon_01556_Type" localSheetId="0" hidden="1">monday_model.lp!$DUX$1782</definedName>
    <definedName name="Variable_own_Mon_01557" localSheetId="0" hidden="1">monday_model.lp!$DUY$2</definedName>
    <definedName name="Variable_own_Mon_01557_Type" localSheetId="0" hidden="1">monday_model.lp!$DUY$1782</definedName>
    <definedName name="Variable_own_Mon_01558" localSheetId="0" hidden="1">monday_model.lp!$DUZ$2</definedName>
    <definedName name="Variable_own_Mon_01558_Type" localSheetId="0" hidden="1">monday_model.lp!$DUZ$1782</definedName>
    <definedName name="Variable_own_Mon_01559" localSheetId="0" hidden="1">monday_model.lp!$DVA$2</definedName>
    <definedName name="Variable_own_Mon_01559_Type" localSheetId="0" hidden="1">monday_model.lp!$DVA$1782</definedName>
    <definedName name="Variable_own_Mon_01560" localSheetId="0" hidden="1">monday_model.lp!$DVB$2</definedName>
    <definedName name="Variable_own_Mon_01560_Type" localSheetId="0" hidden="1">monday_model.lp!$DVB$1782</definedName>
    <definedName name="Variable_own_Mon_01561" localSheetId="0" hidden="1">monday_model.lp!$DVC$2</definedName>
    <definedName name="Variable_own_Mon_01561_Type" localSheetId="0" hidden="1">monday_model.lp!$DVC$1782</definedName>
    <definedName name="Variable_own_Mon_01562" localSheetId="0" hidden="1">monday_model.lp!$DVD$2</definedName>
    <definedName name="Variable_own_Mon_01562_Type" localSheetId="0" hidden="1">monday_model.lp!$DVD$1782</definedName>
    <definedName name="Variable_own_Mon_01563" localSheetId="0" hidden="1">monday_model.lp!$DVE$2</definedName>
    <definedName name="Variable_own_Mon_01563_Type" localSheetId="0" hidden="1">monday_model.lp!$DVE$1782</definedName>
    <definedName name="Variable_own_Mon_01564" localSheetId="0" hidden="1">monday_model.lp!$DVF$2</definedName>
    <definedName name="Variable_own_Mon_01564_Type" localSheetId="0" hidden="1">monday_model.lp!$DVF$1782</definedName>
    <definedName name="Variable_own_Mon_01565" localSheetId="0" hidden="1">monday_model.lp!$DVG$2</definedName>
    <definedName name="Variable_own_Mon_01565_Type" localSheetId="0" hidden="1">monday_model.lp!$DVG$1782</definedName>
    <definedName name="Variable_own_Mon_01566" localSheetId="0" hidden="1">monday_model.lp!$DVH$2</definedName>
    <definedName name="Variable_own_Mon_01566_Type" localSheetId="0" hidden="1">monday_model.lp!$DVH$1782</definedName>
    <definedName name="Variable_own_Mon_01567" localSheetId="0" hidden="1">monday_model.lp!$DVI$2</definedName>
    <definedName name="Variable_own_Mon_01567_Type" localSheetId="0" hidden="1">monday_model.lp!$DVI$1782</definedName>
    <definedName name="Variable_own_Mon_01568" localSheetId="0" hidden="1">monday_model.lp!$DVJ$2</definedName>
    <definedName name="Variable_own_Mon_01568_Type" localSheetId="0" hidden="1">monday_model.lp!$DVJ$1782</definedName>
    <definedName name="Variable_own_Mon_01569" localSheetId="0" hidden="1">monday_model.lp!$DVK$2</definedName>
    <definedName name="Variable_own_Mon_01569_Type" localSheetId="0" hidden="1">monday_model.lp!$DVK$1782</definedName>
    <definedName name="Variable_own_Mon_01570" localSheetId="0" hidden="1">monday_model.lp!$DVL$2</definedName>
    <definedName name="Variable_own_Mon_01570_Type" localSheetId="0" hidden="1">monday_model.lp!$DVL$1782</definedName>
    <definedName name="Variable_own_Mon_01571" localSheetId="0" hidden="1">monday_model.lp!$DVM$2</definedName>
    <definedName name="Variable_own_Mon_01571_Type" localSheetId="0" hidden="1">monday_model.lp!$DVM$1782</definedName>
    <definedName name="Variable_own_Mon_01572" localSheetId="0" hidden="1">monday_model.lp!$DVN$2</definedName>
    <definedName name="Variable_own_Mon_01572_Type" localSheetId="0" hidden="1">monday_model.lp!$DVN$1782</definedName>
    <definedName name="Variable_own_Mon_01573" localSheetId="0" hidden="1">monday_model.lp!$DVO$2</definedName>
    <definedName name="Variable_own_Mon_01573_Type" localSheetId="0" hidden="1">monday_model.lp!$DVO$1782</definedName>
    <definedName name="Variable_own_Mon_01574" localSheetId="0" hidden="1">monday_model.lp!$DVP$2</definedName>
    <definedName name="Variable_own_Mon_01574_Type" localSheetId="0" hidden="1">monday_model.lp!$DVP$1782</definedName>
    <definedName name="Variable_own_Mon_01575" localSheetId="0" hidden="1">monday_model.lp!$DVQ$2</definedName>
    <definedName name="Variable_own_Mon_01575_Type" localSheetId="0" hidden="1">monday_model.lp!$DVQ$1782</definedName>
    <definedName name="Variable_own_Mon_01576" localSheetId="0" hidden="1">monday_model.lp!$DVR$2</definedName>
    <definedName name="Variable_own_Mon_01576_Type" localSheetId="0" hidden="1">monday_model.lp!$DVR$1782</definedName>
    <definedName name="Variable_own_Mon_01577" localSheetId="0" hidden="1">monday_model.lp!$DVS$2</definedName>
    <definedName name="Variable_own_Mon_01577_Type" localSheetId="0" hidden="1">monday_model.lp!$DVS$1782</definedName>
    <definedName name="Variable_own_Mon_01578" localSheetId="0" hidden="1">monday_model.lp!$DVT$2</definedName>
    <definedName name="Variable_own_Mon_01578_Type" localSheetId="0" hidden="1">monday_model.lp!$DVT$1782</definedName>
    <definedName name="Variable_own_Mon_01579" localSheetId="0" hidden="1">monday_model.lp!$DVU$2</definedName>
    <definedName name="Variable_own_Mon_01579_Type" localSheetId="0" hidden="1">monday_model.lp!$DVU$1782</definedName>
    <definedName name="Variable_own_Mon_01580" localSheetId="0" hidden="1">monday_model.lp!$DVV$2</definedName>
    <definedName name="Variable_own_Mon_01580_Type" localSheetId="0" hidden="1">monday_model.lp!$DVV$1782</definedName>
    <definedName name="Variable_own_Mon_01581" localSheetId="0" hidden="1">monday_model.lp!$DVW$2</definedName>
    <definedName name="Variable_own_Mon_01581_Type" localSheetId="0" hidden="1">monday_model.lp!$DVW$1782</definedName>
    <definedName name="Variable_own_Mon_01582" localSheetId="0" hidden="1">monday_model.lp!$DVX$2</definedName>
    <definedName name="Variable_own_Mon_01582_Type" localSheetId="0" hidden="1">monday_model.lp!$DVX$1782</definedName>
    <definedName name="Variable_own_Mon_01583" localSheetId="0" hidden="1">monday_model.lp!$DVY$2</definedName>
    <definedName name="Variable_own_Mon_01583_Type" localSheetId="0" hidden="1">monday_model.lp!$DVY$1782</definedName>
    <definedName name="Variable_own_Mon_01584" localSheetId="0" hidden="1">monday_model.lp!$DVZ$2</definedName>
    <definedName name="Variable_own_Mon_01584_Type" localSheetId="0" hidden="1">monday_model.lp!$DVZ$1782</definedName>
    <definedName name="Variable_own_Mon_01585" localSheetId="0" hidden="1">monday_model.lp!$DWA$2</definedName>
    <definedName name="Variable_own_Mon_01585_Type" localSheetId="0" hidden="1">monday_model.lp!$DWA$1782</definedName>
    <definedName name="Variable_own_Mon_01586" localSheetId="0" hidden="1">monday_model.lp!$DWB$2</definedName>
    <definedName name="Variable_own_Mon_01586_Type" localSheetId="0" hidden="1">monday_model.lp!$DWB$1782</definedName>
    <definedName name="Variable_own_Mon_01587" localSheetId="0" hidden="1">monday_model.lp!$DWC$2</definedName>
    <definedName name="Variable_own_Mon_01587_Type" localSheetId="0" hidden="1">monday_model.lp!$DWC$1782</definedName>
    <definedName name="Variable_own_Mon_01588" localSheetId="0" hidden="1">monday_model.lp!$DWD$2</definedName>
    <definedName name="Variable_own_Mon_01588_Type" localSheetId="0" hidden="1">monday_model.lp!$DWD$1782</definedName>
    <definedName name="Variable_own_Mon_01589" localSheetId="0" hidden="1">monday_model.lp!$DWE$2</definedName>
    <definedName name="Variable_own_Mon_01589_Type" localSheetId="0" hidden="1">monday_model.lp!$DWE$1782</definedName>
    <definedName name="Variable_own_Mon_01590" localSheetId="0" hidden="1">monday_model.lp!$DWF$2</definedName>
    <definedName name="Variable_own_Mon_01590_Type" localSheetId="0" hidden="1">monday_model.lp!$DWF$1782</definedName>
    <definedName name="Variable_own_Mon_01591" localSheetId="0" hidden="1">monday_model.lp!$DWG$2</definedName>
    <definedName name="Variable_own_Mon_01591_Type" localSheetId="0" hidden="1">monday_model.lp!$DWG$1782</definedName>
    <definedName name="Variable_own_Mon_01592" localSheetId="0" hidden="1">monday_model.lp!$DWH$2</definedName>
    <definedName name="Variable_own_Mon_01592_Type" localSheetId="0" hidden="1">monday_model.lp!$DWH$1782</definedName>
    <definedName name="Variable_own_Mon_01593" localSheetId="0" hidden="1">monday_model.lp!$DWI$2</definedName>
    <definedName name="Variable_own_Mon_01593_Type" localSheetId="0" hidden="1">monday_model.lp!$DWI$1782</definedName>
    <definedName name="Variable_own_Mon_01594" localSheetId="0" hidden="1">monday_model.lp!$DWJ$2</definedName>
    <definedName name="Variable_own_Mon_01594_Type" localSheetId="0" hidden="1">monday_model.lp!$DWJ$1782</definedName>
    <definedName name="Variable_own_Mon_01595" localSheetId="0" hidden="1">monday_model.lp!$DWK$2</definedName>
    <definedName name="Variable_own_Mon_01595_Type" localSheetId="0" hidden="1">monday_model.lp!$DWK$1782</definedName>
    <definedName name="Variable_own_Mon_01596" localSheetId="0" hidden="1">monday_model.lp!$DWL$2</definedName>
    <definedName name="Variable_own_Mon_01596_Type" localSheetId="0" hidden="1">monday_model.lp!$DWL$1782</definedName>
    <definedName name="Variable_own_Mon_01597" localSheetId="0" hidden="1">monday_model.lp!$DWM$2</definedName>
    <definedName name="Variable_own_Mon_01597_Type" localSheetId="0" hidden="1">monday_model.lp!$DWM$1782</definedName>
    <definedName name="Variable_own_Mon_01598" localSheetId="0" hidden="1">monday_model.lp!$DWN$2</definedName>
    <definedName name="Variable_own_Mon_01598_Type" localSheetId="0" hidden="1">monday_model.lp!$DWN$1782</definedName>
    <definedName name="Variable_own_Mon_01599" localSheetId="0" hidden="1">monday_model.lp!$DWO$2</definedName>
    <definedName name="Variable_own_Mon_01599_Type" localSheetId="0" hidden="1">monday_model.lp!$DWO$1782</definedName>
    <definedName name="Variable_own_Mon_01600" localSheetId="0" hidden="1">monday_model.lp!$DWP$2</definedName>
    <definedName name="Variable_own_Mon_01600_Type" localSheetId="0" hidden="1">monday_model.lp!$DWP$1782</definedName>
    <definedName name="Variable_own_Mon_01601" localSheetId="0" hidden="1">monday_model.lp!$DWQ$2</definedName>
    <definedName name="Variable_own_Mon_01601_Type" localSheetId="0" hidden="1">monday_model.lp!$DWQ$1782</definedName>
    <definedName name="Variable_own_Mon_01602" localSheetId="0" hidden="1">monday_model.lp!$DWR$2</definedName>
    <definedName name="Variable_own_Mon_01602_Type" localSheetId="0" hidden="1">monday_model.lp!$DWR$1782</definedName>
    <definedName name="Variable_own_Mon_01603" localSheetId="0" hidden="1">monday_model.lp!$DWS$2</definedName>
    <definedName name="Variable_own_Mon_01603_Type" localSheetId="0" hidden="1">monday_model.lp!$DWS$1782</definedName>
    <definedName name="Variable_own_Mon_01604" localSheetId="0" hidden="1">monday_model.lp!$DWT$2</definedName>
    <definedName name="Variable_own_Mon_01604_Type" localSheetId="0" hidden="1">monday_model.lp!$DWT$1782</definedName>
    <definedName name="Variable_own_Mon_01605" localSheetId="0" hidden="1">monday_model.lp!$DWU$2</definedName>
    <definedName name="Variable_own_Mon_01605_Type" localSheetId="0" hidden="1">monday_model.lp!$DWU$1782</definedName>
    <definedName name="Variable_own_Mon_01606" localSheetId="0" hidden="1">monday_model.lp!$DWV$2</definedName>
    <definedName name="Variable_own_Mon_01606_Type" localSheetId="0" hidden="1">monday_model.lp!$DWV$1782</definedName>
    <definedName name="Variable_own_Mon_01607" localSheetId="0" hidden="1">monday_model.lp!$DWW$2</definedName>
    <definedName name="Variable_own_Mon_01607_Type" localSheetId="0" hidden="1">monday_model.lp!$DWW$1782</definedName>
    <definedName name="Variable_own_Mon_01608" localSheetId="0" hidden="1">monday_model.lp!$DWX$2</definedName>
    <definedName name="Variable_own_Mon_01608_Type" localSheetId="0" hidden="1">monday_model.lp!$DWX$1782</definedName>
    <definedName name="Variable_own_Mon_01609" localSheetId="0" hidden="1">monday_model.lp!$DWY$2</definedName>
    <definedName name="Variable_own_Mon_01609_Type" localSheetId="0" hidden="1">monday_model.lp!$DWY$1782</definedName>
    <definedName name="Variable_own_Mon_01610" localSheetId="0" hidden="1">monday_model.lp!$DWZ$2</definedName>
    <definedName name="Variable_own_Mon_01610_Type" localSheetId="0" hidden="1">monday_model.lp!$DWZ$1782</definedName>
    <definedName name="Variable_own_Mon_01611" localSheetId="0" hidden="1">monday_model.lp!$DXA$2</definedName>
    <definedName name="Variable_own_Mon_01611_Type" localSheetId="0" hidden="1">monday_model.lp!$DXA$1782</definedName>
    <definedName name="Variable_own_Mon_01612" localSheetId="0" hidden="1">monday_model.lp!$DXB$2</definedName>
    <definedName name="Variable_own_Mon_01612_Type" localSheetId="0" hidden="1">monday_model.lp!$DXB$1782</definedName>
    <definedName name="Variable_own_Mon_01613" localSheetId="0" hidden="1">monday_model.lp!$DXC$2</definedName>
    <definedName name="Variable_own_Mon_01613_Type" localSheetId="0" hidden="1">monday_model.lp!$DXC$1782</definedName>
    <definedName name="Variable_own_Mon_01614" localSheetId="0" hidden="1">monday_model.lp!$DXD$2</definedName>
    <definedName name="Variable_own_Mon_01614_Type" localSheetId="0" hidden="1">monday_model.lp!$DXD$1782</definedName>
    <definedName name="Variable_own_Mon_01615" localSheetId="0" hidden="1">monday_model.lp!$DXE$2</definedName>
    <definedName name="Variable_own_Mon_01615_Type" localSheetId="0" hidden="1">monday_model.lp!$DXE$1782</definedName>
    <definedName name="Variable_own_Mon_01616" localSheetId="0" hidden="1">monday_model.lp!$DXF$2</definedName>
    <definedName name="Variable_own_Mon_01616_Type" localSheetId="0" hidden="1">monday_model.lp!$DXF$1782</definedName>
    <definedName name="Variable_own_Mon_01617" localSheetId="0" hidden="1">monday_model.lp!$DXG$2</definedName>
    <definedName name="Variable_own_Mon_01617_Type" localSheetId="0" hidden="1">monday_model.lp!$DXG$1782</definedName>
    <definedName name="Variable_own_Mon_01618" localSheetId="0" hidden="1">monday_model.lp!$DXH$2</definedName>
    <definedName name="Variable_own_Mon_01618_Type" localSheetId="0" hidden="1">monday_model.lp!$DXH$1782</definedName>
    <definedName name="Variable_own_Mon_01619" localSheetId="0" hidden="1">monday_model.lp!$DXI$2</definedName>
    <definedName name="Variable_own_Mon_01619_Type" localSheetId="0" hidden="1">monday_model.lp!$DXI$1782</definedName>
    <definedName name="Variable_own_Mon_01620" localSheetId="0" hidden="1">monday_model.lp!$DXJ$2</definedName>
    <definedName name="Variable_own_Mon_01620_Type" localSheetId="0" hidden="1">monday_model.lp!$DXJ$1782</definedName>
    <definedName name="Variable_own_Mon_01621" localSheetId="0" hidden="1">monday_model.lp!$DXK$2</definedName>
    <definedName name="Variable_own_Mon_01621_Type" localSheetId="0" hidden="1">monday_model.lp!$DXK$1782</definedName>
    <definedName name="Variable_own_Mon_01622" localSheetId="0" hidden="1">monday_model.lp!$DXL$2</definedName>
    <definedName name="Variable_own_Mon_01622_Type" localSheetId="0" hidden="1">monday_model.lp!$DXL$1782</definedName>
    <definedName name="Variable_own_Mon_01623" localSheetId="0" hidden="1">monday_model.lp!$DXM$2</definedName>
    <definedName name="Variable_own_Mon_01623_Type" localSheetId="0" hidden="1">monday_model.lp!$DXM$1782</definedName>
    <definedName name="Variable_own_Mon_01624" localSheetId="0" hidden="1">monday_model.lp!$DXN$2</definedName>
    <definedName name="Variable_own_Mon_01624_Type" localSheetId="0" hidden="1">monday_model.lp!$DXN$1782</definedName>
    <definedName name="Variable_own_Mon_01625" localSheetId="0" hidden="1">monday_model.lp!$DXO$2</definedName>
    <definedName name="Variable_own_Mon_01625_Type" localSheetId="0" hidden="1">monday_model.lp!$DXO$1782</definedName>
    <definedName name="Variable_own_Mon_01626" localSheetId="0" hidden="1">monday_model.lp!$DXP$2</definedName>
    <definedName name="Variable_own_Mon_01626_Type" localSheetId="0" hidden="1">monday_model.lp!$DXP$1782</definedName>
    <definedName name="Variable_own_Mon_01627" localSheetId="0" hidden="1">monday_model.lp!$DXQ$2</definedName>
    <definedName name="Variable_own_Mon_01627_Type" localSheetId="0" hidden="1">monday_model.lp!$DXQ$1782</definedName>
    <definedName name="Variable_own_Mon_01628" localSheetId="0" hidden="1">monday_model.lp!$DXR$2</definedName>
    <definedName name="Variable_own_Mon_01628_Type" localSheetId="0" hidden="1">monday_model.lp!$DXR$1782</definedName>
    <definedName name="Variable_own_Mon_01629" localSheetId="0" hidden="1">monday_model.lp!$DXS$2</definedName>
    <definedName name="Variable_own_Mon_01629_Type" localSheetId="0" hidden="1">monday_model.lp!$DXS$1782</definedName>
    <definedName name="Variable_own_Mon_01630" localSheetId="0" hidden="1">monday_model.lp!$DXT$2</definedName>
    <definedName name="Variable_own_Mon_01630_Type" localSheetId="0" hidden="1">monday_model.lp!$DXT$1782</definedName>
    <definedName name="Variable_own_Mon_01631" localSheetId="0" hidden="1">monday_model.lp!$DXU$2</definedName>
    <definedName name="Variable_own_Mon_01631_Type" localSheetId="0" hidden="1">monday_model.lp!$DXU$1782</definedName>
    <definedName name="Variable_own_Mon_01632" localSheetId="0" hidden="1">monday_model.lp!$DXV$2</definedName>
    <definedName name="Variable_own_Mon_01632_Type" localSheetId="0" hidden="1">monday_model.lp!$DXV$1782</definedName>
    <definedName name="Variable_own_Mon_01633" localSheetId="0" hidden="1">monday_model.lp!$DXW$2</definedName>
    <definedName name="Variable_own_Mon_01633_Type" localSheetId="0" hidden="1">monday_model.lp!$DXW$1782</definedName>
    <definedName name="Variable_own_Mon_01634" localSheetId="0" hidden="1">monday_model.lp!$DXX$2</definedName>
    <definedName name="Variable_own_Mon_01634_Type" localSheetId="0" hidden="1">monday_model.lp!$DXX$1782</definedName>
    <definedName name="Variable_own_Mon_01635" localSheetId="0" hidden="1">monday_model.lp!$DXY$2</definedName>
    <definedName name="Variable_own_Mon_01635_Type" localSheetId="0" hidden="1">monday_model.lp!$DXY$1782</definedName>
    <definedName name="Variable_own_Mon_01636" localSheetId="0" hidden="1">monday_model.lp!$DXZ$2</definedName>
    <definedName name="Variable_own_Mon_01636_Type" localSheetId="0" hidden="1">monday_model.lp!$DXZ$1782</definedName>
    <definedName name="Variable_own_Mon_01637" localSheetId="0" hidden="1">monday_model.lp!$DYA$2</definedName>
    <definedName name="Variable_own_Mon_01637_Type" localSheetId="0" hidden="1">monday_model.lp!$DYA$1782</definedName>
    <definedName name="Variable_own_Mon_01638" localSheetId="0" hidden="1">monday_model.lp!$DYB$2</definedName>
    <definedName name="Variable_own_Mon_01638_Type" localSheetId="0" hidden="1">monday_model.lp!$DYB$1782</definedName>
    <definedName name="Variable_own_Mon_01639" localSheetId="0" hidden="1">monday_model.lp!$DYC$2</definedName>
    <definedName name="Variable_own_Mon_01639_Type" localSheetId="0" hidden="1">monday_model.lp!$DYC$1782</definedName>
    <definedName name="Variable_own_Mon_01640" localSheetId="0" hidden="1">monday_model.lp!$DYD$2</definedName>
    <definedName name="Variable_own_Mon_01640_Type" localSheetId="0" hidden="1">monday_model.lp!$DYD$1782</definedName>
    <definedName name="Variable_own_Mon_01641" localSheetId="0" hidden="1">monday_model.lp!$DYE$2</definedName>
    <definedName name="Variable_own_Mon_01641_Type" localSheetId="0" hidden="1">monday_model.lp!$DYE$1782</definedName>
    <definedName name="Variable_own_Mon_01642" localSheetId="0" hidden="1">monday_model.lp!$DYF$2</definedName>
    <definedName name="Variable_own_Mon_01642_Type" localSheetId="0" hidden="1">monday_model.lp!$DYF$1782</definedName>
    <definedName name="Variable_own_Mon_01643" localSheetId="0" hidden="1">monday_model.lp!$DYG$2</definedName>
    <definedName name="Variable_own_Mon_01643_Type" localSheetId="0" hidden="1">monday_model.lp!$DYG$1782</definedName>
    <definedName name="Variable_own_Mon_01644" localSheetId="0" hidden="1">monday_model.lp!$DYH$2</definedName>
    <definedName name="Variable_own_Mon_01644_Type" localSheetId="0" hidden="1">monday_model.lp!$DYH$1782</definedName>
    <definedName name="Variable_own_Mon_01645" localSheetId="0" hidden="1">monday_model.lp!$DYI$2</definedName>
    <definedName name="Variable_own_Mon_01645_Type" localSheetId="0" hidden="1">monday_model.lp!$DYI$1782</definedName>
    <definedName name="Variable_own_Mon_01646" localSheetId="0" hidden="1">monday_model.lp!$DYJ$2</definedName>
    <definedName name="Variable_own_Mon_01646_Type" localSheetId="0" hidden="1">monday_model.lp!$DYJ$1782</definedName>
    <definedName name="Variable_own_Mon_01647" localSheetId="0" hidden="1">monday_model.lp!$DYK$2</definedName>
    <definedName name="Variable_own_Mon_01647_Type" localSheetId="0" hidden="1">monday_model.lp!$DYK$1782</definedName>
    <definedName name="Variable_own_Mon_01648" localSheetId="0" hidden="1">monday_model.lp!$DYL$2</definedName>
    <definedName name="Variable_own_Mon_01648_Type" localSheetId="0" hidden="1">monday_model.lp!$DYL$1782</definedName>
    <definedName name="Variable_own_Mon_01649" localSheetId="0" hidden="1">monday_model.lp!$DYM$2</definedName>
    <definedName name="Variable_own_Mon_01649_Type" localSheetId="0" hidden="1">monday_model.lp!$DYM$1782</definedName>
    <definedName name="Variable_own_Mon_01650" localSheetId="0" hidden="1">monday_model.lp!$DYN$2</definedName>
    <definedName name="Variable_own_Mon_01650_Type" localSheetId="0" hidden="1">monday_model.lp!$DYN$1782</definedName>
    <definedName name="Variable_own_Mon_01651" localSheetId="0" hidden="1">monday_model.lp!$DYO$2</definedName>
    <definedName name="Variable_own_Mon_01651_Type" localSheetId="0" hidden="1">monday_model.lp!$DYO$1782</definedName>
    <definedName name="Variable_own_Mon_01652" localSheetId="0" hidden="1">monday_model.lp!$DYP$2</definedName>
    <definedName name="Variable_own_Mon_01652_Type" localSheetId="0" hidden="1">monday_model.lp!$DYP$1782</definedName>
    <definedName name="Variable_own_Mon_01653" localSheetId="0" hidden="1">monday_model.lp!$DYQ$2</definedName>
    <definedName name="Variable_own_Mon_01653_Type" localSheetId="0" hidden="1">monday_model.lp!$DYQ$1782</definedName>
    <definedName name="Variable_own_Mon_01654" localSheetId="0" hidden="1">monday_model.lp!$DYR$2</definedName>
    <definedName name="Variable_own_Mon_01654_Type" localSheetId="0" hidden="1">monday_model.lp!$DYR$1782</definedName>
    <definedName name="Variable_own_Mon_01655" localSheetId="0" hidden="1">monday_model.lp!$DYS$2</definedName>
    <definedName name="Variable_own_Mon_01655_Type" localSheetId="0" hidden="1">monday_model.lp!$DYS$1782</definedName>
    <definedName name="Variable_own_Mon_01656" localSheetId="0" hidden="1">monday_model.lp!$DYT$2</definedName>
    <definedName name="Variable_own_Mon_01656_Type" localSheetId="0" hidden="1">monday_model.lp!$DYT$1782</definedName>
    <definedName name="Variable_own_Mon_01657" localSheetId="0" hidden="1">monday_model.lp!$DYU$2</definedName>
    <definedName name="Variable_own_Mon_01657_Type" localSheetId="0" hidden="1">monday_model.lp!$DYU$1782</definedName>
    <definedName name="Variable_own_Mon_01658" localSheetId="0" hidden="1">monday_model.lp!$DYV$2</definedName>
    <definedName name="Variable_own_Mon_01658_Type" localSheetId="0" hidden="1">monday_model.lp!$DYV$1782</definedName>
    <definedName name="Variable_own_Mon_01659" localSheetId="0" hidden="1">monday_model.lp!$DYW$2</definedName>
    <definedName name="Variable_own_Mon_01659_Type" localSheetId="0" hidden="1">monday_model.lp!$DYW$1782</definedName>
    <definedName name="Variable_own_Mon_01660" localSheetId="0" hidden="1">monday_model.lp!$DYX$2</definedName>
    <definedName name="Variable_own_Mon_01660_Type" localSheetId="0" hidden="1">monday_model.lp!$DYX$1782</definedName>
    <definedName name="Variable_own_Mon_01661" localSheetId="0" hidden="1">monday_model.lp!$DYY$2</definedName>
    <definedName name="Variable_own_Mon_01661_Type" localSheetId="0" hidden="1">monday_model.lp!$DYY$1782</definedName>
    <definedName name="Variable_own_Mon_01662" localSheetId="0" hidden="1">monday_model.lp!$DYZ$2</definedName>
    <definedName name="Variable_own_Mon_01662_Type" localSheetId="0" hidden="1">monday_model.lp!$DYZ$1782</definedName>
    <definedName name="Variable_own_Mon_01663" localSheetId="0" hidden="1">monday_model.lp!$DZA$2</definedName>
    <definedName name="Variable_own_Mon_01663_Type" localSheetId="0" hidden="1">monday_model.lp!$DZA$1782</definedName>
    <definedName name="Variable_own_Mon_01664" localSheetId="0" hidden="1">monday_model.lp!$DZB$2</definedName>
    <definedName name="Variable_own_Mon_01664_Type" localSheetId="0" hidden="1">monday_model.lp!$DZB$1782</definedName>
    <definedName name="Variable_own_Mon_01665" localSheetId="0" hidden="1">monday_model.lp!$DZC$2</definedName>
    <definedName name="Variable_own_Mon_01665_Type" localSheetId="0" hidden="1">monday_model.lp!$DZC$1782</definedName>
    <definedName name="Variable_own_Mon_01666" localSheetId="0" hidden="1">monday_model.lp!$DZD$2</definedName>
    <definedName name="Variable_own_Mon_01666_Type" localSheetId="0" hidden="1">monday_model.lp!$DZD$1782</definedName>
    <definedName name="Variable_own_Mon_01667" localSheetId="0" hidden="1">monday_model.lp!$DZE$2</definedName>
    <definedName name="Variable_own_Mon_01667_Type" localSheetId="0" hidden="1">monday_model.lp!$DZE$1782</definedName>
    <definedName name="Variable_own_Mon_01668" localSheetId="0" hidden="1">monday_model.lp!$DZF$2</definedName>
    <definedName name="Variable_own_Mon_01668_Type" localSheetId="0" hidden="1">monday_model.lp!$DZF$1782</definedName>
    <definedName name="Variable_own_Mon_01669" localSheetId="0" hidden="1">monday_model.lp!$DZG$2</definedName>
    <definedName name="Variable_own_Mon_01669_Type" localSheetId="0" hidden="1">monday_model.lp!$DZG$1782</definedName>
    <definedName name="Variable_own_Mon_01670" localSheetId="0" hidden="1">monday_model.lp!$DZH$2</definedName>
    <definedName name="Variable_own_Mon_01670_Type" localSheetId="0" hidden="1">monday_model.lp!$DZH$1782</definedName>
    <definedName name="Variable_own_Mon_01671" localSheetId="0" hidden="1">monday_model.lp!$DZI$2</definedName>
    <definedName name="Variable_own_Mon_01671_Type" localSheetId="0" hidden="1">monday_model.lp!$DZI$1782</definedName>
    <definedName name="Variable_own_Mon_01672" localSheetId="0" hidden="1">monday_model.lp!$DZJ$2</definedName>
    <definedName name="Variable_own_Mon_01672_Type" localSheetId="0" hidden="1">monday_model.lp!$DZJ$1782</definedName>
    <definedName name="Variable_own_Mon_01673" localSheetId="0" hidden="1">monday_model.lp!$DZK$2</definedName>
    <definedName name="Variable_own_Mon_01673_Type" localSheetId="0" hidden="1">monday_model.lp!$DZK$1782</definedName>
    <definedName name="Variable_own_Mon_01674" localSheetId="0" hidden="1">monday_model.lp!$DZL$2</definedName>
    <definedName name="Variable_own_Mon_01674_Type" localSheetId="0" hidden="1">monday_model.lp!$DZL$1782</definedName>
    <definedName name="Variable_own_Mon_01675" localSheetId="0" hidden="1">monday_model.lp!$DZM$2</definedName>
    <definedName name="Variable_own_Mon_01675_Type" localSheetId="0" hidden="1">monday_model.lp!$DZM$1782</definedName>
    <definedName name="Variable_own_Mon_01676" localSheetId="0" hidden="1">monday_model.lp!$DZN$2</definedName>
    <definedName name="Variable_own_Mon_01676_Type" localSheetId="0" hidden="1">monday_model.lp!$DZN$1782</definedName>
    <definedName name="Variable_own_Mon_01677" localSheetId="0" hidden="1">monday_model.lp!$DZO$2</definedName>
    <definedName name="Variable_own_Mon_01677_Type" localSheetId="0" hidden="1">monday_model.lp!$DZO$1782</definedName>
    <definedName name="Variable_own_Mon_01678" localSheetId="0" hidden="1">monday_model.lp!$DZP$2</definedName>
    <definedName name="Variable_own_Mon_01678_Type" localSheetId="0" hidden="1">monday_model.lp!$DZP$1782</definedName>
    <definedName name="Variable_own_Mon_01679" localSheetId="0" hidden="1">monday_model.lp!$DZQ$2</definedName>
    <definedName name="Variable_own_Mon_01679_Type" localSheetId="0" hidden="1">monday_model.lp!$DZQ$1782</definedName>
    <definedName name="Variable_own_Mon_01680" localSheetId="0" hidden="1">monday_model.lp!$DZR$2</definedName>
    <definedName name="Variable_own_Mon_01680_Type" localSheetId="0" hidden="1">monday_model.lp!$DZR$1782</definedName>
    <definedName name="Variable_own_Mon_01681" localSheetId="0" hidden="1">monday_model.lp!$DZS$2</definedName>
    <definedName name="Variable_own_Mon_01681_Type" localSheetId="0" hidden="1">monday_model.lp!$DZS$1782</definedName>
    <definedName name="Variable_own_Mon_01682" localSheetId="0" hidden="1">monday_model.lp!$DZT$2</definedName>
    <definedName name="Variable_own_Mon_01682_Type" localSheetId="0" hidden="1">monday_model.lp!$DZT$1782</definedName>
    <definedName name="Variable_own_Mon_01683" localSheetId="0" hidden="1">monday_model.lp!$DZU$2</definedName>
    <definedName name="Variable_own_Mon_01683_Type" localSheetId="0" hidden="1">monday_model.lp!$DZU$1782</definedName>
    <definedName name="Variable_own_Mon_01684" localSheetId="0" hidden="1">monday_model.lp!$DZV$2</definedName>
    <definedName name="Variable_own_Mon_01684_Type" localSheetId="0" hidden="1">monday_model.lp!$DZV$1782</definedName>
    <definedName name="Variable_own_Mon_01685" localSheetId="0" hidden="1">monday_model.lp!$DZW$2</definedName>
    <definedName name="Variable_own_Mon_01685_Type" localSheetId="0" hidden="1">monday_model.lp!$DZW$1782</definedName>
    <definedName name="Variable_own_Mon_01686" localSheetId="0" hidden="1">monday_model.lp!$DZX$2</definedName>
    <definedName name="Variable_own_Mon_01686_Type" localSheetId="0" hidden="1">monday_model.lp!$DZX$1782</definedName>
    <definedName name="Variable_own_Mon_01687" localSheetId="0" hidden="1">monday_model.lp!$DZY$2</definedName>
    <definedName name="Variable_own_Mon_01687_Type" localSheetId="0" hidden="1">monday_model.lp!$DZY$1782</definedName>
    <definedName name="Variable_own_Mon_01688" localSheetId="0" hidden="1">monday_model.lp!$DZZ$2</definedName>
    <definedName name="Variable_own_Mon_01688_Type" localSheetId="0" hidden="1">monday_model.lp!$DZZ$1782</definedName>
    <definedName name="Variable_own_Mon_01689" localSheetId="0" hidden="1">monday_model.lp!$EAA$2</definedName>
    <definedName name="Variable_own_Mon_01689_Type" localSheetId="0" hidden="1">monday_model.lp!$EAA$1782</definedName>
    <definedName name="Variable_own_Mon_01690" localSheetId="0" hidden="1">monday_model.lp!$EAB$2</definedName>
    <definedName name="Variable_own_Mon_01690_Type" localSheetId="0" hidden="1">monday_model.lp!$EAB$1782</definedName>
    <definedName name="Variable_own_Mon_01691" localSheetId="0" hidden="1">monday_model.lp!$EAC$2</definedName>
    <definedName name="Variable_own_Mon_01691_Type" localSheetId="0" hidden="1">monday_model.lp!$EAC$1782</definedName>
    <definedName name="Variable_own_Mon_01692" localSheetId="0" hidden="1">monday_model.lp!$EAD$2</definedName>
    <definedName name="Variable_own_Mon_01692_Type" localSheetId="0" hidden="1">monday_model.lp!$EAD$1782</definedName>
    <definedName name="Variable_own_Mon_01693" localSheetId="0" hidden="1">monday_model.lp!$EAE$2</definedName>
    <definedName name="Variable_own_Mon_01693_Type" localSheetId="0" hidden="1">monday_model.lp!$EAE$1782</definedName>
    <definedName name="Variable_own_Mon_01694" localSheetId="0" hidden="1">monday_model.lp!$EAF$2</definedName>
    <definedName name="Variable_own_Mon_01694_Type" localSheetId="0" hidden="1">monday_model.lp!$EAF$1782</definedName>
    <definedName name="Variable_own_Mon_01695" localSheetId="0" hidden="1">monday_model.lp!$EAG$2</definedName>
    <definedName name="Variable_own_Mon_01695_Type" localSheetId="0" hidden="1">monday_model.lp!$EAG$1782</definedName>
    <definedName name="Variable_own_Mon_01696" localSheetId="0" hidden="1">monday_model.lp!$EAH$2</definedName>
    <definedName name="Variable_own_Mon_01696_Type" localSheetId="0" hidden="1">monday_model.lp!$EAH$1782</definedName>
    <definedName name="Variable_own_Mon_01697" localSheetId="0" hidden="1">monday_model.lp!$EAI$2</definedName>
    <definedName name="Variable_own_Mon_01697_Type" localSheetId="0" hidden="1">monday_model.lp!$EAI$1782</definedName>
    <definedName name="Variable_own_Mon_01698" localSheetId="0" hidden="1">monday_model.lp!$EAJ$2</definedName>
    <definedName name="Variable_own_Mon_01698_Type" localSheetId="0" hidden="1">monday_model.lp!$EAJ$1782</definedName>
    <definedName name="Variable_own_Mon_01699" localSheetId="0" hidden="1">monday_model.lp!$EAK$2</definedName>
    <definedName name="Variable_own_Mon_01699_Type" localSheetId="0" hidden="1">monday_model.lp!$EAK$1782</definedName>
    <definedName name="Variable_own_Mon_01700" localSheetId="0" hidden="1">monday_model.lp!$EAL$2</definedName>
    <definedName name="Variable_own_Mon_01700_Type" localSheetId="0" hidden="1">monday_model.lp!$EAL$1782</definedName>
    <definedName name="Variable_own_Mon_01701" localSheetId="0" hidden="1">monday_model.lp!$EAM$2</definedName>
    <definedName name="Variable_own_Mon_01701_Type" localSheetId="0" hidden="1">monday_model.lp!$EAM$1782</definedName>
    <definedName name="Variable_own_Mon_01702" localSheetId="0" hidden="1">monday_model.lp!$EAN$2</definedName>
    <definedName name="Variable_own_Mon_01702_Type" localSheetId="0" hidden="1">monday_model.lp!$EAN$1782</definedName>
    <definedName name="Variable_own_Mon_01703" localSheetId="0" hidden="1">monday_model.lp!$EAO$2</definedName>
    <definedName name="Variable_own_Mon_01703_Type" localSheetId="0" hidden="1">monday_model.lp!$EAO$1782</definedName>
    <definedName name="Variable_own_Mon_01704" localSheetId="0" hidden="1">monday_model.lp!$EAP$2</definedName>
    <definedName name="Variable_own_Mon_01704_Type" localSheetId="0" hidden="1">monday_model.lp!$EAP$1782</definedName>
    <definedName name="Variable_own_Mon_01705" localSheetId="0" hidden="1">monday_model.lp!$EAQ$2</definedName>
    <definedName name="Variable_own_Mon_01705_Type" localSheetId="0" hidden="1">monday_model.lp!$EAQ$1782</definedName>
    <definedName name="Variable_own_Mon_01706" localSheetId="0" hidden="1">monday_model.lp!$EAR$2</definedName>
    <definedName name="Variable_own_Mon_01706_Type" localSheetId="0" hidden="1">monday_model.lp!$EAR$1782</definedName>
    <definedName name="Variable_own_Mon_01707" localSheetId="0" hidden="1">monday_model.lp!$EAS$2</definedName>
    <definedName name="Variable_own_Mon_01707_Type" localSheetId="0" hidden="1">monday_model.lp!$EAS$1782</definedName>
    <definedName name="Variable_own_Mon_01708" localSheetId="0" hidden="1">monday_model.lp!$EAT$2</definedName>
    <definedName name="Variable_own_Mon_01708_Type" localSheetId="0" hidden="1">monday_model.lp!$EAT$1782</definedName>
    <definedName name="Variable_own_Mon_01709" localSheetId="0" hidden="1">monday_model.lp!$EAU$2</definedName>
    <definedName name="Variable_own_Mon_01709_Type" localSheetId="0" hidden="1">monday_model.lp!$EAU$1782</definedName>
    <definedName name="Variable_own_Mon_01710" localSheetId="0" hidden="1">monday_model.lp!$EAV$2</definedName>
    <definedName name="Variable_own_Mon_01710_Type" localSheetId="0" hidden="1">monday_model.lp!$EAV$1782</definedName>
    <definedName name="Variable_own_Mon_01711" localSheetId="0" hidden="1">monday_model.lp!$EAW$2</definedName>
    <definedName name="Variable_own_Mon_01711_Type" localSheetId="0" hidden="1">monday_model.lp!$EAW$1782</definedName>
    <definedName name="Variable_own_Mon_01712" localSheetId="0" hidden="1">monday_model.lp!$EAX$2</definedName>
    <definedName name="Variable_own_Mon_01712_Type" localSheetId="0" hidden="1">monday_model.lp!$EAX$1782</definedName>
    <definedName name="Variable_own_Mon_01713" localSheetId="0" hidden="1">monday_model.lp!$EAY$2</definedName>
    <definedName name="Variable_own_Mon_01713_Type" localSheetId="0" hidden="1">monday_model.lp!$EAY$1782</definedName>
    <definedName name="Variable_own_Mon_01714" localSheetId="0" hidden="1">monday_model.lp!$EAZ$2</definedName>
    <definedName name="Variable_own_Mon_01714_Type" localSheetId="0" hidden="1">monday_model.lp!$EAZ$1782</definedName>
    <definedName name="Variable_own_Mon_01715" localSheetId="0" hidden="1">monday_model.lp!$EBA$2</definedName>
    <definedName name="Variable_own_Mon_01715_Type" localSheetId="0" hidden="1">monday_model.lp!$EBA$1782</definedName>
    <definedName name="Variable_own_Mon_01716" localSheetId="0" hidden="1">monday_model.lp!$EBB$2</definedName>
    <definedName name="Variable_own_Mon_01716_Type" localSheetId="0" hidden="1">monday_model.lp!$EBB$1782</definedName>
    <definedName name="Variable_skip_0" localSheetId="0" hidden="1">monday_model.lp!$EBC$2</definedName>
    <definedName name="Variable_skip_0_Type" localSheetId="0" hidden="1">monday_model.lp!$EBC$1782</definedName>
    <definedName name="Variable_skip_1" localSheetId="0" hidden="1">monday_model.lp!$EBD$2</definedName>
    <definedName name="Variable_skip_1_Type" localSheetId="0" hidden="1">monday_model.lp!$EBD$1782</definedName>
    <definedName name="Variable_skip_10" localSheetId="0" hidden="1">monday_model.lp!$EBE$2</definedName>
    <definedName name="Variable_skip_10_Type" localSheetId="0" hidden="1">monday_model.lp!$EBE$1782</definedName>
    <definedName name="Variable_skip_11" localSheetId="0" hidden="1">monday_model.lp!$EBF$2</definedName>
    <definedName name="Variable_skip_11_Type" localSheetId="0" hidden="1">monday_model.lp!$EBF$1782</definedName>
    <definedName name="Variable_skip_12" localSheetId="0" hidden="1">monday_model.lp!$EBG$2</definedName>
    <definedName name="Variable_skip_12_Type" localSheetId="0" hidden="1">monday_model.lp!$EBG$1782</definedName>
    <definedName name="Variable_skip_13" localSheetId="0" hidden="1">monday_model.lp!$EBH$2</definedName>
    <definedName name="Variable_skip_13_Type" localSheetId="0" hidden="1">monday_model.lp!$EBH$1782</definedName>
    <definedName name="Variable_skip_14" localSheetId="0" hidden="1">monday_model.lp!$EBI$2</definedName>
    <definedName name="Variable_skip_14_Type" localSheetId="0" hidden="1">monday_model.lp!$EBI$1782</definedName>
    <definedName name="Variable_skip_15" localSheetId="0" hidden="1">monday_model.lp!$EBJ$2</definedName>
    <definedName name="Variable_skip_15_Type" localSheetId="0" hidden="1">monday_model.lp!$EBJ$1782</definedName>
    <definedName name="Variable_skip_16" localSheetId="0" hidden="1">monday_model.lp!$EBK$2</definedName>
    <definedName name="Variable_skip_16_Type" localSheetId="0" hidden="1">monday_model.lp!$EBK$1782</definedName>
    <definedName name="Variable_skip_17" localSheetId="0" hidden="1">monday_model.lp!$EBL$2</definedName>
    <definedName name="Variable_skip_17_Type" localSheetId="0" hidden="1">monday_model.lp!$EBL$1782</definedName>
    <definedName name="Variable_skip_18" localSheetId="0" hidden="1">monday_model.lp!$EBM$2</definedName>
    <definedName name="Variable_skip_18_Type" localSheetId="0" hidden="1">monday_model.lp!$EBM$1782</definedName>
    <definedName name="Variable_skip_19" localSheetId="0" hidden="1">monday_model.lp!$EBN$2</definedName>
    <definedName name="Variable_skip_19_Type" localSheetId="0" hidden="1">monday_model.lp!$EBN$1782</definedName>
    <definedName name="Variable_skip_2" localSheetId="0" hidden="1">monday_model.lp!$EBO$2</definedName>
    <definedName name="Variable_skip_2_Type" localSheetId="0" hidden="1">monday_model.lp!$EBO$1782</definedName>
    <definedName name="Variable_skip_20" localSheetId="0" hidden="1">monday_model.lp!$EBP$2</definedName>
    <definedName name="Variable_skip_20_Type" localSheetId="0" hidden="1">monday_model.lp!$EBP$1782</definedName>
    <definedName name="Variable_skip_21" localSheetId="0" hidden="1">monday_model.lp!$EBQ$2</definedName>
    <definedName name="Variable_skip_21_Type" localSheetId="0" hidden="1">monday_model.lp!$EBQ$1782</definedName>
    <definedName name="Variable_skip_22" localSheetId="0" hidden="1">monday_model.lp!$EBR$2</definedName>
    <definedName name="Variable_skip_22_Type" localSheetId="0" hidden="1">monday_model.lp!$EBR$1782</definedName>
    <definedName name="Variable_skip_23" localSheetId="0" hidden="1">monday_model.lp!$EBS$2</definedName>
    <definedName name="Variable_skip_23_Type" localSheetId="0" hidden="1">monday_model.lp!$EBS$1782</definedName>
    <definedName name="Variable_skip_24" localSheetId="0" hidden="1">monday_model.lp!$EBT$2</definedName>
    <definedName name="Variable_skip_24_Type" localSheetId="0" hidden="1">monday_model.lp!$EBT$1782</definedName>
    <definedName name="Variable_skip_25" localSheetId="0" hidden="1">monday_model.lp!$EBU$2</definedName>
    <definedName name="Variable_skip_25_Type" localSheetId="0" hidden="1">monday_model.lp!$EBU$1782</definedName>
    <definedName name="Variable_skip_26" localSheetId="0" hidden="1">monday_model.lp!$EBV$2</definedName>
    <definedName name="Variable_skip_26_Type" localSheetId="0" hidden="1">monday_model.lp!$EBV$1782</definedName>
    <definedName name="Variable_skip_27" localSheetId="0" hidden="1">monday_model.lp!$EBW$2</definedName>
    <definedName name="Variable_skip_27_Type" localSheetId="0" hidden="1">monday_model.lp!$EBW$1782</definedName>
    <definedName name="Variable_skip_28" localSheetId="0" hidden="1">monday_model.lp!$EBX$2</definedName>
    <definedName name="Variable_skip_28_Type" localSheetId="0" hidden="1">monday_model.lp!$EBX$1782</definedName>
    <definedName name="Variable_skip_29" localSheetId="0" hidden="1">monday_model.lp!$EBY$2</definedName>
    <definedName name="Variable_skip_29_Type" localSheetId="0" hidden="1">monday_model.lp!$EBY$1782</definedName>
    <definedName name="Variable_skip_3" localSheetId="0" hidden="1">monday_model.lp!$EBZ$2</definedName>
    <definedName name="Variable_skip_3_Type" localSheetId="0" hidden="1">monday_model.lp!$EBZ$1782</definedName>
    <definedName name="Variable_skip_30" localSheetId="0" hidden="1">monday_model.lp!$ECA$2</definedName>
    <definedName name="Variable_skip_30_Type" localSheetId="0" hidden="1">monday_model.lp!$ECA$1782</definedName>
    <definedName name="Variable_skip_31" localSheetId="0" hidden="1">monday_model.lp!$ECB$2</definedName>
    <definedName name="Variable_skip_31_Type" localSheetId="0" hidden="1">monday_model.lp!$ECB$1782</definedName>
    <definedName name="Variable_skip_32" localSheetId="0" hidden="1">monday_model.lp!$ECC$2</definedName>
    <definedName name="Variable_skip_32_Type" localSheetId="0" hidden="1">monday_model.lp!$ECC$1782</definedName>
    <definedName name="Variable_skip_33" localSheetId="0" hidden="1">monday_model.lp!$ECD$2</definedName>
    <definedName name="Variable_skip_33_Type" localSheetId="0" hidden="1">monday_model.lp!$ECD$1782</definedName>
    <definedName name="Variable_skip_34" localSheetId="0" hidden="1">monday_model.lp!$ECE$2</definedName>
    <definedName name="Variable_skip_34_Type" localSheetId="0" hidden="1">monday_model.lp!$ECE$1782</definedName>
    <definedName name="Variable_skip_35" localSheetId="0" hidden="1">monday_model.lp!$ECF$2</definedName>
    <definedName name="Variable_skip_35_Type" localSheetId="0" hidden="1">monday_model.lp!$ECF$1782</definedName>
    <definedName name="Variable_skip_36" localSheetId="0" hidden="1">monday_model.lp!$ECG$2</definedName>
    <definedName name="Variable_skip_36_Type" localSheetId="0" hidden="1">monday_model.lp!$ECG$1782</definedName>
    <definedName name="Variable_skip_37" localSheetId="0" hidden="1">monday_model.lp!$ECH$2</definedName>
    <definedName name="Variable_skip_37_Type" localSheetId="0" hidden="1">monday_model.lp!$ECH$1782</definedName>
    <definedName name="Variable_skip_38" localSheetId="0" hidden="1">monday_model.lp!$ECI$2</definedName>
    <definedName name="Variable_skip_38_Type" localSheetId="0" hidden="1">monday_model.lp!$ECI$1782</definedName>
    <definedName name="Variable_skip_39" localSheetId="0" hidden="1">monday_model.lp!$ECJ$2</definedName>
    <definedName name="Variable_skip_39_Type" localSheetId="0" hidden="1">monday_model.lp!$ECJ$1782</definedName>
    <definedName name="Variable_skip_4" localSheetId="0" hidden="1">monday_model.lp!$ECK$2</definedName>
    <definedName name="Variable_skip_4_Type" localSheetId="0" hidden="1">monday_model.lp!$ECK$1782</definedName>
    <definedName name="Variable_skip_40" localSheetId="0" hidden="1">monday_model.lp!$ECL$2</definedName>
    <definedName name="Variable_skip_40_Type" localSheetId="0" hidden="1">monday_model.lp!$ECL$1782</definedName>
    <definedName name="Variable_skip_41" localSheetId="0" hidden="1">monday_model.lp!$ECM$2</definedName>
    <definedName name="Variable_skip_41_Type" localSheetId="0" hidden="1">monday_model.lp!$ECM$1782</definedName>
    <definedName name="Variable_skip_42" localSheetId="0" hidden="1">monday_model.lp!$ECN$2</definedName>
    <definedName name="Variable_skip_42_Type" localSheetId="0" hidden="1">monday_model.lp!$ECN$1782</definedName>
    <definedName name="Variable_skip_43" localSheetId="0" hidden="1">monday_model.lp!$ECO$2</definedName>
    <definedName name="Variable_skip_43_Type" localSheetId="0" hidden="1">monday_model.lp!$ECO$1782</definedName>
    <definedName name="Variable_skip_44" localSheetId="0" hidden="1">monday_model.lp!$ECP$2</definedName>
    <definedName name="Variable_skip_44_Type" localSheetId="0" hidden="1">monday_model.lp!$ECP$1782</definedName>
    <definedName name="Variable_skip_45" localSheetId="0" hidden="1">monday_model.lp!$ECQ$2</definedName>
    <definedName name="Variable_skip_45_Type" localSheetId="0" hidden="1">monday_model.lp!$ECQ$1782</definedName>
    <definedName name="Variable_skip_46" localSheetId="0" hidden="1">monday_model.lp!$ECR$2</definedName>
    <definedName name="Variable_skip_46_Type" localSheetId="0" hidden="1">monday_model.lp!$ECR$1782</definedName>
    <definedName name="Variable_skip_47" localSheetId="0" hidden="1">monday_model.lp!$ECS$2</definedName>
    <definedName name="Variable_skip_47_Type" localSheetId="0" hidden="1">monday_model.lp!$ECS$1782</definedName>
    <definedName name="Variable_skip_48" localSheetId="0" hidden="1">monday_model.lp!$ECT$2</definedName>
    <definedName name="Variable_skip_48_Type" localSheetId="0" hidden="1">monday_model.lp!$ECT$1782</definedName>
    <definedName name="Variable_skip_49" localSheetId="0" hidden="1">monday_model.lp!$ECU$2</definedName>
    <definedName name="Variable_skip_49_Type" localSheetId="0" hidden="1">monday_model.lp!$ECU$1782</definedName>
    <definedName name="Variable_skip_5" localSheetId="0" hidden="1">monday_model.lp!$ECV$2</definedName>
    <definedName name="Variable_skip_5_Type" localSheetId="0" hidden="1">monday_model.lp!$ECV$1782</definedName>
    <definedName name="Variable_skip_50" localSheetId="0" hidden="1">monday_model.lp!$ECW$2</definedName>
    <definedName name="Variable_skip_50_Type" localSheetId="0" hidden="1">monday_model.lp!$ECW$1782</definedName>
    <definedName name="Variable_skip_51" localSheetId="0" hidden="1">monday_model.lp!$ECX$2</definedName>
    <definedName name="Variable_skip_51_Type" localSheetId="0" hidden="1">monday_model.lp!$ECX$1782</definedName>
    <definedName name="Variable_skip_52" localSheetId="0" hidden="1">monday_model.lp!$ECY$2</definedName>
    <definedName name="Variable_skip_52_Type" localSheetId="0" hidden="1">monday_model.lp!$ECY$1782</definedName>
    <definedName name="Variable_skip_53" localSheetId="0" hidden="1">monday_model.lp!$ECZ$2</definedName>
    <definedName name="Variable_skip_53_Type" localSheetId="0" hidden="1">monday_model.lp!$ECZ$1782</definedName>
    <definedName name="Variable_skip_54" localSheetId="0" hidden="1">monday_model.lp!$EDA$2</definedName>
    <definedName name="Variable_skip_54_Type" localSheetId="0" hidden="1">monday_model.lp!$EDA$1782</definedName>
    <definedName name="Variable_skip_6" localSheetId="0" hidden="1">monday_model.lp!$EDB$2</definedName>
    <definedName name="Variable_skip_6_Type" localSheetId="0" hidden="1">monday_model.lp!$EDB$1782</definedName>
    <definedName name="Variable_skip_7" localSheetId="0" hidden="1">monday_model.lp!$EDC$2</definedName>
    <definedName name="Variable_skip_7_Type" localSheetId="0" hidden="1">monday_model.lp!$EDC$1782</definedName>
    <definedName name="Variable_skip_8" localSheetId="0" hidden="1">monday_model.lp!$EDD$2</definedName>
    <definedName name="Variable_skip_8_Type" localSheetId="0" hidden="1">monday_model.lp!$EDD$1782</definedName>
    <definedName name="Variable_skip_9" localSheetId="0" hidden="1">monday_model.lp!$EDE$2</definedName>
    <definedName name="Variable_skip_9_Type" localSheetId="0" hidden="1">monday_model.lp!$EDE$1782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DG4" i="2" l="1"/>
  <c r="EDG6" i="2"/>
  <c r="EDG7" i="2"/>
  <c r="EDG8" i="2"/>
  <c r="EDG9" i="2"/>
  <c r="EDG10" i="2"/>
  <c r="EDG11" i="2"/>
  <c r="EDG12" i="2"/>
  <c r="EDG13" i="2"/>
  <c r="EDG14" i="2"/>
  <c r="EDG15" i="2"/>
  <c r="EDG16" i="2"/>
  <c r="EDG17" i="2"/>
  <c r="EDG18" i="2"/>
  <c r="EDG19" i="2"/>
  <c r="EDG20" i="2"/>
  <c r="EDG21" i="2"/>
  <c r="EDG22" i="2"/>
  <c r="EDG23" i="2"/>
  <c r="EDG24" i="2"/>
  <c r="EDG25" i="2"/>
  <c r="EDG26" i="2"/>
  <c r="EDG27" i="2"/>
  <c r="EDG28" i="2"/>
  <c r="EDG29" i="2"/>
  <c r="EDG30" i="2"/>
  <c r="EDG31" i="2"/>
  <c r="EDG32" i="2"/>
  <c r="EDG33" i="2"/>
  <c r="EDG34" i="2"/>
  <c r="EDG35" i="2"/>
  <c r="EDG36" i="2"/>
  <c r="EDG37" i="2"/>
  <c r="EDG38" i="2"/>
  <c r="EDG39" i="2"/>
  <c r="EDG40" i="2"/>
  <c r="EDG41" i="2"/>
  <c r="EDG42" i="2"/>
  <c r="EDG43" i="2"/>
  <c r="EDG44" i="2"/>
  <c r="EDG45" i="2"/>
  <c r="EDG46" i="2"/>
  <c r="EDG47" i="2"/>
  <c r="EDG48" i="2"/>
  <c r="EDG49" i="2"/>
  <c r="EDG50" i="2"/>
  <c r="EDG51" i="2"/>
  <c r="EDG52" i="2"/>
  <c r="EDG53" i="2"/>
  <c r="EDG54" i="2"/>
  <c r="EDG55" i="2"/>
  <c r="EDG56" i="2"/>
  <c r="EDG57" i="2"/>
  <c r="EDG58" i="2"/>
  <c r="EDG59" i="2"/>
  <c r="EDG60" i="2"/>
  <c r="EDG61" i="2"/>
  <c r="EDG62" i="2"/>
  <c r="EDG63" i="2"/>
  <c r="EDG64" i="2"/>
  <c r="EDG65" i="2"/>
  <c r="EDG66" i="2"/>
  <c r="EDG67" i="2"/>
  <c r="EDG68" i="2"/>
  <c r="EDG69" i="2"/>
  <c r="EDG70" i="2"/>
  <c r="EDG71" i="2"/>
  <c r="EDG72" i="2"/>
  <c r="EDG73" i="2"/>
  <c r="EDG74" i="2"/>
  <c r="EDG75" i="2"/>
  <c r="EDG76" i="2"/>
  <c r="EDG77" i="2"/>
  <c r="EDG78" i="2"/>
  <c r="EDG79" i="2"/>
  <c r="EDG80" i="2"/>
  <c r="EDG81" i="2"/>
  <c r="EDG82" i="2"/>
  <c r="EDG83" i="2"/>
  <c r="EDG84" i="2"/>
  <c r="EDG85" i="2"/>
  <c r="EDG86" i="2"/>
  <c r="EDG87" i="2"/>
  <c r="EDG88" i="2"/>
  <c r="EDG89" i="2"/>
  <c r="EDG90" i="2"/>
  <c r="EDG91" i="2"/>
  <c r="EDG92" i="2"/>
  <c r="EDG93" i="2"/>
  <c r="EDG94" i="2"/>
  <c r="EDG95" i="2"/>
  <c r="EDG96" i="2"/>
  <c r="EDG97" i="2"/>
  <c r="EDG98" i="2"/>
  <c r="EDG99" i="2"/>
  <c r="EDG100" i="2"/>
  <c r="EDG101" i="2"/>
  <c r="EDG102" i="2"/>
  <c r="EDG103" i="2"/>
  <c r="EDG104" i="2"/>
  <c r="EDG105" i="2"/>
  <c r="EDG106" i="2"/>
  <c r="EDG107" i="2"/>
  <c r="EDG108" i="2"/>
  <c r="EDG109" i="2"/>
  <c r="EDG110" i="2"/>
  <c r="EDG111" i="2"/>
  <c r="EDG112" i="2"/>
  <c r="EDG113" i="2"/>
  <c r="EDG114" i="2"/>
  <c r="EDG115" i="2"/>
  <c r="EDG116" i="2"/>
  <c r="EDG117" i="2"/>
  <c r="EDG118" i="2"/>
  <c r="EDG119" i="2"/>
  <c r="EDG120" i="2"/>
  <c r="EDG121" i="2"/>
  <c r="EDG122" i="2"/>
  <c r="EDG123" i="2"/>
  <c r="EDG124" i="2"/>
  <c r="EDG125" i="2"/>
  <c r="EDG126" i="2"/>
  <c r="EDG127" i="2"/>
  <c r="EDG128" i="2"/>
  <c r="EDG129" i="2"/>
  <c r="EDG130" i="2"/>
  <c r="EDG131" i="2"/>
  <c r="EDG132" i="2"/>
  <c r="EDG133" i="2"/>
  <c r="EDG134" i="2"/>
  <c r="EDG135" i="2"/>
  <c r="EDG136" i="2"/>
  <c r="EDG137" i="2"/>
  <c r="EDG138" i="2"/>
  <c r="EDG139" i="2"/>
  <c r="EDG140" i="2"/>
  <c r="EDG141" i="2"/>
  <c r="EDG142" i="2"/>
  <c r="EDG143" i="2"/>
  <c r="EDG144" i="2"/>
  <c r="EDG145" i="2"/>
  <c r="EDG146" i="2"/>
  <c r="EDG147" i="2"/>
  <c r="EDG148" i="2"/>
  <c r="EDG149" i="2"/>
  <c r="EDG150" i="2"/>
  <c r="EDG151" i="2"/>
  <c r="EDG152" i="2"/>
  <c r="EDG153" i="2"/>
  <c r="EDG154" i="2"/>
  <c r="EDG155" i="2"/>
  <c r="EDG156" i="2"/>
  <c r="EDG157" i="2"/>
  <c r="EDG158" i="2"/>
  <c r="EDG159" i="2"/>
  <c r="EDG160" i="2"/>
  <c r="EDG161" i="2"/>
  <c r="EDG162" i="2"/>
  <c r="EDG163" i="2"/>
  <c r="EDG164" i="2"/>
  <c r="EDG165" i="2"/>
  <c r="EDG166" i="2"/>
  <c r="EDG167" i="2"/>
  <c r="EDG168" i="2"/>
  <c r="EDG169" i="2"/>
  <c r="EDG170" i="2"/>
  <c r="EDG171" i="2"/>
  <c r="EDG172" i="2"/>
  <c r="EDG173" i="2"/>
  <c r="EDG174" i="2"/>
  <c r="EDG175" i="2"/>
  <c r="EDG176" i="2"/>
  <c r="EDG177" i="2"/>
  <c r="EDG178" i="2"/>
  <c r="EDG179" i="2"/>
  <c r="EDG180" i="2"/>
  <c r="EDG181" i="2"/>
  <c r="EDG182" i="2"/>
  <c r="EDG183" i="2"/>
  <c r="EDG184" i="2"/>
  <c r="EDG185" i="2"/>
  <c r="EDG186" i="2"/>
  <c r="EDG187" i="2"/>
  <c r="EDG188" i="2"/>
  <c r="EDG189" i="2"/>
  <c r="EDG190" i="2"/>
  <c r="EDG191" i="2"/>
  <c r="EDG192" i="2"/>
  <c r="EDG193" i="2"/>
  <c r="EDG194" i="2"/>
  <c r="EDG195" i="2"/>
  <c r="EDG196" i="2"/>
  <c r="EDG197" i="2"/>
  <c r="EDG198" i="2"/>
  <c r="EDG199" i="2"/>
  <c r="EDG200" i="2"/>
  <c r="EDG201" i="2"/>
  <c r="EDG202" i="2"/>
  <c r="EDG203" i="2"/>
  <c r="EDG204" i="2"/>
  <c r="EDG205" i="2"/>
  <c r="EDG206" i="2"/>
  <c r="EDG207" i="2"/>
  <c r="EDG208" i="2"/>
  <c r="EDG209" i="2"/>
  <c r="EDG210" i="2"/>
  <c r="EDG211" i="2"/>
  <c r="EDG212" i="2"/>
  <c r="EDG213" i="2"/>
  <c r="EDG214" i="2"/>
  <c r="EDG215" i="2"/>
  <c r="EDG216" i="2"/>
  <c r="EDG217" i="2"/>
  <c r="EDG218" i="2"/>
  <c r="EDG219" i="2"/>
  <c r="EDG220" i="2"/>
  <c r="EDG221" i="2"/>
  <c r="EDG222" i="2"/>
  <c r="EDG223" i="2"/>
  <c r="EDG224" i="2"/>
  <c r="EDG225" i="2"/>
  <c r="EDG226" i="2"/>
  <c r="EDG227" i="2"/>
  <c r="EDG228" i="2"/>
  <c r="EDG229" i="2"/>
  <c r="EDG230" i="2"/>
  <c r="EDG231" i="2"/>
  <c r="EDG232" i="2"/>
  <c r="EDG233" i="2"/>
  <c r="EDG234" i="2"/>
  <c r="EDG235" i="2"/>
  <c r="EDG236" i="2"/>
  <c r="EDG237" i="2"/>
  <c r="EDG238" i="2"/>
  <c r="EDG239" i="2"/>
  <c r="EDG240" i="2"/>
  <c r="EDG241" i="2"/>
  <c r="EDG242" i="2"/>
  <c r="EDG243" i="2"/>
  <c r="EDG244" i="2"/>
  <c r="EDG245" i="2"/>
  <c r="EDG246" i="2"/>
  <c r="EDG247" i="2"/>
  <c r="EDG248" i="2"/>
  <c r="EDG249" i="2"/>
  <c r="EDG250" i="2"/>
  <c r="EDG251" i="2"/>
  <c r="EDG252" i="2"/>
  <c r="EDG253" i="2"/>
  <c r="EDG254" i="2"/>
  <c r="EDG255" i="2"/>
  <c r="EDG256" i="2"/>
  <c r="EDG257" i="2"/>
  <c r="EDG258" i="2"/>
  <c r="EDG259" i="2"/>
  <c r="EDG260" i="2"/>
  <c r="EDG261" i="2"/>
  <c r="EDG262" i="2"/>
  <c r="EDG263" i="2"/>
  <c r="EDG264" i="2"/>
  <c r="EDG265" i="2"/>
  <c r="EDG266" i="2"/>
  <c r="EDG267" i="2"/>
  <c r="EDG268" i="2"/>
  <c r="EDG269" i="2"/>
  <c r="EDG270" i="2"/>
  <c r="EDG271" i="2"/>
  <c r="EDG272" i="2"/>
  <c r="EDG273" i="2"/>
  <c r="EDG274" i="2"/>
  <c r="EDG275" i="2"/>
  <c r="EDG276" i="2"/>
  <c r="EDG277" i="2"/>
  <c r="EDG278" i="2"/>
  <c r="EDG279" i="2"/>
  <c r="EDG280" i="2"/>
  <c r="EDG281" i="2"/>
  <c r="EDG282" i="2"/>
  <c r="EDG283" i="2"/>
  <c r="EDG284" i="2"/>
  <c r="EDG285" i="2"/>
  <c r="EDG286" i="2"/>
  <c r="EDG287" i="2"/>
  <c r="EDG288" i="2"/>
  <c r="EDG289" i="2"/>
  <c r="EDG290" i="2"/>
  <c r="EDG291" i="2"/>
  <c r="EDG292" i="2"/>
  <c r="EDG293" i="2"/>
  <c r="EDG294" i="2"/>
  <c r="EDG295" i="2"/>
  <c r="EDG296" i="2"/>
  <c r="EDG297" i="2"/>
  <c r="EDG298" i="2"/>
  <c r="EDG299" i="2"/>
  <c r="EDG300" i="2"/>
  <c r="EDG301" i="2"/>
  <c r="EDG302" i="2"/>
  <c r="EDG303" i="2"/>
  <c r="EDG304" i="2"/>
  <c r="EDG305" i="2"/>
  <c r="EDG306" i="2"/>
  <c r="EDG307" i="2"/>
  <c r="EDG308" i="2"/>
  <c r="EDG309" i="2"/>
  <c r="EDG310" i="2"/>
  <c r="EDG311" i="2"/>
  <c r="EDG312" i="2"/>
  <c r="EDG313" i="2"/>
  <c r="EDG314" i="2"/>
  <c r="EDG315" i="2"/>
  <c r="EDG316" i="2"/>
  <c r="EDG317" i="2"/>
  <c r="EDG318" i="2"/>
  <c r="EDG319" i="2"/>
  <c r="EDG320" i="2"/>
  <c r="EDG321" i="2"/>
  <c r="EDG322" i="2"/>
  <c r="EDG323" i="2"/>
  <c r="EDG324" i="2"/>
  <c r="EDG325" i="2"/>
  <c r="EDG326" i="2"/>
  <c r="EDG327" i="2"/>
  <c r="EDG328" i="2"/>
  <c r="EDG329" i="2"/>
  <c r="EDG330" i="2"/>
  <c r="EDG331" i="2"/>
  <c r="EDG332" i="2"/>
  <c r="EDG333" i="2"/>
  <c r="EDG334" i="2"/>
  <c r="EDG335" i="2"/>
  <c r="EDG336" i="2"/>
  <c r="EDG337" i="2"/>
  <c r="EDG338" i="2"/>
  <c r="EDG339" i="2"/>
  <c r="EDG340" i="2"/>
  <c r="EDG341" i="2"/>
  <c r="EDG342" i="2"/>
  <c r="EDG343" i="2"/>
  <c r="EDG344" i="2"/>
  <c r="EDG345" i="2"/>
  <c r="EDG346" i="2"/>
  <c r="EDG347" i="2"/>
  <c r="EDG348" i="2"/>
  <c r="EDG349" i="2"/>
  <c r="EDG350" i="2"/>
  <c r="EDG351" i="2"/>
  <c r="EDG352" i="2"/>
  <c r="EDG353" i="2"/>
  <c r="EDG354" i="2"/>
  <c r="EDG355" i="2"/>
  <c r="EDG356" i="2"/>
  <c r="EDG357" i="2"/>
  <c r="EDG358" i="2"/>
  <c r="EDG359" i="2"/>
  <c r="EDG360" i="2"/>
  <c r="EDG361" i="2"/>
  <c r="EDG362" i="2"/>
  <c r="EDG363" i="2"/>
  <c r="EDG364" i="2"/>
  <c r="EDG365" i="2"/>
  <c r="EDG366" i="2"/>
  <c r="EDG367" i="2"/>
  <c r="EDG368" i="2"/>
  <c r="EDG369" i="2"/>
  <c r="EDG370" i="2"/>
  <c r="EDG371" i="2"/>
  <c r="EDG372" i="2"/>
  <c r="EDG373" i="2"/>
  <c r="EDG374" i="2"/>
  <c r="EDG375" i="2"/>
  <c r="EDG376" i="2"/>
  <c r="EDG377" i="2"/>
  <c r="EDG378" i="2"/>
  <c r="EDG379" i="2"/>
  <c r="EDG380" i="2"/>
  <c r="EDG381" i="2"/>
  <c r="EDG382" i="2"/>
  <c r="EDG383" i="2"/>
  <c r="EDG384" i="2"/>
  <c r="EDG385" i="2"/>
  <c r="EDG386" i="2"/>
  <c r="EDG387" i="2"/>
  <c r="EDG388" i="2"/>
  <c r="EDG389" i="2"/>
  <c r="EDG390" i="2"/>
  <c r="EDG391" i="2"/>
  <c r="EDG392" i="2"/>
  <c r="EDG393" i="2"/>
  <c r="EDG394" i="2"/>
  <c r="EDG395" i="2"/>
  <c r="EDG396" i="2"/>
  <c r="EDG397" i="2"/>
  <c r="EDG398" i="2"/>
  <c r="EDG399" i="2"/>
  <c r="EDG400" i="2"/>
  <c r="EDG401" i="2"/>
  <c r="EDG402" i="2"/>
  <c r="EDG403" i="2"/>
  <c r="EDG404" i="2"/>
  <c r="EDG405" i="2"/>
  <c r="EDG406" i="2"/>
  <c r="EDG407" i="2"/>
  <c r="EDG408" i="2"/>
  <c r="EDG409" i="2"/>
  <c r="EDG410" i="2"/>
  <c r="EDG411" i="2"/>
  <c r="EDG412" i="2"/>
  <c r="EDG413" i="2"/>
  <c r="EDG414" i="2"/>
  <c r="EDG415" i="2"/>
  <c r="EDG416" i="2"/>
  <c r="EDG417" i="2"/>
  <c r="EDG418" i="2"/>
  <c r="EDG419" i="2"/>
  <c r="EDG420" i="2"/>
  <c r="EDG421" i="2"/>
  <c r="EDG422" i="2"/>
  <c r="EDG423" i="2"/>
  <c r="EDG424" i="2"/>
  <c r="EDG425" i="2"/>
  <c r="EDG426" i="2"/>
  <c r="EDG427" i="2"/>
  <c r="EDG428" i="2"/>
  <c r="EDG429" i="2"/>
  <c r="EDG430" i="2"/>
  <c r="EDG431" i="2"/>
  <c r="EDG432" i="2"/>
  <c r="EDG433" i="2"/>
  <c r="EDG434" i="2"/>
  <c r="EDG435" i="2"/>
  <c r="EDG436" i="2"/>
  <c r="EDG437" i="2"/>
  <c r="EDG438" i="2"/>
  <c r="EDG439" i="2"/>
  <c r="EDG440" i="2"/>
  <c r="EDG441" i="2"/>
  <c r="EDG442" i="2"/>
  <c r="EDG443" i="2"/>
  <c r="EDG444" i="2"/>
  <c r="EDG445" i="2"/>
  <c r="EDG446" i="2"/>
  <c r="EDG447" i="2"/>
  <c r="EDG448" i="2"/>
  <c r="EDG449" i="2"/>
  <c r="EDG450" i="2"/>
  <c r="EDG451" i="2"/>
  <c r="EDG452" i="2"/>
  <c r="EDG453" i="2"/>
  <c r="EDG454" i="2"/>
  <c r="EDG455" i="2"/>
  <c r="EDG456" i="2"/>
  <c r="EDG457" i="2"/>
  <c r="EDG458" i="2"/>
  <c r="EDG459" i="2"/>
  <c r="EDG460" i="2"/>
  <c r="EDG461" i="2"/>
  <c r="EDG462" i="2"/>
  <c r="EDG463" i="2"/>
  <c r="EDG464" i="2"/>
  <c r="EDG465" i="2"/>
  <c r="EDG466" i="2"/>
  <c r="EDG467" i="2"/>
  <c r="EDG468" i="2"/>
  <c r="EDG469" i="2"/>
  <c r="EDG470" i="2"/>
  <c r="EDG471" i="2"/>
  <c r="EDG472" i="2"/>
  <c r="EDG473" i="2"/>
  <c r="EDG474" i="2"/>
  <c r="EDG475" i="2"/>
  <c r="EDG476" i="2"/>
  <c r="EDG477" i="2"/>
  <c r="EDG478" i="2"/>
  <c r="EDG479" i="2"/>
  <c r="EDG480" i="2"/>
  <c r="EDG481" i="2"/>
  <c r="EDG482" i="2"/>
  <c r="EDG483" i="2"/>
  <c r="EDG484" i="2"/>
  <c r="EDG485" i="2"/>
  <c r="EDG486" i="2"/>
  <c r="EDG487" i="2"/>
  <c r="EDG488" i="2"/>
  <c r="EDG489" i="2"/>
  <c r="EDG490" i="2"/>
  <c r="EDG491" i="2"/>
  <c r="EDG492" i="2"/>
  <c r="EDG493" i="2"/>
  <c r="EDG494" i="2"/>
  <c r="EDG495" i="2"/>
  <c r="EDG496" i="2"/>
  <c r="EDG497" i="2"/>
  <c r="EDG498" i="2"/>
  <c r="EDG499" i="2"/>
  <c r="EDG500" i="2"/>
  <c r="EDG501" i="2"/>
  <c r="EDG502" i="2"/>
  <c r="EDG503" i="2"/>
  <c r="EDG504" i="2"/>
  <c r="EDG505" i="2"/>
  <c r="EDG506" i="2"/>
  <c r="EDG507" i="2"/>
  <c r="EDG508" i="2"/>
  <c r="EDG509" i="2"/>
  <c r="EDG510" i="2"/>
  <c r="EDG511" i="2"/>
  <c r="EDG512" i="2"/>
  <c r="EDG513" i="2"/>
  <c r="EDG514" i="2"/>
  <c r="EDG515" i="2"/>
  <c r="EDG516" i="2"/>
  <c r="EDG517" i="2"/>
  <c r="EDG518" i="2"/>
  <c r="EDG519" i="2"/>
  <c r="EDG520" i="2"/>
  <c r="EDG521" i="2"/>
  <c r="EDG522" i="2"/>
  <c r="EDG523" i="2"/>
  <c r="EDG524" i="2"/>
  <c r="EDG525" i="2"/>
  <c r="EDG526" i="2"/>
  <c r="EDG527" i="2"/>
  <c r="EDG528" i="2"/>
  <c r="EDG529" i="2"/>
  <c r="EDG530" i="2"/>
  <c r="EDG531" i="2"/>
  <c r="EDG532" i="2"/>
  <c r="EDG533" i="2"/>
  <c r="EDG534" i="2"/>
  <c r="EDG535" i="2"/>
  <c r="EDG536" i="2"/>
  <c r="EDG537" i="2"/>
  <c r="EDG538" i="2"/>
  <c r="EDG539" i="2"/>
  <c r="EDG540" i="2"/>
  <c r="EDG541" i="2"/>
  <c r="EDG542" i="2"/>
  <c r="EDG543" i="2"/>
  <c r="EDG544" i="2"/>
  <c r="EDG545" i="2"/>
  <c r="EDG546" i="2"/>
  <c r="EDG547" i="2"/>
  <c r="EDG548" i="2"/>
  <c r="EDG549" i="2"/>
  <c r="EDG550" i="2"/>
  <c r="EDG551" i="2"/>
  <c r="EDG552" i="2"/>
  <c r="EDG553" i="2"/>
  <c r="EDG554" i="2"/>
  <c r="EDG555" i="2"/>
  <c r="EDG556" i="2"/>
  <c r="EDG557" i="2"/>
  <c r="EDG558" i="2"/>
  <c r="EDG559" i="2"/>
  <c r="EDG560" i="2"/>
  <c r="EDG561" i="2"/>
  <c r="EDG562" i="2"/>
  <c r="EDG563" i="2"/>
  <c r="EDG564" i="2"/>
  <c r="EDG565" i="2"/>
  <c r="EDG566" i="2"/>
  <c r="EDG567" i="2"/>
  <c r="EDG568" i="2"/>
  <c r="EDG569" i="2"/>
  <c r="EDG570" i="2"/>
  <c r="EDG571" i="2"/>
  <c r="EDG572" i="2"/>
  <c r="EDG573" i="2"/>
  <c r="EDG574" i="2"/>
  <c r="EDG575" i="2"/>
  <c r="EDG576" i="2"/>
  <c r="EDG577" i="2"/>
  <c r="EDG578" i="2"/>
  <c r="EDG579" i="2"/>
  <c r="EDG580" i="2"/>
  <c r="EDG581" i="2"/>
  <c r="EDG582" i="2"/>
  <c r="EDG583" i="2"/>
  <c r="EDG584" i="2"/>
  <c r="EDG585" i="2"/>
  <c r="EDG586" i="2"/>
  <c r="EDG587" i="2"/>
  <c r="EDG588" i="2"/>
  <c r="EDG589" i="2"/>
  <c r="EDG590" i="2"/>
  <c r="EDG591" i="2"/>
  <c r="EDG592" i="2"/>
  <c r="EDG593" i="2"/>
  <c r="EDG594" i="2"/>
  <c r="EDG595" i="2"/>
  <c r="EDG596" i="2"/>
  <c r="EDG597" i="2"/>
  <c r="EDG598" i="2"/>
  <c r="EDG599" i="2"/>
  <c r="EDG600" i="2"/>
  <c r="EDG601" i="2"/>
  <c r="EDG602" i="2"/>
  <c r="EDG603" i="2"/>
  <c r="EDG604" i="2"/>
  <c r="EDG605" i="2"/>
  <c r="EDG606" i="2"/>
  <c r="EDG607" i="2"/>
  <c r="EDG608" i="2"/>
  <c r="EDG609" i="2"/>
  <c r="EDG610" i="2"/>
  <c r="EDG611" i="2"/>
  <c r="EDG612" i="2"/>
  <c r="EDG613" i="2"/>
  <c r="EDG614" i="2"/>
  <c r="EDG615" i="2"/>
  <c r="EDG616" i="2"/>
  <c r="EDG617" i="2"/>
  <c r="EDG618" i="2"/>
  <c r="EDG619" i="2"/>
  <c r="EDG620" i="2"/>
  <c r="EDG621" i="2"/>
  <c r="EDG622" i="2"/>
  <c r="EDG623" i="2"/>
  <c r="EDG624" i="2"/>
  <c r="EDG625" i="2"/>
  <c r="EDG626" i="2"/>
  <c r="EDG627" i="2"/>
  <c r="EDG628" i="2"/>
  <c r="EDG629" i="2"/>
  <c r="EDG630" i="2"/>
  <c r="EDG631" i="2"/>
  <c r="EDG632" i="2"/>
  <c r="EDG633" i="2"/>
  <c r="EDG634" i="2"/>
  <c r="EDG635" i="2"/>
  <c r="EDG636" i="2"/>
  <c r="EDG637" i="2"/>
  <c r="EDG638" i="2"/>
  <c r="EDG639" i="2"/>
  <c r="EDG640" i="2"/>
  <c r="EDG641" i="2"/>
  <c r="EDG642" i="2"/>
  <c r="EDG643" i="2"/>
  <c r="EDG644" i="2"/>
  <c r="EDG645" i="2"/>
  <c r="EDG646" i="2"/>
  <c r="EDG647" i="2"/>
  <c r="EDG648" i="2"/>
  <c r="EDG649" i="2"/>
  <c r="EDG650" i="2"/>
  <c r="EDG651" i="2"/>
  <c r="EDG652" i="2"/>
  <c r="EDG653" i="2"/>
  <c r="EDG654" i="2"/>
  <c r="EDG655" i="2"/>
  <c r="EDG656" i="2"/>
  <c r="EDG657" i="2"/>
  <c r="EDG658" i="2"/>
  <c r="EDG659" i="2"/>
  <c r="EDG660" i="2"/>
  <c r="EDG661" i="2"/>
  <c r="EDG662" i="2"/>
  <c r="EDG663" i="2"/>
  <c r="EDG664" i="2"/>
  <c r="EDG665" i="2"/>
  <c r="EDG666" i="2"/>
  <c r="EDG667" i="2"/>
  <c r="EDG668" i="2"/>
  <c r="EDG669" i="2"/>
  <c r="EDG670" i="2"/>
  <c r="EDG671" i="2"/>
  <c r="EDG672" i="2"/>
  <c r="EDG673" i="2"/>
  <c r="EDG674" i="2"/>
  <c r="EDG675" i="2"/>
  <c r="EDG676" i="2"/>
  <c r="EDG677" i="2"/>
  <c r="EDG678" i="2"/>
  <c r="EDG679" i="2"/>
  <c r="EDG680" i="2"/>
  <c r="EDG681" i="2"/>
  <c r="EDG682" i="2"/>
  <c r="EDG683" i="2"/>
  <c r="EDG684" i="2"/>
  <c r="EDG685" i="2"/>
  <c r="EDG686" i="2"/>
  <c r="EDG687" i="2"/>
  <c r="EDG688" i="2"/>
  <c r="EDG689" i="2"/>
  <c r="EDG690" i="2"/>
  <c r="EDG691" i="2"/>
  <c r="EDG692" i="2"/>
  <c r="EDG693" i="2"/>
  <c r="EDG694" i="2"/>
  <c r="EDG695" i="2"/>
  <c r="EDG696" i="2"/>
  <c r="EDG697" i="2"/>
  <c r="EDG698" i="2"/>
  <c r="EDG699" i="2"/>
  <c r="EDG700" i="2"/>
  <c r="EDG701" i="2"/>
  <c r="EDG702" i="2"/>
  <c r="EDG703" i="2"/>
  <c r="EDG704" i="2"/>
  <c r="EDG705" i="2"/>
  <c r="EDG706" i="2"/>
  <c r="EDG707" i="2"/>
  <c r="EDG708" i="2"/>
  <c r="EDG709" i="2"/>
  <c r="EDG710" i="2"/>
  <c r="EDG711" i="2"/>
  <c r="EDG712" i="2"/>
  <c r="EDG713" i="2"/>
  <c r="EDG714" i="2"/>
  <c r="EDG715" i="2"/>
  <c r="EDG716" i="2"/>
  <c r="EDG717" i="2"/>
  <c r="EDG718" i="2"/>
  <c r="EDG719" i="2"/>
  <c r="EDG720" i="2"/>
  <c r="EDG721" i="2"/>
  <c r="EDG722" i="2"/>
  <c r="EDG723" i="2"/>
  <c r="EDG724" i="2"/>
  <c r="EDG725" i="2"/>
  <c r="EDG726" i="2"/>
  <c r="EDG727" i="2"/>
  <c r="EDG728" i="2"/>
  <c r="EDG729" i="2"/>
  <c r="EDG730" i="2"/>
  <c r="EDG731" i="2"/>
  <c r="EDG732" i="2"/>
  <c r="EDG733" i="2"/>
  <c r="EDG734" i="2"/>
  <c r="EDG735" i="2"/>
  <c r="EDG736" i="2"/>
  <c r="EDG737" i="2"/>
  <c r="EDG738" i="2"/>
  <c r="EDG739" i="2"/>
  <c r="EDG740" i="2"/>
  <c r="EDG741" i="2"/>
  <c r="EDG742" i="2"/>
  <c r="EDG743" i="2"/>
  <c r="EDG744" i="2"/>
  <c r="EDG745" i="2"/>
  <c r="EDG746" i="2"/>
  <c r="EDG747" i="2"/>
  <c r="EDG748" i="2"/>
  <c r="EDG749" i="2"/>
  <c r="EDG750" i="2"/>
  <c r="EDG751" i="2"/>
  <c r="EDG752" i="2"/>
  <c r="EDG753" i="2"/>
  <c r="EDG754" i="2"/>
  <c r="EDG755" i="2"/>
  <c r="EDG756" i="2"/>
  <c r="EDG757" i="2"/>
  <c r="EDG758" i="2"/>
  <c r="EDG759" i="2"/>
  <c r="EDG760" i="2"/>
  <c r="EDG761" i="2"/>
  <c r="EDG762" i="2"/>
  <c r="EDG763" i="2"/>
  <c r="EDG764" i="2"/>
  <c r="EDG765" i="2"/>
  <c r="EDG766" i="2"/>
  <c r="EDG767" i="2"/>
  <c r="EDG768" i="2"/>
  <c r="EDG769" i="2"/>
  <c r="EDG770" i="2"/>
  <c r="EDG771" i="2"/>
  <c r="EDG772" i="2"/>
  <c r="EDG773" i="2"/>
  <c r="EDG774" i="2"/>
  <c r="EDG775" i="2"/>
  <c r="EDG776" i="2"/>
  <c r="EDG777" i="2"/>
  <c r="EDG778" i="2"/>
  <c r="EDG779" i="2"/>
  <c r="EDG780" i="2"/>
  <c r="EDG781" i="2"/>
  <c r="EDG782" i="2"/>
  <c r="EDG783" i="2"/>
  <c r="EDG784" i="2"/>
  <c r="EDG785" i="2"/>
  <c r="EDG786" i="2"/>
  <c r="EDG787" i="2"/>
  <c r="EDG788" i="2"/>
  <c r="EDG789" i="2"/>
  <c r="EDG790" i="2"/>
  <c r="EDG791" i="2"/>
  <c r="EDG792" i="2"/>
  <c r="EDG793" i="2"/>
  <c r="EDG794" i="2"/>
  <c r="EDG795" i="2"/>
  <c r="EDG796" i="2"/>
  <c r="EDG797" i="2"/>
  <c r="EDG798" i="2"/>
  <c r="EDG799" i="2"/>
  <c r="EDG800" i="2"/>
  <c r="EDG801" i="2"/>
  <c r="EDG802" i="2"/>
  <c r="EDG803" i="2"/>
  <c r="EDG804" i="2"/>
  <c r="EDG805" i="2"/>
  <c r="EDG806" i="2"/>
  <c r="EDG807" i="2"/>
  <c r="EDG808" i="2"/>
  <c r="EDG809" i="2"/>
  <c r="EDG810" i="2"/>
  <c r="EDG811" i="2"/>
  <c r="EDG812" i="2"/>
  <c r="EDG813" i="2"/>
  <c r="EDG814" i="2"/>
  <c r="EDG815" i="2"/>
  <c r="EDG816" i="2"/>
  <c r="EDG817" i="2"/>
  <c r="EDG818" i="2"/>
  <c r="EDG819" i="2"/>
  <c r="EDG820" i="2"/>
  <c r="EDG821" i="2"/>
  <c r="EDG822" i="2"/>
  <c r="EDG823" i="2"/>
  <c r="EDG824" i="2"/>
  <c r="EDG825" i="2"/>
  <c r="EDG826" i="2"/>
  <c r="EDG827" i="2"/>
  <c r="EDG828" i="2"/>
  <c r="EDG829" i="2"/>
  <c r="EDG830" i="2"/>
  <c r="EDG831" i="2"/>
  <c r="EDG832" i="2"/>
  <c r="EDG833" i="2"/>
  <c r="EDG834" i="2"/>
  <c r="EDG835" i="2"/>
  <c r="EDG836" i="2"/>
  <c r="EDG837" i="2"/>
  <c r="EDG838" i="2"/>
  <c r="EDG839" i="2"/>
  <c r="EDG840" i="2"/>
  <c r="EDG841" i="2"/>
  <c r="EDG842" i="2"/>
  <c r="EDG843" i="2"/>
  <c r="EDG844" i="2"/>
  <c r="EDG845" i="2"/>
  <c r="EDG846" i="2"/>
  <c r="EDG847" i="2"/>
  <c r="EDG848" i="2"/>
  <c r="EDG849" i="2"/>
  <c r="EDG850" i="2"/>
  <c r="EDG851" i="2"/>
  <c r="EDG852" i="2"/>
  <c r="EDG853" i="2"/>
  <c r="EDG854" i="2"/>
  <c r="EDG855" i="2"/>
  <c r="EDG856" i="2"/>
  <c r="EDG857" i="2"/>
  <c r="EDG858" i="2"/>
  <c r="EDG859" i="2"/>
  <c r="EDG860" i="2"/>
  <c r="EDG861" i="2"/>
  <c r="EDG862" i="2"/>
  <c r="EDG863" i="2"/>
  <c r="EDG864" i="2"/>
  <c r="EDG865" i="2"/>
  <c r="EDG866" i="2"/>
  <c r="EDG867" i="2"/>
  <c r="EDG868" i="2"/>
  <c r="EDG869" i="2"/>
  <c r="EDG870" i="2"/>
  <c r="EDG871" i="2"/>
  <c r="EDG872" i="2"/>
  <c r="EDG873" i="2"/>
  <c r="EDG874" i="2"/>
  <c r="EDG875" i="2"/>
  <c r="EDG876" i="2"/>
  <c r="EDG877" i="2"/>
  <c r="EDG878" i="2"/>
  <c r="EDG879" i="2"/>
  <c r="EDG880" i="2"/>
  <c r="EDG881" i="2"/>
  <c r="EDG882" i="2"/>
  <c r="EDG883" i="2"/>
  <c r="EDG884" i="2"/>
  <c r="EDG885" i="2"/>
  <c r="EDG886" i="2"/>
  <c r="EDG887" i="2"/>
  <c r="EDG888" i="2"/>
  <c r="EDG889" i="2"/>
  <c r="EDG890" i="2"/>
  <c r="EDG891" i="2"/>
  <c r="EDG892" i="2"/>
  <c r="EDG893" i="2"/>
  <c r="EDG894" i="2"/>
  <c r="EDG895" i="2"/>
  <c r="EDG896" i="2"/>
  <c r="EDG897" i="2"/>
  <c r="EDG898" i="2"/>
  <c r="EDG899" i="2"/>
  <c r="EDG900" i="2"/>
  <c r="EDG901" i="2"/>
  <c r="EDG902" i="2"/>
  <c r="EDG903" i="2"/>
  <c r="EDG904" i="2"/>
  <c r="EDG905" i="2"/>
  <c r="EDG906" i="2"/>
  <c r="EDG907" i="2"/>
  <c r="EDG908" i="2"/>
  <c r="EDG909" i="2"/>
  <c r="EDG910" i="2"/>
  <c r="EDG911" i="2"/>
  <c r="EDG912" i="2"/>
  <c r="EDG913" i="2"/>
  <c r="EDG914" i="2"/>
  <c r="EDG915" i="2"/>
  <c r="EDG916" i="2"/>
  <c r="EDG917" i="2"/>
  <c r="EDG918" i="2"/>
  <c r="EDG919" i="2"/>
  <c r="EDG920" i="2"/>
  <c r="EDG921" i="2"/>
  <c r="EDG922" i="2"/>
  <c r="EDG923" i="2"/>
  <c r="EDG924" i="2"/>
  <c r="EDG925" i="2"/>
  <c r="EDG926" i="2"/>
  <c r="EDG927" i="2"/>
  <c r="EDG928" i="2"/>
  <c r="EDG929" i="2"/>
  <c r="EDG930" i="2"/>
  <c r="EDG931" i="2"/>
  <c r="EDG932" i="2"/>
  <c r="EDG933" i="2"/>
  <c r="EDG934" i="2"/>
  <c r="EDG935" i="2"/>
  <c r="EDG936" i="2"/>
  <c r="EDG937" i="2"/>
  <c r="EDG938" i="2"/>
  <c r="EDG939" i="2"/>
  <c r="EDG940" i="2"/>
  <c r="EDG941" i="2"/>
  <c r="EDG942" i="2"/>
  <c r="EDG943" i="2"/>
  <c r="EDG944" i="2"/>
  <c r="EDG945" i="2"/>
  <c r="EDG946" i="2"/>
  <c r="EDG947" i="2"/>
  <c r="EDG948" i="2"/>
  <c r="EDG949" i="2"/>
  <c r="EDG950" i="2"/>
  <c r="EDG951" i="2"/>
  <c r="EDG952" i="2"/>
  <c r="EDG953" i="2"/>
  <c r="EDG954" i="2"/>
  <c r="EDG955" i="2"/>
  <c r="EDG956" i="2"/>
  <c r="EDG957" i="2"/>
  <c r="EDG958" i="2"/>
  <c r="EDG959" i="2"/>
  <c r="EDG960" i="2"/>
  <c r="EDG961" i="2"/>
  <c r="EDG962" i="2"/>
  <c r="EDG963" i="2"/>
  <c r="EDG964" i="2"/>
  <c r="EDG965" i="2"/>
  <c r="EDG966" i="2"/>
  <c r="EDG967" i="2"/>
  <c r="EDG968" i="2"/>
  <c r="EDG969" i="2"/>
  <c r="EDG970" i="2"/>
  <c r="EDG971" i="2"/>
  <c r="EDG972" i="2"/>
  <c r="EDG973" i="2"/>
  <c r="EDG974" i="2"/>
  <c r="EDG975" i="2"/>
  <c r="EDG976" i="2"/>
  <c r="EDG977" i="2"/>
  <c r="EDG978" i="2"/>
  <c r="EDG979" i="2"/>
  <c r="EDG980" i="2"/>
  <c r="EDG981" i="2"/>
  <c r="EDG982" i="2"/>
  <c r="EDG983" i="2"/>
  <c r="EDG984" i="2"/>
  <c r="EDG985" i="2"/>
  <c r="EDG986" i="2"/>
  <c r="EDG987" i="2"/>
  <c r="EDG988" i="2"/>
  <c r="EDG989" i="2"/>
  <c r="EDG990" i="2"/>
  <c r="EDG991" i="2"/>
  <c r="EDG992" i="2"/>
  <c r="EDG993" i="2"/>
  <c r="EDG994" i="2"/>
  <c r="EDG995" i="2"/>
  <c r="EDG996" i="2"/>
  <c r="EDG997" i="2"/>
  <c r="EDG998" i="2"/>
  <c r="EDG999" i="2"/>
  <c r="EDG1000" i="2"/>
  <c r="EDG1001" i="2"/>
  <c r="EDG1002" i="2"/>
  <c r="EDG1003" i="2"/>
  <c r="EDG1004" i="2"/>
  <c r="EDG1005" i="2"/>
  <c r="EDG1006" i="2"/>
  <c r="EDG1007" i="2"/>
  <c r="EDG1008" i="2"/>
  <c r="EDG1009" i="2"/>
  <c r="EDG1010" i="2"/>
  <c r="EDG1011" i="2"/>
  <c r="EDG1012" i="2"/>
  <c r="EDG1013" i="2"/>
  <c r="EDG1014" i="2"/>
  <c r="EDG1015" i="2"/>
  <c r="EDG1016" i="2"/>
  <c r="EDG1017" i="2"/>
  <c r="EDG1018" i="2"/>
  <c r="EDG1019" i="2"/>
  <c r="EDG1020" i="2"/>
  <c r="EDG1021" i="2"/>
  <c r="EDG1022" i="2"/>
  <c r="EDG1023" i="2"/>
  <c r="EDG1024" i="2"/>
  <c r="EDG1025" i="2"/>
  <c r="EDG1026" i="2"/>
  <c r="EDG1027" i="2"/>
  <c r="EDG1028" i="2"/>
  <c r="EDG1029" i="2"/>
  <c r="EDG1030" i="2"/>
  <c r="EDG1031" i="2"/>
  <c r="EDG1032" i="2"/>
  <c r="EDG1033" i="2"/>
  <c r="EDG1034" i="2"/>
  <c r="EDG1035" i="2"/>
  <c r="EDG1036" i="2"/>
  <c r="EDG1037" i="2"/>
  <c r="EDG1038" i="2"/>
  <c r="EDG1039" i="2"/>
  <c r="EDG1040" i="2"/>
  <c r="EDG1041" i="2"/>
  <c r="EDG1042" i="2"/>
  <c r="EDG1043" i="2"/>
  <c r="EDG1044" i="2"/>
  <c r="EDG1045" i="2"/>
  <c r="EDG1046" i="2"/>
  <c r="EDG1047" i="2"/>
  <c r="EDG1048" i="2"/>
  <c r="EDG1049" i="2"/>
  <c r="EDG1050" i="2"/>
  <c r="EDG1051" i="2"/>
  <c r="EDG1052" i="2"/>
  <c r="EDG1053" i="2"/>
  <c r="EDG1054" i="2"/>
  <c r="EDG1055" i="2"/>
  <c r="EDG1056" i="2"/>
  <c r="EDG1057" i="2"/>
  <c r="EDG1058" i="2"/>
  <c r="EDG1059" i="2"/>
  <c r="EDG1060" i="2"/>
  <c r="EDG1061" i="2"/>
  <c r="EDG1062" i="2"/>
  <c r="EDG1063" i="2"/>
  <c r="EDG1064" i="2"/>
  <c r="EDG1065" i="2"/>
  <c r="EDG1066" i="2"/>
  <c r="EDG1067" i="2"/>
  <c r="EDG1068" i="2"/>
  <c r="EDG1069" i="2"/>
  <c r="EDG1070" i="2"/>
  <c r="EDG1071" i="2"/>
  <c r="EDG1072" i="2"/>
  <c r="EDG1073" i="2"/>
  <c r="EDG1074" i="2"/>
  <c r="EDG1075" i="2"/>
  <c r="EDG1076" i="2"/>
  <c r="EDG1077" i="2"/>
  <c r="EDG1078" i="2"/>
  <c r="EDG1079" i="2"/>
  <c r="EDG1080" i="2"/>
  <c r="EDG1081" i="2"/>
  <c r="EDG1082" i="2"/>
  <c r="EDG1083" i="2"/>
  <c r="EDG1084" i="2"/>
  <c r="EDG1085" i="2"/>
  <c r="EDG1086" i="2"/>
  <c r="EDG1087" i="2"/>
  <c r="EDG1088" i="2"/>
  <c r="EDG1089" i="2"/>
  <c r="EDG1090" i="2"/>
  <c r="EDG1091" i="2"/>
  <c r="EDG1092" i="2"/>
  <c r="EDG1093" i="2"/>
  <c r="EDG1094" i="2"/>
  <c r="EDG1095" i="2"/>
  <c r="EDG1096" i="2"/>
  <c r="EDG1097" i="2"/>
  <c r="EDG1098" i="2"/>
  <c r="EDG1099" i="2"/>
  <c r="EDG1100" i="2"/>
  <c r="EDG1101" i="2"/>
  <c r="EDG1102" i="2"/>
  <c r="EDG1103" i="2"/>
  <c r="EDG1104" i="2"/>
  <c r="EDG1105" i="2"/>
  <c r="EDG1106" i="2"/>
  <c r="EDG1107" i="2"/>
  <c r="EDG1108" i="2"/>
  <c r="EDG1109" i="2"/>
  <c r="EDG1110" i="2"/>
  <c r="EDG1111" i="2"/>
  <c r="EDG1112" i="2"/>
  <c r="EDG1113" i="2"/>
  <c r="EDG1114" i="2"/>
  <c r="EDG1115" i="2"/>
  <c r="EDG1116" i="2"/>
  <c r="EDG1117" i="2"/>
  <c r="EDG1118" i="2"/>
  <c r="EDG1119" i="2"/>
  <c r="EDG1120" i="2"/>
  <c r="EDG1121" i="2"/>
  <c r="EDG1122" i="2"/>
  <c r="EDG1123" i="2"/>
  <c r="EDG1124" i="2"/>
  <c r="EDG1125" i="2"/>
  <c r="EDG1126" i="2"/>
  <c r="EDG1127" i="2"/>
  <c r="EDG1128" i="2"/>
  <c r="EDG1129" i="2"/>
  <c r="EDG1130" i="2"/>
  <c r="EDG1131" i="2"/>
  <c r="EDG1132" i="2"/>
  <c r="EDG1133" i="2"/>
  <c r="EDG1134" i="2"/>
  <c r="EDG1135" i="2"/>
  <c r="EDG1136" i="2"/>
  <c r="EDG1137" i="2"/>
  <c r="EDG1138" i="2"/>
  <c r="EDG1139" i="2"/>
  <c r="EDG1140" i="2"/>
  <c r="EDG1141" i="2"/>
  <c r="EDG1142" i="2"/>
  <c r="EDG1143" i="2"/>
  <c r="EDG1144" i="2"/>
  <c r="EDG1145" i="2"/>
  <c r="EDG1146" i="2"/>
  <c r="EDG1147" i="2"/>
  <c r="EDG1148" i="2"/>
  <c r="EDG1149" i="2"/>
  <c r="EDG1150" i="2"/>
  <c r="EDG1151" i="2"/>
  <c r="EDG1152" i="2"/>
  <c r="EDG1153" i="2"/>
  <c r="EDG1154" i="2"/>
  <c r="EDG1155" i="2"/>
  <c r="EDG1156" i="2"/>
  <c r="EDG1157" i="2"/>
  <c r="EDG1158" i="2"/>
  <c r="EDG1159" i="2"/>
  <c r="EDG1160" i="2"/>
  <c r="EDG1161" i="2"/>
  <c r="EDG1162" i="2"/>
  <c r="EDG1163" i="2"/>
  <c r="EDG1164" i="2"/>
  <c r="EDG1165" i="2"/>
  <c r="EDG1166" i="2"/>
  <c r="EDG1167" i="2"/>
  <c r="EDG1168" i="2"/>
  <c r="EDG1169" i="2"/>
  <c r="EDG1170" i="2"/>
  <c r="EDG1171" i="2"/>
  <c r="EDG1172" i="2"/>
  <c r="EDG1173" i="2"/>
  <c r="EDG1174" i="2"/>
  <c r="EDG1175" i="2"/>
  <c r="EDG1176" i="2"/>
  <c r="EDG1177" i="2"/>
  <c r="EDG1178" i="2"/>
  <c r="EDG1179" i="2"/>
  <c r="EDG1180" i="2"/>
  <c r="EDG1181" i="2"/>
  <c r="EDG1182" i="2"/>
  <c r="EDG1183" i="2"/>
  <c r="EDG1184" i="2"/>
  <c r="EDG1185" i="2"/>
  <c r="EDG1186" i="2"/>
  <c r="EDG1187" i="2"/>
  <c r="EDG1188" i="2"/>
  <c r="EDG1189" i="2"/>
  <c r="EDG1190" i="2"/>
  <c r="EDG1191" i="2"/>
  <c r="EDG1192" i="2"/>
  <c r="EDG1193" i="2"/>
  <c r="EDG1194" i="2"/>
  <c r="EDG1195" i="2"/>
  <c r="EDG1196" i="2"/>
  <c r="EDG1197" i="2"/>
  <c r="EDG1198" i="2"/>
  <c r="EDG1199" i="2"/>
  <c r="EDG1200" i="2"/>
  <c r="EDG1201" i="2"/>
  <c r="EDG1202" i="2"/>
  <c r="EDG1203" i="2"/>
  <c r="EDG1204" i="2"/>
  <c r="EDG1205" i="2"/>
  <c r="EDG1206" i="2"/>
  <c r="EDG1207" i="2"/>
  <c r="EDG1208" i="2"/>
  <c r="EDG1209" i="2"/>
  <c r="EDG1210" i="2"/>
  <c r="EDG1211" i="2"/>
  <c r="EDG1212" i="2"/>
  <c r="EDG1213" i="2"/>
  <c r="EDG1214" i="2"/>
  <c r="EDG1215" i="2"/>
  <c r="EDG1216" i="2"/>
  <c r="EDG1217" i="2"/>
  <c r="EDG1218" i="2"/>
  <c r="EDG1219" i="2"/>
  <c r="EDG1220" i="2"/>
  <c r="EDG1221" i="2"/>
  <c r="EDG1222" i="2"/>
  <c r="EDG1223" i="2"/>
  <c r="EDG1224" i="2"/>
  <c r="EDG1225" i="2"/>
  <c r="EDG1226" i="2"/>
  <c r="EDG1227" i="2"/>
  <c r="EDG1228" i="2"/>
  <c r="EDG1229" i="2"/>
  <c r="EDG1230" i="2"/>
  <c r="EDG1231" i="2"/>
  <c r="EDG1232" i="2"/>
  <c r="EDG1233" i="2"/>
  <c r="EDG1234" i="2"/>
  <c r="EDG1235" i="2"/>
  <c r="EDG1236" i="2"/>
  <c r="EDG1237" i="2"/>
  <c r="EDG1238" i="2"/>
  <c r="EDG1239" i="2"/>
  <c r="EDG1240" i="2"/>
  <c r="EDG1241" i="2"/>
  <c r="EDG1242" i="2"/>
  <c r="EDG1243" i="2"/>
  <c r="EDG1244" i="2"/>
  <c r="EDG1245" i="2"/>
  <c r="EDG1246" i="2"/>
  <c r="EDG1247" i="2"/>
  <c r="EDG1248" i="2"/>
  <c r="EDG1249" i="2"/>
  <c r="EDG1250" i="2"/>
  <c r="EDG1251" i="2"/>
  <c r="EDG1252" i="2"/>
  <c r="EDG1253" i="2"/>
  <c r="EDG1254" i="2"/>
  <c r="EDG1255" i="2"/>
  <c r="EDG1256" i="2"/>
  <c r="EDG1257" i="2"/>
  <c r="EDG1258" i="2"/>
  <c r="EDG1259" i="2"/>
  <c r="EDG1260" i="2"/>
  <c r="EDG1261" i="2"/>
  <c r="EDG1262" i="2"/>
  <c r="EDG1263" i="2"/>
  <c r="EDG1264" i="2"/>
  <c r="EDG1265" i="2"/>
  <c r="EDG1266" i="2"/>
  <c r="EDG1267" i="2"/>
  <c r="EDG1268" i="2"/>
  <c r="EDG1269" i="2"/>
  <c r="EDG1270" i="2"/>
  <c r="EDG1271" i="2"/>
  <c r="EDG1272" i="2"/>
  <c r="EDG1273" i="2"/>
  <c r="EDG1274" i="2"/>
  <c r="EDG1275" i="2"/>
  <c r="EDG1276" i="2"/>
  <c r="EDG1277" i="2"/>
  <c r="EDG1278" i="2"/>
  <c r="EDG1279" i="2"/>
  <c r="EDG1280" i="2"/>
  <c r="EDG1281" i="2"/>
  <c r="EDG1282" i="2"/>
  <c r="EDG1283" i="2"/>
  <c r="EDG1284" i="2"/>
  <c r="EDG1285" i="2"/>
  <c r="EDG1286" i="2"/>
  <c r="EDG1287" i="2"/>
  <c r="EDG1288" i="2"/>
  <c r="EDG1289" i="2"/>
  <c r="EDG1290" i="2"/>
  <c r="EDG1291" i="2"/>
  <c r="EDG1292" i="2"/>
  <c r="EDG1293" i="2"/>
  <c r="EDG1294" i="2"/>
  <c r="EDG1295" i="2"/>
  <c r="EDG1296" i="2"/>
  <c r="EDG1297" i="2"/>
  <c r="EDG1298" i="2"/>
  <c r="EDG1299" i="2"/>
  <c r="EDG1300" i="2"/>
  <c r="EDG1301" i="2"/>
  <c r="EDG1302" i="2"/>
  <c r="EDG1303" i="2"/>
  <c r="EDG1304" i="2"/>
  <c r="EDG1305" i="2"/>
  <c r="EDG1306" i="2"/>
  <c r="EDG1307" i="2"/>
  <c r="EDG1308" i="2"/>
  <c r="EDG1309" i="2"/>
  <c r="EDG1310" i="2"/>
  <c r="EDG1311" i="2"/>
  <c r="EDG1312" i="2"/>
  <c r="EDG1313" i="2"/>
  <c r="EDG1314" i="2"/>
  <c r="EDG1315" i="2"/>
  <c r="EDG1316" i="2"/>
  <c r="EDG1317" i="2"/>
  <c r="EDG1318" i="2"/>
  <c r="EDG1319" i="2"/>
  <c r="EDG1320" i="2"/>
  <c r="EDG1321" i="2"/>
  <c r="EDG1322" i="2"/>
  <c r="EDG1323" i="2"/>
  <c r="EDG1324" i="2"/>
  <c r="EDG1325" i="2"/>
  <c r="EDG1326" i="2"/>
  <c r="EDG1327" i="2"/>
  <c r="EDG1328" i="2"/>
  <c r="EDG1329" i="2"/>
  <c r="EDG1330" i="2"/>
  <c r="EDG1331" i="2"/>
  <c r="EDG1332" i="2"/>
  <c r="EDG1333" i="2"/>
  <c r="EDG1334" i="2"/>
  <c r="EDG1335" i="2"/>
  <c r="EDG1336" i="2"/>
  <c r="EDG1337" i="2"/>
  <c r="EDG1338" i="2"/>
  <c r="EDG1339" i="2"/>
  <c r="EDG1340" i="2"/>
  <c r="EDG1341" i="2"/>
  <c r="EDG1342" i="2"/>
  <c r="EDG1343" i="2"/>
  <c r="EDG1344" i="2"/>
  <c r="EDG1345" i="2"/>
  <c r="EDG1346" i="2"/>
  <c r="EDG1347" i="2"/>
  <c r="EDG1348" i="2"/>
  <c r="EDG1349" i="2"/>
  <c r="EDG1350" i="2"/>
  <c r="EDG1351" i="2"/>
  <c r="EDG1352" i="2"/>
  <c r="EDG1353" i="2"/>
  <c r="EDG1354" i="2"/>
  <c r="EDG1355" i="2"/>
  <c r="EDG1356" i="2"/>
  <c r="EDG1357" i="2"/>
  <c r="EDG1358" i="2"/>
  <c r="EDG1359" i="2"/>
  <c r="EDG1360" i="2"/>
  <c r="EDG1361" i="2"/>
  <c r="EDG1362" i="2"/>
  <c r="EDG1363" i="2"/>
  <c r="EDG1364" i="2"/>
  <c r="EDG1365" i="2"/>
  <c r="EDG1366" i="2"/>
  <c r="EDG1367" i="2"/>
  <c r="EDG1368" i="2"/>
  <c r="EDG1369" i="2"/>
  <c r="EDG1370" i="2"/>
  <c r="EDG1371" i="2"/>
  <c r="EDG1372" i="2"/>
  <c r="EDG1373" i="2"/>
  <c r="EDG1374" i="2"/>
  <c r="EDG1375" i="2"/>
  <c r="EDG1376" i="2"/>
  <c r="EDG1377" i="2"/>
  <c r="EDG1378" i="2"/>
  <c r="EDG1379" i="2"/>
  <c r="EDG1380" i="2"/>
  <c r="EDG1381" i="2"/>
  <c r="EDG1382" i="2"/>
  <c r="EDG1383" i="2"/>
  <c r="EDG1384" i="2"/>
  <c r="EDG1385" i="2"/>
  <c r="EDG1386" i="2"/>
  <c r="EDG1387" i="2"/>
  <c r="EDG1388" i="2"/>
  <c r="EDG1389" i="2"/>
  <c r="EDG1390" i="2"/>
  <c r="EDG1391" i="2"/>
  <c r="EDG1392" i="2"/>
  <c r="EDG1393" i="2"/>
  <c r="EDG1394" i="2"/>
  <c r="EDG1395" i="2"/>
  <c r="EDG1396" i="2"/>
  <c r="EDG1397" i="2"/>
  <c r="EDG1398" i="2"/>
  <c r="EDG1399" i="2"/>
  <c r="EDG1400" i="2"/>
  <c r="EDG1401" i="2"/>
  <c r="EDG1402" i="2"/>
  <c r="EDG1403" i="2"/>
  <c r="EDG1404" i="2"/>
  <c r="EDG1405" i="2"/>
  <c r="EDG1406" i="2"/>
  <c r="EDG1407" i="2"/>
  <c r="EDG1408" i="2"/>
  <c r="EDG1409" i="2"/>
  <c r="EDG1410" i="2"/>
  <c r="EDG1411" i="2"/>
  <c r="EDG1412" i="2"/>
  <c r="EDG1413" i="2"/>
  <c r="EDG1414" i="2"/>
  <c r="EDG1415" i="2"/>
  <c r="EDG1416" i="2"/>
  <c r="EDG1417" i="2"/>
  <c r="EDG1418" i="2"/>
  <c r="EDG1419" i="2"/>
  <c r="EDG1420" i="2"/>
  <c r="EDG1421" i="2"/>
  <c r="EDG1422" i="2"/>
  <c r="EDG1423" i="2"/>
  <c r="EDG1424" i="2"/>
  <c r="EDG1425" i="2"/>
  <c r="EDG1426" i="2"/>
  <c r="EDG1427" i="2"/>
  <c r="EDG1428" i="2"/>
  <c r="EDG1429" i="2"/>
  <c r="EDG1430" i="2"/>
  <c r="EDG1431" i="2"/>
  <c r="EDG1432" i="2"/>
  <c r="EDG1433" i="2"/>
  <c r="EDG1434" i="2"/>
  <c r="EDG1435" i="2"/>
  <c r="EDG1436" i="2"/>
  <c r="EDG1437" i="2"/>
  <c r="EDG1438" i="2"/>
  <c r="EDG1439" i="2"/>
  <c r="EDG1440" i="2"/>
  <c r="EDG1441" i="2"/>
  <c r="EDG1442" i="2"/>
  <c r="EDG1443" i="2"/>
  <c r="EDG1444" i="2"/>
  <c r="EDG1445" i="2"/>
  <c r="EDG1446" i="2"/>
  <c r="EDG1447" i="2"/>
  <c r="EDG1448" i="2"/>
  <c r="EDG1449" i="2"/>
  <c r="EDG1450" i="2"/>
  <c r="EDG1451" i="2"/>
  <c r="EDG1452" i="2"/>
  <c r="EDG1453" i="2"/>
  <c r="EDG1454" i="2"/>
  <c r="EDG1455" i="2"/>
  <c r="EDG1456" i="2"/>
  <c r="EDG1457" i="2"/>
  <c r="EDG1458" i="2"/>
  <c r="EDG1459" i="2"/>
  <c r="EDG1460" i="2"/>
  <c r="EDG1461" i="2"/>
  <c r="EDG1462" i="2"/>
  <c r="EDG1463" i="2"/>
  <c r="EDG1464" i="2"/>
  <c r="EDG1465" i="2"/>
  <c r="EDG1466" i="2"/>
  <c r="EDG1467" i="2"/>
  <c r="EDG1468" i="2"/>
  <c r="EDG1469" i="2"/>
  <c r="EDG1470" i="2"/>
  <c r="EDG1471" i="2"/>
  <c r="EDG1472" i="2"/>
  <c r="EDG1473" i="2"/>
  <c r="EDG1474" i="2"/>
  <c r="EDG1475" i="2"/>
  <c r="EDG1476" i="2"/>
  <c r="EDG1477" i="2"/>
  <c r="EDG1478" i="2"/>
  <c r="EDG1479" i="2"/>
  <c r="EDG1480" i="2"/>
  <c r="EDG1481" i="2"/>
  <c r="EDG1482" i="2"/>
  <c r="EDG1483" i="2"/>
  <c r="EDG1484" i="2"/>
  <c r="EDG1485" i="2"/>
  <c r="EDG1486" i="2"/>
  <c r="EDG1487" i="2"/>
  <c r="EDG1488" i="2"/>
  <c r="EDG1489" i="2"/>
  <c r="EDG1490" i="2"/>
  <c r="EDG1491" i="2"/>
  <c r="EDG1492" i="2"/>
  <c r="EDG1493" i="2"/>
  <c r="EDG1494" i="2"/>
  <c r="EDG1495" i="2"/>
  <c r="EDG1496" i="2"/>
  <c r="EDG1497" i="2"/>
  <c r="EDG1498" i="2"/>
  <c r="EDG1499" i="2"/>
  <c r="EDG1500" i="2"/>
  <c r="EDG1501" i="2"/>
  <c r="EDG1502" i="2"/>
  <c r="EDG1503" i="2"/>
  <c r="EDG1504" i="2"/>
  <c r="EDG1505" i="2"/>
  <c r="EDG1506" i="2"/>
  <c r="EDG1507" i="2"/>
  <c r="EDG1508" i="2"/>
  <c r="EDG1509" i="2"/>
  <c r="EDG1510" i="2"/>
  <c r="EDG1511" i="2"/>
  <c r="EDG1512" i="2"/>
  <c r="EDG1513" i="2"/>
  <c r="EDG1514" i="2"/>
  <c r="EDG1515" i="2"/>
  <c r="EDG1516" i="2"/>
  <c r="EDG1517" i="2"/>
  <c r="EDG1518" i="2"/>
  <c r="EDG1519" i="2"/>
  <c r="EDG1520" i="2"/>
  <c r="EDG1521" i="2"/>
  <c r="EDG1522" i="2"/>
  <c r="EDG1523" i="2"/>
  <c r="EDG1524" i="2"/>
  <c r="EDG1525" i="2"/>
  <c r="EDG1526" i="2"/>
  <c r="EDG1527" i="2"/>
  <c r="EDG1528" i="2"/>
  <c r="EDG1529" i="2"/>
  <c r="EDG1530" i="2"/>
  <c r="EDG1531" i="2"/>
  <c r="EDG1532" i="2"/>
  <c r="EDG1533" i="2"/>
  <c r="EDG1534" i="2"/>
  <c r="EDG1535" i="2"/>
  <c r="EDG1536" i="2"/>
  <c r="EDG1537" i="2"/>
  <c r="EDG1538" i="2"/>
  <c r="EDG1539" i="2"/>
  <c r="EDG1540" i="2"/>
  <c r="EDG1541" i="2"/>
  <c r="EDG1542" i="2"/>
  <c r="EDG1543" i="2"/>
  <c r="EDG1544" i="2"/>
  <c r="EDG1545" i="2"/>
  <c r="EDG1546" i="2"/>
  <c r="EDG1547" i="2"/>
  <c r="EDG1548" i="2"/>
  <c r="EDG1549" i="2"/>
  <c r="EDG1550" i="2"/>
  <c r="EDG1551" i="2"/>
  <c r="EDG1552" i="2"/>
  <c r="EDG1553" i="2"/>
  <c r="EDG1554" i="2"/>
  <c r="EDG1555" i="2"/>
  <c r="EDG1556" i="2"/>
  <c r="EDG1557" i="2"/>
  <c r="EDG1558" i="2"/>
  <c r="EDG1559" i="2"/>
  <c r="EDG1560" i="2"/>
  <c r="EDG1561" i="2"/>
  <c r="EDG1562" i="2"/>
  <c r="EDG1563" i="2"/>
  <c r="EDG1564" i="2"/>
  <c r="EDG1565" i="2"/>
  <c r="EDG1566" i="2"/>
  <c r="EDG1567" i="2"/>
  <c r="EDG1568" i="2"/>
  <c r="EDG1569" i="2"/>
  <c r="EDG1570" i="2"/>
  <c r="EDG1571" i="2"/>
  <c r="EDG1572" i="2"/>
  <c r="EDG1573" i="2"/>
  <c r="EDG1574" i="2"/>
  <c r="EDG1575" i="2"/>
  <c r="EDG1576" i="2"/>
  <c r="EDG1577" i="2"/>
  <c r="EDG1578" i="2"/>
  <c r="EDG1579" i="2"/>
  <c r="EDG1580" i="2"/>
  <c r="EDG1581" i="2"/>
  <c r="EDG1582" i="2"/>
  <c r="EDG1583" i="2"/>
  <c r="EDG1584" i="2"/>
  <c r="EDG1585" i="2"/>
  <c r="EDG1586" i="2"/>
  <c r="EDG1587" i="2"/>
  <c r="EDG1588" i="2"/>
  <c r="EDG1589" i="2"/>
  <c r="EDG1590" i="2"/>
  <c r="EDG1591" i="2"/>
  <c r="EDG1592" i="2"/>
  <c r="EDG1593" i="2"/>
  <c r="EDG1594" i="2"/>
  <c r="EDG1595" i="2"/>
  <c r="EDG1596" i="2"/>
  <c r="EDG1597" i="2"/>
  <c r="EDG1598" i="2"/>
  <c r="EDG1599" i="2"/>
  <c r="EDG1600" i="2"/>
  <c r="EDG1601" i="2"/>
  <c r="EDG1602" i="2"/>
  <c r="EDG1603" i="2"/>
  <c r="EDG1604" i="2"/>
  <c r="EDG1605" i="2"/>
  <c r="EDG1606" i="2"/>
  <c r="EDG1607" i="2"/>
  <c r="EDG1608" i="2"/>
  <c r="EDG1609" i="2"/>
  <c r="EDG1610" i="2"/>
  <c r="EDG1611" i="2"/>
  <c r="EDG1612" i="2"/>
  <c r="EDG1613" i="2"/>
  <c r="EDG1614" i="2"/>
  <c r="EDG1615" i="2"/>
  <c r="EDG1616" i="2"/>
  <c r="EDG1617" i="2"/>
  <c r="EDG1618" i="2"/>
  <c r="EDG1619" i="2"/>
  <c r="EDG1620" i="2"/>
  <c r="EDG1621" i="2"/>
  <c r="EDG1622" i="2"/>
  <c r="EDG1623" i="2"/>
  <c r="EDG1624" i="2"/>
  <c r="EDG1625" i="2"/>
  <c r="EDG1626" i="2"/>
  <c r="EDG1627" i="2"/>
  <c r="EDG1628" i="2"/>
  <c r="EDG1629" i="2"/>
  <c r="EDG1630" i="2"/>
  <c r="EDG1631" i="2"/>
  <c r="EDG1632" i="2"/>
  <c r="EDG1633" i="2"/>
  <c r="EDG1634" i="2"/>
  <c r="EDG1635" i="2"/>
  <c r="EDG1636" i="2"/>
  <c r="EDG1637" i="2"/>
  <c r="EDG1638" i="2"/>
  <c r="EDG1639" i="2"/>
  <c r="EDG1640" i="2"/>
  <c r="EDG1641" i="2"/>
  <c r="EDG1642" i="2"/>
  <c r="EDG1643" i="2"/>
  <c r="EDG1644" i="2"/>
  <c r="EDG1645" i="2"/>
  <c r="EDG1646" i="2"/>
  <c r="EDG1647" i="2"/>
  <c r="EDG1648" i="2"/>
  <c r="EDG1649" i="2"/>
  <c r="EDG1650" i="2"/>
  <c r="EDG1651" i="2"/>
  <c r="EDG1652" i="2"/>
  <c r="EDG1653" i="2"/>
  <c r="EDG1654" i="2"/>
  <c r="EDG1655" i="2"/>
  <c r="EDG1656" i="2"/>
  <c r="EDG1657" i="2"/>
  <c r="EDG1658" i="2"/>
  <c r="EDG1659" i="2"/>
  <c r="EDG1660" i="2"/>
  <c r="EDG1661" i="2"/>
  <c r="EDG1662" i="2"/>
  <c r="EDG1663" i="2"/>
  <c r="EDG1664" i="2"/>
  <c r="EDG1665" i="2"/>
  <c r="EDG1666" i="2"/>
  <c r="EDG1667" i="2"/>
  <c r="EDG1668" i="2"/>
  <c r="EDG1669" i="2"/>
  <c r="EDG1670" i="2"/>
  <c r="EDG1671" i="2"/>
  <c r="EDG1672" i="2"/>
  <c r="EDG1673" i="2"/>
  <c r="EDG1674" i="2"/>
  <c r="EDG1675" i="2"/>
  <c r="EDG1676" i="2"/>
  <c r="EDG1677" i="2"/>
  <c r="EDG1678" i="2"/>
  <c r="EDG1679" i="2"/>
  <c r="EDG1680" i="2"/>
  <c r="EDG1681" i="2"/>
  <c r="EDG1682" i="2"/>
  <c r="EDG1683" i="2"/>
  <c r="EDG1684" i="2"/>
  <c r="EDG1685" i="2"/>
  <c r="EDG1686" i="2"/>
  <c r="EDG1687" i="2"/>
  <c r="EDG1688" i="2"/>
  <c r="EDG1689" i="2"/>
  <c r="EDG1690" i="2"/>
  <c r="EDG1691" i="2"/>
  <c r="EDG1692" i="2"/>
  <c r="EDG1693" i="2"/>
  <c r="EDG1694" i="2"/>
  <c r="EDG1695" i="2"/>
  <c r="EDG1696" i="2"/>
  <c r="EDG1697" i="2"/>
  <c r="EDG1698" i="2"/>
  <c r="EDG1699" i="2"/>
  <c r="EDG1700" i="2"/>
  <c r="EDG1701" i="2"/>
  <c r="EDG1702" i="2"/>
  <c r="EDG1703" i="2"/>
  <c r="EDG1704" i="2"/>
  <c r="EDG1705" i="2"/>
  <c r="EDG1706" i="2"/>
  <c r="EDG1707" i="2"/>
  <c r="EDG1708" i="2"/>
  <c r="EDG1709" i="2"/>
  <c r="EDG1710" i="2"/>
  <c r="EDG1711" i="2"/>
  <c r="EDG1712" i="2"/>
  <c r="EDG1713" i="2"/>
  <c r="EDG1714" i="2"/>
  <c r="EDG1715" i="2"/>
  <c r="EDG1716" i="2"/>
  <c r="EDG1717" i="2"/>
  <c r="EDG1718" i="2"/>
  <c r="EDG1719" i="2"/>
  <c r="EDG1720" i="2"/>
  <c r="EDG1721" i="2"/>
  <c r="EDG1722" i="2"/>
  <c r="EDG1723" i="2"/>
  <c r="EDG1724" i="2"/>
  <c r="EDG1725" i="2"/>
  <c r="EDG1726" i="2"/>
  <c r="EDG1727" i="2"/>
  <c r="EDG1728" i="2"/>
  <c r="EDG1729" i="2"/>
  <c r="EDG1730" i="2"/>
  <c r="EDG1731" i="2"/>
  <c r="EDG1732" i="2"/>
  <c r="EDG1733" i="2"/>
  <c r="EDG1734" i="2"/>
  <c r="EDG1735" i="2"/>
  <c r="EDG1736" i="2"/>
  <c r="EDG1737" i="2"/>
  <c r="EDG1738" i="2"/>
  <c r="EDG1739" i="2"/>
  <c r="EDG1740" i="2"/>
  <c r="EDG1741" i="2"/>
  <c r="EDG1742" i="2"/>
  <c r="EDG1743" i="2"/>
  <c r="EDG1744" i="2"/>
  <c r="EDG1745" i="2"/>
  <c r="EDG1746" i="2"/>
  <c r="EDG1747" i="2"/>
  <c r="EDG1748" i="2"/>
  <c r="EDG1749" i="2"/>
  <c r="EDG1750" i="2"/>
  <c r="EDG1751" i="2"/>
  <c r="EDG1752" i="2"/>
  <c r="EDG1753" i="2"/>
  <c r="EDG1754" i="2"/>
  <c r="EDG1755" i="2"/>
  <c r="EDG1756" i="2"/>
  <c r="EDG1757" i="2"/>
  <c r="EDG1758" i="2"/>
  <c r="EDG1759" i="2"/>
  <c r="EDG1760" i="2"/>
  <c r="EDG1761" i="2"/>
  <c r="EDG1762" i="2"/>
  <c r="EDG1763" i="2"/>
  <c r="EDG1764" i="2"/>
  <c r="EDG1765" i="2"/>
  <c r="EDG1766" i="2"/>
  <c r="EDG1767" i="2"/>
  <c r="EDG1768" i="2"/>
  <c r="EDG1769" i="2"/>
  <c r="EDG1770" i="2"/>
  <c r="EDG1771" i="2"/>
  <c r="EDG1772" i="2"/>
  <c r="EDG1773" i="2"/>
  <c r="EDG1774" i="2"/>
  <c r="EDG1775" i="2"/>
  <c r="EDG1776" i="2"/>
  <c r="EDG1777" i="2"/>
  <c r="EDG1778" i="2"/>
</calcChain>
</file>

<file path=xl/sharedStrings.xml><?xml version="1.0" encoding="utf-8"?>
<sst xmlns="http://schemas.openxmlformats.org/spreadsheetml/2006/main" count="10530" uniqueCount="5272">
  <si>
    <t>monday_model.lp</t>
  </si>
  <si>
    <t>C:\Users\ubeen\engsci263\monday_model.lp</t>
  </si>
  <si>
    <t xml:space="preserve"> </t>
  </si>
  <si>
    <t>lease_Mon_00001</t>
  </si>
  <si>
    <t>lease_Mon_00002</t>
  </si>
  <si>
    <t>lease_Mon_00003</t>
  </si>
  <si>
    <t>lease_Mon_00004</t>
  </si>
  <si>
    <t>lease_Mon_00005</t>
  </si>
  <si>
    <t>lease_Mon_00006</t>
  </si>
  <si>
    <t>lease_Mon_00007</t>
  </si>
  <si>
    <t>lease_Mon_00008</t>
  </si>
  <si>
    <t>lease_Mon_00009</t>
  </si>
  <si>
    <t>lease_Mon_00010</t>
  </si>
  <si>
    <t>lease_Mon_00011</t>
  </si>
  <si>
    <t>lease_Mon_00012</t>
  </si>
  <si>
    <t>lease_Mon_00013</t>
  </si>
  <si>
    <t>lease_Mon_00014</t>
  </si>
  <si>
    <t>lease_Mon_00015</t>
  </si>
  <si>
    <t>lease_Mon_00016</t>
  </si>
  <si>
    <t>lease_Mon_00017</t>
  </si>
  <si>
    <t>lease_Mon_00018</t>
  </si>
  <si>
    <t>lease_Mon_00019</t>
  </si>
  <si>
    <t>lease_Mon_00020</t>
  </si>
  <si>
    <t>lease_Mon_00021</t>
  </si>
  <si>
    <t>lease_Mon_00022</t>
  </si>
  <si>
    <t>lease_Mon_00023</t>
  </si>
  <si>
    <t>lease_Mon_00024</t>
  </si>
  <si>
    <t>lease_Mon_00025</t>
  </si>
  <si>
    <t>lease_Mon_00026</t>
  </si>
  <si>
    <t>lease_Mon_00027</t>
  </si>
  <si>
    <t>lease_Mon_00028</t>
  </si>
  <si>
    <t>lease_Mon_00029</t>
  </si>
  <si>
    <t>lease_Mon_00030</t>
  </si>
  <si>
    <t>lease_Mon_00031</t>
  </si>
  <si>
    <t>lease_Mon_00032</t>
  </si>
  <si>
    <t>lease_Mon_00033</t>
  </si>
  <si>
    <t>lease_Mon_00034</t>
  </si>
  <si>
    <t>lease_Mon_00035</t>
  </si>
  <si>
    <t>lease_Mon_00036</t>
  </si>
  <si>
    <t>lease_Mon_00037</t>
  </si>
  <si>
    <t>lease_Mon_00038</t>
  </si>
  <si>
    <t>lease_Mon_00039</t>
  </si>
  <si>
    <t>lease_Mon_00040</t>
  </si>
  <si>
    <t>lease_Mon_00041</t>
  </si>
  <si>
    <t>lease_Mon_00042</t>
  </si>
  <si>
    <t>lease_Mon_00043</t>
  </si>
  <si>
    <t>lease_Mon_00044</t>
  </si>
  <si>
    <t>lease_Mon_00045</t>
  </si>
  <si>
    <t>lease_Mon_00046</t>
  </si>
  <si>
    <t>lease_Mon_00047</t>
  </si>
  <si>
    <t>lease_Mon_00048</t>
  </si>
  <si>
    <t>lease_Mon_00049</t>
  </si>
  <si>
    <t>lease_Mon_00050</t>
  </si>
  <si>
    <t>lease_Mon_00051</t>
  </si>
  <si>
    <t>lease_Mon_00052</t>
  </si>
  <si>
    <t>lease_Mon_00053</t>
  </si>
  <si>
    <t>lease_Mon_00054</t>
  </si>
  <si>
    <t>lease_Mon_00055</t>
  </si>
  <si>
    <t>lease_Mon_00056</t>
  </si>
  <si>
    <t>lease_Mon_00057</t>
  </si>
  <si>
    <t>lease_Mon_00058</t>
  </si>
  <si>
    <t>lease_Mon_00059</t>
  </si>
  <si>
    <t>lease_Mon_00060</t>
  </si>
  <si>
    <t>lease_Mon_00061</t>
  </si>
  <si>
    <t>lease_Mon_00062</t>
  </si>
  <si>
    <t>lease_Mon_00063</t>
  </si>
  <si>
    <t>lease_Mon_00064</t>
  </si>
  <si>
    <t>lease_Mon_00065</t>
  </si>
  <si>
    <t>lease_Mon_00066</t>
  </si>
  <si>
    <t>lease_Mon_00067</t>
  </si>
  <si>
    <t>lease_Mon_00068</t>
  </si>
  <si>
    <t>lease_Mon_00069</t>
  </si>
  <si>
    <t>lease_Mon_00070</t>
  </si>
  <si>
    <t>lease_Mon_00071</t>
  </si>
  <si>
    <t>lease_Mon_00072</t>
  </si>
  <si>
    <t>lease_Mon_00073</t>
  </si>
  <si>
    <t>lease_Mon_00074</t>
  </si>
  <si>
    <t>lease_Mon_00075</t>
  </si>
  <si>
    <t>lease_Mon_00076</t>
  </si>
  <si>
    <t>lease_Mon_00077</t>
  </si>
  <si>
    <t>lease_Mon_00078</t>
  </si>
  <si>
    <t>lease_Mon_00079</t>
  </si>
  <si>
    <t>lease_Mon_00080</t>
  </si>
  <si>
    <t>lease_Mon_00081</t>
  </si>
  <si>
    <t>lease_Mon_00082</t>
  </si>
  <si>
    <t>lease_Mon_00083</t>
  </si>
  <si>
    <t>lease_Mon_00084</t>
  </si>
  <si>
    <t>lease_Mon_00085</t>
  </si>
  <si>
    <t>lease_Mon_00086</t>
  </si>
  <si>
    <t>lease_Mon_00087</t>
  </si>
  <si>
    <t>lease_Mon_00088</t>
  </si>
  <si>
    <t>lease_Mon_00089</t>
  </si>
  <si>
    <t>lease_Mon_00090</t>
  </si>
  <si>
    <t>lease_Mon_00091</t>
  </si>
  <si>
    <t>lease_Mon_00092</t>
  </si>
  <si>
    <t>lease_Mon_00093</t>
  </si>
  <si>
    <t>lease_Mon_00094</t>
  </si>
  <si>
    <t>lease_Mon_00095</t>
  </si>
  <si>
    <t>lease_Mon_00096</t>
  </si>
  <si>
    <t>lease_Mon_00097</t>
  </si>
  <si>
    <t>lease_Mon_00098</t>
  </si>
  <si>
    <t>lease_Mon_00099</t>
  </si>
  <si>
    <t>lease_Mon_00100</t>
  </si>
  <si>
    <t>lease_Mon_00101</t>
  </si>
  <si>
    <t>lease_Mon_00102</t>
  </si>
  <si>
    <t>lease_Mon_00103</t>
  </si>
  <si>
    <t>lease_Mon_00104</t>
  </si>
  <si>
    <t>lease_Mon_00105</t>
  </si>
  <si>
    <t>lease_Mon_00106</t>
  </si>
  <si>
    <t>lease_Mon_00107</t>
  </si>
  <si>
    <t>lease_Mon_00108</t>
  </si>
  <si>
    <t>lease_Mon_00109</t>
  </si>
  <si>
    <t>lease_Mon_00110</t>
  </si>
  <si>
    <t>lease_Mon_00111</t>
  </si>
  <si>
    <t>lease_Mon_00112</t>
  </si>
  <si>
    <t>lease_Mon_00113</t>
  </si>
  <si>
    <t>lease_Mon_00114</t>
  </si>
  <si>
    <t>lease_Mon_00115</t>
  </si>
  <si>
    <t>lease_Mon_00116</t>
  </si>
  <si>
    <t>lease_Mon_00117</t>
  </si>
  <si>
    <t>lease_Mon_00118</t>
  </si>
  <si>
    <t>lease_Mon_00119</t>
  </si>
  <si>
    <t>lease_Mon_00120</t>
  </si>
  <si>
    <t>lease_Mon_00121</t>
  </si>
  <si>
    <t>lease_Mon_00122</t>
  </si>
  <si>
    <t>lease_Mon_00123</t>
  </si>
  <si>
    <t>lease_Mon_00124</t>
  </si>
  <si>
    <t>lease_Mon_00125</t>
  </si>
  <si>
    <t>lease_Mon_00126</t>
  </si>
  <si>
    <t>lease_Mon_00127</t>
  </si>
  <si>
    <t>lease_Mon_00128</t>
  </si>
  <si>
    <t>lease_Mon_00129</t>
  </si>
  <si>
    <t>lease_Mon_00130</t>
  </si>
  <si>
    <t>lease_Mon_00131</t>
  </si>
  <si>
    <t>lease_Mon_00132</t>
  </si>
  <si>
    <t>lease_Mon_00133</t>
  </si>
  <si>
    <t>lease_Mon_00134</t>
  </si>
  <si>
    <t>lease_Mon_00135</t>
  </si>
  <si>
    <t>lease_Mon_00136</t>
  </si>
  <si>
    <t>lease_Mon_00137</t>
  </si>
  <si>
    <t>lease_Mon_00138</t>
  </si>
  <si>
    <t>lease_Mon_00139</t>
  </si>
  <si>
    <t>lease_Mon_00140</t>
  </si>
  <si>
    <t>lease_Mon_00141</t>
  </si>
  <si>
    <t>lease_Mon_00142</t>
  </si>
  <si>
    <t>lease_Mon_00143</t>
  </si>
  <si>
    <t>lease_Mon_00144</t>
  </si>
  <si>
    <t>lease_Mon_00145</t>
  </si>
  <si>
    <t>lease_Mon_00146</t>
  </si>
  <si>
    <t>lease_Mon_00147</t>
  </si>
  <si>
    <t>lease_Mon_00148</t>
  </si>
  <si>
    <t>lease_Mon_00149</t>
  </si>
  <si>
    <t>lease_Mon_00150</t>
  </si>
  <si>
    <t>lease_Mon_00151</t>
  </si>
  <si>
    <t>lease_Mon_00152</t>
  </si>
  <si>
    <t>lease_Mon_00153</t>
  </si>
  <si>
    <t>lease_Mon_00154</t>
  </si>
  <si>
    <t>lease_Mon_00155</t>
  </si>
  <si>
    <t>lease_Mon_00156</t>
  </si>
  <si>
    <t>lease_Mon_00157</t>
  </si>
  <si>
    <t>lease_Mon_00158</t>
  </si>
  <si>
    <t>lease_Mon_00159</t>
  </si>
  <si>
    <t>lease_Mon_00160</t>
  </si>
  <si>
    <t>lease_Mon_00161</t>
  </si>
  <si>
    <t>lease_Mon_00162</t>
  </si>
  <si>
    <t>lease_Mon_00163</t>
  </si>
  <si>
    <t>lease_Mon_00164</t>
  </si>
  <si>
    <t>lease_Mon_00165</t>
  </si>
  <si>
    <t>lease_Mon_00166</t>
  </si>
  <si>
    <t>lease_Mon_00167</t>
  </si>
  <si>
    <t>lease_Mon_00168</t>
  </si>
  <si>
    <t>lease_Mon_00169</t>
  </si>
  <si>
    <t>lease_Mon_00170</t>
  </si>
  <si>
    <t>lease_Mon_00171</t>
  </si>
  <si>
    <t>lease_Mon_00172</t>
  </si>
  <si>
    <t>lease_Mon_00173</t>
  </si>
  <si>
    <t>lease_Mon_00174</t>
  </si>
  <si>
    <t>lease_Mon_00175</t>
  </si>
  <si>
    <t>lease_Mon_00176</t>
  </si>
  <si>
    <t>lease_Mon_00177</t>
  </si>
  <si>
    <t>lease_Mon_00178</t>
  </si>
  <si>
    <t>lease_Mon_00179</t>
  </si>
  <si>
    <t>lease_Mon_00180</t>
  </si>
  <si>
    <t>lease_Mon_00181</t>
  </si>
  <si>
    <t>lease_Mon_00182</t>
  </si>
  <si>
    <t>lease_Mon_00183</t>
  </si>
  <si>
    <t>lease_Mon_00184</t>
  </si>
  <si>
    <t>lease_Mon_00185</t>
  </si>
  <si>
    <t>lease_Mon_00186</t>
  </si>
  <si>
    <t>lease_Mon_00187</t>
  </si>
  <si>
    <t>lease_Mon_00188</t>
  </si>
  <si>
    <t>lease_Mon_00189</t>
  </si>
  <si>
    <t>lease_Mon_00190</t>
  </si>
  <si>
    <t>lease_Mon_00191</t>
  </si>
  <si>
    <t>lease_Mon_00192</t>
  </si>
  <si>
    <t>lease_Mon_00193</t>
  </si>
  <si>
    <t>lease_Mon_00194</t>
  </si>
  <si>
    <t>lease_Mon_00195</t>
  </si>
  <si>
    <t>lease_Mon_00196</t>
  </si>
  <si>
    <t>lease_Mon_00197</t>
  </si>
  <si>
    <t>lease_Mon_00198</t>
  </si>
  <si>
    <t>lease_Mon_00199</t>
  </si>
  <si>
    <t>lease_Mon_00200</t>
  </si>
  <si>
    <t>lease_Mon_00201</t>
  </si>
  <si>
    <t>lease_Mon_00202</t>
  </si>
  <si>
    <t>lease_Mon_00203</t>
  </si>
  <si>
    <t>lease_Mon_00204</t>
  </si>
  <si>
    <t>lease_Mon_00205</t>
  </si>
  <si>
    <t>lease_Mon_00206</t>
  </si>
  <si>
    <t>lease_Mon_00207</t>
  </si>
  <si>
    <t>lease_Mon_00208</t>
  </si>
  <si>
    <t>lease_Mon_00209</t>
  </si>
  <si>
    <t>lease_Mon_00210</t>
  </si>
  <si>
    <t>lease_Mon_00211</t>
  </si>
  <si>
    <t>lease_Mon_00212</t>
  </si>
  <si>
    <t>lease_Mon_00213</t>
  </si>
  <si>
    <t>lease_Mon_00214</t>
  </si>
  <si>
    <t>lease_Mon_00215</t>
  </si>
  <si>
    <t>lease_Mon_00216</t>
  </si>
  <si>
    <t>lease_Mon_00217</t>
  </si>
  <si>
    <t>lease_Mon_00218</t>
  </si>
  <si>
    <t>lease_Mon_00219</t>
  </si>
  <si>
    <t>lease_Mon_00220</t>
  </si>
  <si>
    <t>lease_Mon_00221</t>
  </si>
  <si>
    <t>lease_Mon_00222</t>
  </si>
  <si>
    <t>lease_Mon_00223</t>
  </si>
  <si>
    <t>lease_Mon_00224</t>
  </si>
  <si>
    <t>lease_Mon_00225</t>
  </si>
  <si>
    <t>lease_Mon_00226</t>
  </si>
  <si>
    <t>lease_Mon_00227</t>
  </si>
  <si>
    <t>lease_Mon_00228</t>
  </si>
  <si>
    <t>lease_Mon_00229</t>
  </si>
  <si>
    <t>lease_Mon_00230</t>
  </si>
  <si>
    <t>lease_Mon_00231</t>
  </si>
  <si>
    <t>lease_Mon_00232</t>
  </si>
  <si>
    <t>lease_Mon_00233</t>
  </si>
  <si>
    <t>lease_Mon_00234</t>
  </si>
  <si>
    <t>lease_Mon_00235</t>
  </si>
  <si>
    <t>lease_Mon_00236</t>
  </si>
  <si>
    <t>lease_Mon_00237</t>
  </si>
  <si>
    <t>lease_Mon_00238</t>
  </si>
  <si>
    <t>lease_Mon_00239</t>
  </si>
  <si>
    <t>lease_Mon_00240</t>
  </si>
  <si>
    <t>lease_Mon_00241</t>
  </si>
  <si>
    <t>lease_Mon_00242</t>
  </si>
  <si>
    <t>lease_Mon_00243</t>
  </si>
  <si>
    <t>lease_Mon_00244</t>
  </si>
  <si>
    <t>lease_Mon_00245</t>
  </si>
  <si>
    <t>lease_Mon_00246</t>
  </si>
  <si>
    <t>lease_Mon_00247</t>
  </si>
  <si>
    <t>lease_Mon_00248</t>
  </si>
  <si>
    <t>lease_Mon_00249</t>
  </si>
  <si>
    <t>lease_Mon_00250</t>
  </si>
  <si>
    <t>lease_Mon_00251</t>
  </si>
  <si>
    <t>lease_Mon_00252</t>
  </si>
  <si>
    <t>lease_Mon_00253</t>
  </si>
  <si>
    <t>lease_Mon_00254</t>
  </si>
  <si>
    <t>lease_Mon_00255</t>
  </si>
  <si>
    <t>lease_Mon_00256</t>
  </si>
  <si>
    <t>lease_Mon_00257</t>
  </si>
  <si>
    <t>lease_Mon_00258</t>
  </si>
  <si>
    <t>lease_Mon_00259</t>
  </si>
  <si>
    <t>lease_Mon_00260</t>
  </si>
  <si>
    <t>lease_Mon_00261</t>
  </si>
  <si>
    <t>lease_Mon_00262</t>
  </si>
  <si>
    <t>lease_Mon_00263</t>
  </si>
  <si>
    <t>lease_Mon_00264</t>
  </si>
  <si>
    <t>lease_Mon_00265</t>
  </si>
  <si>
    <t>lease_Mon_00266</t>
  </si>
  <si>
    <t>lease_Mon_00267</t>
  </si>
  <si>
    <t>lease_Mon_00268</t>
  </si>
  <si>
    <t>lease_Mon_00269</t>
  </si>
  <si>
    <t>lease_Mon_00270</t>
  </si>
  <si>
    <t>lease_Mon_00271</t>
  </si>
  <si>
    <t>lease_Mon_00272</t>
  </si>
  <si>
    <t>lease_Mon_00273</t>
  </si>
  <si>
    <t>lease_Mon_00274</t>
  </si>
  <si>
    <t>lease_Mon_00275</t>
  </si>
  <si>
    <t>lease_Mon_00276</t>
  </si>
  <si>
    <t>lease_Mon_00277</t>
  </si>
  <si>
    <t>lease_Mon_00278</t>
  </si>
  <si>
    <t>lease_Mon_00279</t>
  </si>
  <si>
    <t>lease_Mon_00280</t>
  </si>
  <si>
    <t>lease_Mon_00281</t>
  </si>
  <si>
    <t>lease_Mon_00282</t>
  </si>
  <si>
    <t>lease_Mon_00283</t>
  </si>
  <si>
    <t>lease_Mon_00284</t>
  </si>
  <si>
    <t>lease_Mon_00285</t>
  </si>
  <si>
    <t>lease_Mon_00286</t>
  </si>
  <si>
    <t>lease_Mon_00287</t>
  </si>
  <si>
    <t>lease_Mon_00288</t>
  </si>
  <si>
    <t>lease_Mon_00289</t>
  </si>
  <si>
    <t>lease_Mon_00290</t>
  </si>
  <si>
    <t>lease_Mon_00291</t>
  </si>
  <si>
    <t>lease_Mon_00292</t>
  </si>
  <si>
    <t>lease_Mon_00293</t>
  </si>
  <si>
    <t>lease_Mon_00294</t>
  </si>
  <si>
    <t>lease_Mon_00295</t>
  </si>
  <si>
    <t>lease_Mon_00296</t>
  </si>
  <si>
    <t>lease_Mon_00297</t>
  </si>
  <si>
    <t>lease_Mon_00298</t>
  </si>
  <si>
    <t>lease_Mon_00299</t>
  </si>
  <si>
    <t>lease_Mon_00300</t>
  </si>
  <si>
    <t>lease_Mon_00301</t>
  </si>
  <si>
    <t>lease_Mon_00302</t>
  </si>
  <si>
    <t>lease_Mon_00303</t>
  </si>
  <si>
    <t>lease_Mon_00304</t>
  </si>
  <si>
    <t>lease_Mon_00305</t>
  </si>
  <si>
    <t>lease_Mon_00306</t>
  </si>
  <si>
    <t>lease_Mon_00307</t>
  </si>
  <si>
    <t>lease_Mon_00308</t>
  </si>
  <si>
    <t>lease_Mon_00309</t>
  </si>
  <si>
    <t>lease_Mon_00310</t>
  </si>
  <si>
    <t>lease_Mon_00311</t>
  </si>
  <si>
    <t>lease_Mon_00312</t>
  </si>
  <si>
    <t>lease_Mon_00313</t>
  </si>
  <si>
    <t>lease_Mon_00314</t>
  </si>
  <si>
    <t>lease_Mon_00315</t>
  </si>
  <si>
    <t>lease_Mon_00316</t>
  </si>
  <si>
    <t>lease_Mon_00317</t>
  </si>
  <si>
    <t>lease_Mon_00318</t>
  </si>
  <si>
    <t>lease_Mon_00319</t>
  </si>
  <si>
    <t>lease_Mon_00320</t>
  </si>
  <si>
    <t>lease_Mon_00321</t>
  </si>
  <si>
    <t>lease_Mon_00322</t>
  </si>
  <si>
    <t>lease_Mon_00323</t>
  </si>
  <si>
    <t>lease_Mon_00324</t>
  </si>
  <si>
    <t>lease_Mon_00325</t>
  </si>
  <si>
    <t>lease_Mon_00326</t>
  </si>
  <si>
    <t>lease_Mon_00327</t>
  </si>
  <si>
    <t>lease_Mon_00328</t>
  </si>
  <si>
    <t>lease_Mon_00329</t>
  </si>
  <si>
    <t>lease_Mon_00330</t>
  </si>
  <si>
    <t>lease_Mon_00331</t>
  </si>
  <si>
    <t>lease_Mon_00332</t>
  </si>
  <si>
    <t>lease_Mon_00333</t>
  </si>
  <si>
    <t>lease_Mon_00334</t>
  </si>
  <si>
    <t>lease_Mon_00335</t>
  </si>
  <si>
    <t>lease_Mon_00336</t>
  </si>
  <si>
    <t>lease_Mon_00337</t>
  </si>
  <si>
    <t>lease_Mon_00338</t>
  </si>
  <si>
    <t>lease_Mon_00339</t>
  </si>
  <si>
    <t>lease_Mon_00340</t>
  </si>
  <si>
    <t>lease_Mon_00341</t>
  </si>
  <si>
    <t>lease_Mon_00342</t>
  </si>
  <si>
    <t>lease_Mon_00343</t>
  </si>
  <si>
    <t>lease_Mon_00344</t>
  </si>
  <si>
    <t>lease_Mon_00345</t>
  </si>
  <si>
    <t>lease_Mon_00346</t>
  </si>
  <si>
    <t>lease_Mon_00347</t>
  </si>
  <si>
    <t>lease_Mon_00348</t>
  </si>
  <si>
    <t>lease_Mon_00349</t>
  </si>
  <si>
    <t>lease_Mon_00350</t>
  </si>
  <si>
    <t>lease_Mon_00351</t>
  </si>
  <si>
    <t>lease_Mon_00352</t>
  </si>
  <si>
    <t>lease_Mon_00353</t>
  </si>
  <si>
    <t>lease_Mon_00354</t>
  </si>
  <si>
    <t>lease_Mon_00355</t>
  </si>
  <si>
    <t>lease_Mon_00356</t>
  </si>
  <si>
    <t>lease_Mon_00357</t>
  </si>
  <si>
    <t>lease_Mon_00358</t>
  </si>
  <si>
    <t>lease_Mon_00359</t>
  </si>
  <si>
    <t>lease_Mon_00360</t>
  </si>
  <si>
    <t>lease_Mon_00361</t>
  </si>
  <si>
    <t>lease_Mon_00362</t>
  </si>
  <si>
    <t>lease_Mon_00363</t>
  </si>
  <si>
    <t>lease_Mon_00364</t>
  </si>
  <si>
    <t>lease_Mon_00365</t>
  </si>
  <si>
    <t>lease_Mon_00366</t>
  </si>
  <si>
    <t>lease_Mon_00367</t>
  </si>
  <si>
    <t>lease_Mon_00368</t>
  </si>
  <si>
    <t>lease_Mon_00369</t>
  </si>
  <si>
    <t>lease_Mon_00370</t>
  </si>
  <si>
    <t>lease_Mon_00371</t>
  </si>
  <si>
    <t>lease_Mon_00372</t>
  </si>
  <si>
    <t>lease_Mon_00373</t>
  </si>
  <si>
    <t>lease_Mon_00374</t>
  </si>
  <si>
    <t>lease_Mon_00375</t>
  </si>
  <si>
    <t>lease_Mon_00376</t>
  </si>
  <si>
    <t>lease_Mon_00377</t>
  </si>
  <si>
    <t>lease_Mon_00378</t>
  </si>
  <si>
    <t>lease_Mon_00379</t>
  </si>
  <si>
    <t>lease_Mon_00380</t>
  </si>
  <si>
    <t>lease_Mon_00381</t>
  </si>
  <si>
    <t>lease_Mon_00382</t>
  </si>
  <si>
    <t>lease_Mon_00383</t>
  </si>
  <si>
    <t>lease_Mon_00384</t>
  </si>
  <si>
    <t>lease_Mon_00385</t>
  </si>
  <si>
    <t>lease_Mon_00386</t>
  </si>
  <si>
    <t>lease_Mon_00387</t>
  </si>
  <si>
    <t>lease_Mon_00388</t>
  </si>
  <si>
    <t>lease_Mon_00389</t>
  </si>
  <si>
    <t>lease_Mon_00390</t>
  </si>
  <si>
    <t>lease_Mon_00391</t>
  </si>
  <si>
    <t>lease_Mon_00392</t>
  </si>
  <si>
    <t>lease_Mon_00393</t>
  </si>
  <si>
    <t>lease_Mon_00394</t>
  </si>
  <si>
    <t>lease_Mon_00395</t>
  </si>
  <si>
    <t>lease_Mon_00396</t>
  </si>
  <si>
    <t>lease_Mon_00397</t>
  </si>
  <si>
    <t>lease_Mon_00398</t>
  </si>
  <si>
    <t>lease_Mon_00399</t>
  </si>
  <si>
    <t>lease_Mon_00400</t>
  </si>
  <si>
    <t>lease_Mon_00401</t>
  </si>
  <si>
    <t>lease_Mon_00402</t>
  </si>
  <si>
    <t>lease_Mon_00403</t>
  </si>
  <si>
    <t>lease_Mon_00404</t>
  </si>
  <si>
    <t>lease_Mon_00405</t>
  </si>
  <si>
    <t>lease_Mon_00406</t>
  </si>
  <si>
    <t>lease_Mon_00407</t>
  </si>
  <si>
    <t>lease_Mon_00408</t>
  </si>
  <si>
    <t>lease_Mon_00409</t>
  </si>
  <si>
    <t>lease_Mon_00410</t>
  </si>
  <si>
    <t>lease_Mon_00411</t>
  </si>
  <si>
    <t>lease_Mon_00412</t>
  </si>
  <si>
    <t>lease_Mon_00413</t>
  </si>
  <si>
    <t>lease_Mon_00414</t>
  </si>
  <si>
    <t>lease_Mon_00415</t>
  </si>
  <si>
    <t>lease_Mon_00416</t>
  </si>
  <si>
    <t>lease_Mon_00417</t>
  </si>
  <si>
    <t>lease_Mon_00418</t>
  </si>
  <si>
    <t>lease_Mon_00419</t>
  </si>
  <si>
    <t>lease_Mon_00420</t>
  </si>
  <si>
    <t>lease_Mon_00421</t>
  </si>
  <si>
    <t>lease_Mon_00422</t>
  </si>
  <si>
    <t>lease_Mon_00423</t>
  </si>
  <si>
    <t>lease_Mon_00424</t>
  </si>
  <si>
    <t>lease_Mon_00425</t>
  </si>
  <si>
    <t>lease_Mon_00426</t>
  </si>
  <si>
    <t>lease_Mon_00427</t>
  </si>
  <si>
    <t>lease_Mon_00428</t>
  </si>
  <si>
    <t>lease_Mon_00429</t>
  </si>
  <si>
    <t>lease_Mon_00430</t>
  </si>
  <si>
    <t>lease_Mon_00431</t>
  </si>
  <si>
    <t>lease_Mon_00432</t>
  </si>
  <si>
    <t>lease_Mon_00433</t>
  </si>
  <si>
    <t>lease_Mon_00434</t>
  </si>
  <si>
    <t>lease_Mon_00435</t>
  </si>
  <si>
    <t>lease_Mon_00436</t>
  </si>
  <si>
    <t>lease_Mon_00437</t>
  </si>
  <si>
    <t>lease_Mon_00438</t>
  </si>
  <si>
    <t>lease_Mon_00439</t>
  </si>
  <si>
    <t>lease_Mon_00440</t>
  </si>
  <si>
    <t>lease_Mon_00441</t>
  </si>
  <si>
    <t>lease_Mon_00442</t>
  </si>
  <si>
    <t>lease_Mon_00443</t>
  </si>
  <si>
    <t>lease_Mon_00444</t>
  </si>
  <si>
    <t>lease_Mon_00445</t>
  </si>
  <si>
    <t>lease_Mon_00446</t>
  </si>
  <si>
    <t>lease_Mon_00447</t>
  </si>
  <si>
    <t>lease_Mon_00448</t>
  </si>
  <si>
    <t>lease_Mon_00449</t>
  </si>
  <si>
    <t>lease_Mon_00450</t>
  </si>
  <si>
    <t>lease_Mon_00451</t>
  </si>
  <si>
    <t>lease_Mon_00452</t>
  </si>
  <si>
    <t>lease_Mon_00453</t>
  </si>
  <si>
    <t>lease_Mon_00454</t>
  </si>
  <si>
    <t>lease_Mon_00455</t>
  </si>
  <si>
    <t>lease_Mon_00456</t>
  </si>
  <si>
    <t>lease_Mon_00457</t>
  </si>
  <si>
    <t>lease_Mon_00458</t>
  </si>
  <si>
    <t>lease_Mon_00459</t>
  </si>
  <si>
    <t>lease_Mon_00460</t>
  </si>
  <si>
    <t>lease_Mon_00461</t>
  </si>
  <si>
    <t>lease_Mon_00462</t>
  </si>
  <si>
    <t>lease_Mon_00463</t>
  </si>
  <si>
    <t>lease_Mon_00464</t>
  </si>
  <si>
    <t>lease_Mon_00465</t>
  </si>
  <si>
    <t>lease_Mon_00466</t>
  </si>
  <si>
    <t>lease_Mon_00467</t>
  </si>
  <si>
    <t>lease_Mon_00468</t>
  </si>
  <si>
    <t>lease_Mon_00469</t>
  </si>
  <si>
    <t>lease_Mon_00470</t>
  </si>
  <si>
    <t>lease_Mon_00471</t>
  </si>
  <si>
    <t>lease_Mon_00472</t>
  </si>
  <si>
    <t>lease_Mon_00473</t>
  </si>
  <si>
    <t>lease_Mon_00474</t>
  </si>
  <si>
    <t>lease_Mon_00475</t>
  </si>
  <si>
    <t>lease_Mon_00476</t>
  </si>
  <si>
    <t>lease_Mon_00477</t>
  </si>
  <si>
    <t>lease_Mon_00478</t>
  </si>
  <si>
    <t>lease_Mon_00479</t>
  </si>
  <si>
    <t>lease_Mon_00480</t>
  </si>
  <si>
    <t>lease_Mon_00481</t>
  </si>
  <si>
    <t>lease_Mon_00482</t>
  </si>
  <si>
    <t>lease_Mon_00483</t>
  </si>
  <si>
    <t>lease_Mon_00484</t>
  </si>
  <si>
    <t>lease_Mon_00485</t>
  </si>
  <si>
    <t>lease_Mon_00486</t>
  </si>
  <si>
    <t>lease_Mon_00487</t>
  </si>
  <si>
    <t>lease_Mon_00488</t>
  </si>
  <si>
    <t>lease_Mon_00489</t>
  </si>
  <si>
    <t>lease_Mon_00490</t>
  </si>
  <si>
    <t>lease_Mon_00491</t>
  </si>
  <si>
    <t>lease_Mon_00492</t>
  </si>
  <si>
    <t>lease_Mon_00493</t>
  </si>
  <si>
    <t>lease_Mon_00494</t>
  </si>
  <si>
    <t>lease_Mon_00495</t>
  </si>
  <si>
    <t>lease_Mon_00496</t>
  </si>
  <si>
    <t>lease_Mon_00497</t>
  </si>
  <si>
    <t>lease_Mon_00498</t>
  </si>
  <si>
    <t>lease_Mon_00499</t>
  </si>
  <si>
    <t>lease_Mon_00500</t>
  </si>
  <si>
    <t>lease_Mon_00501</t>
  </si>
  <si>
    <t>lease_Mon_00502</t>
  </si>
  <si>
    <t>lease_Mon_00503</t>
  </si>
  <si>
    <t>lease_Mon_00504</t>
  </si>
  <si>
    <t>lease_Mon_00505</t>
  </si>
  <si>
    <t>lease_Mon_00506</t>
  </si>
  <si>
    <t>lease_Mon_00507</t>
  </si>
  <si>
    <t>lease_Mon_00508</t>
  </si>
  <si>
    <t>lease_Mon_00509</t>
  </si>
  <si>
    <t>lease_Mon_00510</t>
  </si>
  <si>
    <t>lease_Mon_00511</t>
  </si>
  <si>
    <t>lease_Mon_00512</t>
  </si>
  <si>
    <t>lease_Mon_00513</t>
  </si>
  <si>
    <t>lease_Mon_00514</t>
  </si>
  <si>
    <t>lease_Mon_00515</t>
  </si>
  <si>
    <t>lease_Mon_00516</t>
  </si>
  <si>
    <t>lease_Mon_00517</t>
  </si>
  <si>
    <t>lease_Mon_00518</t>
  </si>
  <si>
    <t>lease_Mon_00519</t>
  </si>
  <si>
    <t>lease_Mon_00520</t>
  </si>
  <si>
    <t>lease_Mon_00521</t>
  </si>
  <si>
    <t>lease_Mon_00522</t>
  </si>
  <si>
    <t>lease_Mon_00523</t>
  </si>
  <si>
    <t>lease_Mon_00524</t>
  </si>
  <si>
    <t>lease_Mon_00525</t>
  </si>
  <si>
    <t>lease_Mon_00526</t>
  </si>
  <si>
    <t>lease_Mon_00527</t>
  </si>
  <si>
    <t>lease_Mon_00528</t>
  </si>
  <si>
    <t>lease_Mon_00529</t>
  </si>
  <si>
    <t>lease_Mon_00530</t>
  </si>
  <si>
    <t>lease_Mon_00531</t>
  </si>
  <si>
    <t>lease_Mon_00532</t>
  </si>
  <si>
    <t>lease_Mon_00533</t>
  </si>
  <si>
    <t>lease_Mon_00534</t>
  </si>
  <si>
    <t>lease_Mon_00535</t>
  </si>
  <si>
    <t>lease_Mon_00536</t>
  </si>
  <si>
    <t>lease_Mon_00537</t>
  </si>
  <si>
    <t>lease_Mon_00538</t>
  </si>
  <si>
    <t>lease_Mon_00539</t>
  </si>
  <si>
    <t>lease_Mon_00540</t>
  </si>
  <si>
    <t>lease_Mon_00541</t>
  </si>
  <si>
    <t>lease_Mon_00542</t>
  </si>
  <si>
    <t>lease_Mon_00543</t>
  </si>
  <si>
    <t>lease_Mon_00544</t>
  </si>
  <si>
    <t>lease_Mon_00545</t>
  </si>
  <si>
    <t>lease_Mon_00546</t>
  </si>
  <si>
    <t>lease_Mon_00547</t>
  </si>
  <si>
    <t>lease_Mon_00548</t>
  </si>
  <si>
    <t>lease_Mon_00549</t>
  </si>
  <si>
    <t>lease_Mon_00550</t>
  </si>
  <si>
    <t>lease_Mon_00551</t>
  </si>
  <si>
    <t>lease_Mon_00552</t>
  </si>
  <si>
    <t>lease_Mon_00553</t>
  </si>
  <si>
    <t>lease_Mon_00554</t>
  </si>
  <si>
    <t>lease_Mon_00555</t>
  </si>
  <si>
    <t>lease_Mon_00556</t>
  </si>
  <si>
    <t>lease_Mon_00557</t>
  </si>
  <si>
    <t>lease_Mon_00558</t>
  </si>
  <si>
    <t>lease_Mon_00559</t>
  </si>
  <si>
    <t>lease_Mon_00560</t>
  </si>
  <si>
    <t>lease_Mon_00561</t>
  </si>
  <si>
    <t>lease_Mon_00562</t>
  </si>
  <si>
    <t>lease_Mon_00563</t>
  </si>
  <si>
    <t>lease_Mon_00564</t>
  </si>
  <si>
    <t>lease_Mon_00565</t>
  </si>
  <si>
    <t>lease_Mon_00566</t>
  </si>
  <si>
    <t>lease_Mon_00567</t>
  </si>
  <si>
    <t>lease_Mon_00568</t>
  </si>
  <si>
    <t>lease_Mon_00569</t>
  </si>
  <si>
    <t>lease_Mon_00570</t>
  </si>
  <si>
    <t>lease_Mon_00571</t>
  </si>
  <si>
    <t>lease_Mon_00572</t>
  </si>
  <si>
    <t>lease_Mon_00573</t>
  </si>
  <si>
    <t>lease_Mon_00574</t>
  </si>
  <si>
    <t>lease_Mon_00575</t>
  </si>
  <si>
    <t>lease_Mon_00576</t>
  </si>
  <si>
    <t>lease_Mon_00577</t>
  </si>
  <si>
    <t>lease_Mon_00578</t>
  </si>
  <si>
    <t>lease_Mon_00579</t>
  </si>
  <si>
    <t>lease_Mon_00580</t>
  </si>
  <si>
    <t>lease_Mon_00581</t>
  </si>
  <si>
    <t>lease_Mon_00582</t>
  </si>
  <si>
    <t>lease_Mon_00583</t>
  </si>
  <si>
    <t>lease_Mon_00584</t>
  </si>
  <si>
    <t>lease_Mon_00585</t>
  </si>
  <si>
    <t>lease_Mon_00586</t>
  </si>
  <si>
    <t>lease_Mon_00587</t>
  </si>
  <si>
    <t>lease_Mon_00588</t>
  </si>
  <si>
    <t>lease_Mon_00589</t>
  </si>
  <si>
    <t>lease_Mon_00590</t>
  </si>
  <si>
    <t>lease_Mon_00591</t>
  </si>
  <si>
    <t>lease_Mon_00592</t>
  </si>
  <si>
    <t>lease_Mon_00593</t>
  </si>
  <si>
    <t>lease_Mon_00594</t>
  </si>
  <si>
    <t>lease_Mon_00595</t>
  </si>
  <si>
    <t>lease_Mon_00596</t>
  </si>
  <si>
    <t>lease_Mon_00597</t>
  </si>
  <si>
    <t>lease_Mon_00598</t>
  </si>
  <si>
    <t>lease_Mon_00599</t>
  </si>
  <si>
    <t>lease_Mon_00600</t>
  </si>
  <si>
    <t>lease_Mon_00601</t>
  </si>
  <si>
    <t>lease_Mon_00602</t>
  </si>
  <si>
    <t>lease_Mon_00603</t>
  </si>
  <si>
    <t>lease_Mon_00604</t>
  </si>
  <si>
    <t>lease_Mon_00605</t>
  </si>
  <si>
    <t>lease_Mon_00606</t>
  </si>
  <si>
    <t>lease_Mon_00607</t>
  </si>
  <si>
    <t>lease_Mon_00608</t>
  </si>
  <si>
    <t>lease_Mon_00609</t>
  </si>
  <si>
    <t>lease_Mon_00610</t>
  </si>
  <si>
    <t>lease_Mon_00611</t>
  </si>
  <si>
    <t>lease_Mon_00612</t>
  </si>
  <si>
    <t>lease_Mon_00613</t>
  </si>
  <si>
    <t>lease_Mon_00614</t>
  </si>
  <si>
    <t>lease_Mon_00615</t>
  </si>
  <si>
    <t>lease_Mon_00616</t>
  </si>
  <si>
    <t>lease_Mon_00617</t>
  </si>
  <si>
    <t>lease_Mon_00618</t>
  </si>
  <si>
    <t>lease_Mon_00619</t>
  </si>
  <si>
    <t>lease_Mon_00620</t>
  </si>
  <si>
    <t>lease_Mon_00621</t>
  </si>
  <si>
    <t>lease_Mon_00622</t>
  </si>
  <si>
    <t>lease_Mon_00623</t>
  </si>
  <si>
    <t>lease_Mon_00624</t>
  </si>
  <si>
    <t>lease_Mon_00625</t>
  </si>
  <si>
    <t>lease_Mon_00626</t>
  </si>
  <si>
    <t>lease_Mon_00627</t>
  </si>
  <si>
    <t>lease_Mon_00628</t>
  </si>
  <si>
    <t>lease_Mon_00629</t>
  </si>
  <si>
    <t>lease_Mon_00630</t>
  </si>
  <si>
    <t>lease_Mon_00631</t>
  </si>
  <si>
    <t>lease_Mon_00632</t>
  </si>
  <si>
    <t>lease_Mon_00633</t>
  </si>
  <si>
    <t>lease_Mon_00634</t>
  </si>
  <si>
    <t>lease_Mon_00635</t>
  </si>
  <si>
    <t>lease_Mon_00636</t>
  </si>
  <si>
    <t>lease_Mon_00637</t>
  </si>
  <si>
    <t>lease_Mon_00638</t>
  </si>
  <si>
    <t>lease_Mon_00639</t>
  </si>
  <si>
    <t>lease_Mon_00640</t>
  </si>
  <si>
    <t>lease_Mon_00641</t>
  </si>
  <si>
    <t>lease_Mon_00642</t>
  </si>
  <si>
    <t>lease_Mon_00643</t>
  </si>
  <si>
    <t>lease_Mon_00644</t>
  </si>
  <si>
    <t>lease_Mon_00645</t>
  </si>
  <si>
    <t>lease_Mon_00646</t>
  </si>
  <si>
    <t>lease_Mon_00647</t>
  </si>
  <si>
    <t>lease_Mon_00648</t>
  </si>
  <si>
    <t>lease_Mon_00649</t>
  </si>
  <si>
    <t>lease_Mon_00650</t>
  </si>
  <si>
    <t>lease_Mon_00651</t>
  </si>
  <si>
    <t>lease_Mon_00652</t>
  </si>
  <si>
    <t>lease_Mon_00653</t>
  </si>
  <si>
    <t>lease_Mon_00654</t>
  </si>
  <si>
    <t>lease_Mon_00655</t>
  </si>
  <si>
    <t>lease_Mon_00656</t>
  </si>
  <si>
    <t>lease_Mon_00657</t>
  </si>
  <si>
    <t>lease_Mon_00658</t>
  </si>
  <si>
    <t>lease_Mon_00659</t>
  </si>
  <si>
    <t>lease_Mon_00660</t>
  </si>
  <si>
    <t>lease_Mon_00661</t>
  </si>
  <si>
    <t>lease_Mon_00662</t>
  </si>
  <si>
    <t>lease_Mon_00663</t>
  </si>
  <si>
    <t>lease_Mon_00664</t>
  </si>
  <si>
    <t>lease_Mon_00665</t>
  </si>
  <si>
    <t>lease_Mon_00666</t>
  </si>
  <si>
    <t>lease_Mon_00667</t>
  </si>
  <si>
    <t>lease_Mon_00668</t>
  </si>
  <si>
    <t>lease_Mon_00669</t>
  </si>
  <si>
    <t>lease_Mon_00670</t>
  </si>
  <si>
    <t>lease_Mon_00671</t>
  </si>
  <si>
    <t>lease_Mon_00672</t>
  </si>
  <si>
    <t>lease_Mon_00673</t>
  </si>
  <si>
    <t>lease_Mon_00674</t>
  </si>
  <si>
    <t>lease_Mon_00675</t>
  </si>
  <si>
    <t>lease_Mon_00676</t>
  </si>
  <si>
    <t>lease_Mon_00677</t>
  </si>
  <si>
    <t>lease_Mon_00678</t>
  </si>
  <si>
    <t>lease_Mon_00679</t>
  </si>
  <si>
    <t>lease_Mon_00680</t>
  </si>
  <si>
    <t>lease_Mon_00681</t>
  </si>
  <si>
    <t>lease_Mon_00682</t>
  </si>
  <si>
    <t>lease_Mon_00683</t>
  </si>
  <si>
    <t>lease_Mon_00684</t>
  </si>
  <si>
    <t>lease_Mon_00685</t>
  </si>
  <si>
    <t>lease_Mon_00686</t>
  </si>
  <si>
    <t>lease_Mon_00687</t>
  </si>
  <si>
    <t>lease_Mon_00688</t>
  </si>
  <si>
    <t>lease_Mon_00689</t>
  </si>
  <si>
    <t>lease_Mon_00690</t>
  </si>
  <si>
    <t>lease_Mon_00691</t>
  </si>
  <si>
    <t>lease_Mon_00692</t>
  </si>
  <si>
    <t>lease_Mon_00693</t>
  </si>
  <si>
    <t>lease_Mon_00694</t>
  </si>
  <si>
    <t>lease_Mon_00695</t>
  </si>
  <si>
    <t>lease_Mon_00696</t>
  </si>
  <si>
    <t>lease_Mon_00697</t>
  </si>
  <si>
    <t>lease_Mon_00698</t>
  </si>
  <si>
    <t>lease_Mon_00699</t>
  </si>
  <si>
    <t>lease_Mon_00700</t>
  </si>
  <si>
    <t>lease_Mon_00701</t>
  </si>
  <si>
    <t>lease_Mon_00702</t>
  </si>
  <si>
    <t>lease_Mon_00703</t>
  </si>
  <si>
    <t>lease_Mon_00704</t>
  </si>
  <si>
    <t>lease_Mon_00705</t>
  </si>
  <si>
    <t>lease_Mon_00706</t>
  </si>
  <si>
    <t>lease_Mon_00707</t>
  </si>
  <si>
    <t>lease_Mon_00708</t>
  </si>
  <si>
    <t>lease_Mon_00709</t>
  </si>
  <si>
    <t>lease_Mon_00710</t>
  </si>
  <si>
    <t>lease_Mon_00711</t>
  </si>
  <si>
    <t>lease_Mon_00712</t>
  </si>
  <si>
    <t>lease_Mon_00713</t>
  </si>
  <si>
    <t>lease_Mon_00714</t>
  </si>
  <si>
    <t>lease_Mon_00715</t>
  </si>
  <si>
    <t>lease_Mon_00716</t>
  </si>
  <si>
    <t>lease_Mon_00717</t>
  </si>
  <si>
    <t>lease_Mon_00718</t>
  </si>
  <si>
    <t>lease_Mon_00719</t>
  </si>
  <si>
    <t>lease_Mon_00720</t>
  </si>
  <si>
    <t>lease_Mon_00721</t>
  </si>
  <si>
    <t>lease_Mon_00722</t>
  </si>
  <si>
    <t>lease_Mon_00723</t>
  </si>
  <si>
    <t>lease_Mon_00724</t>
  </si>
  <si>
    <t>lease_Mon_00725</t>
  </si>
  <si>
    <t>lease_Mon_00726</t>
  </si>
  <si>
    <t>lease_Mon_00727</t>
  </si>
  <si>
    <t>lease_Mon_00728</t>
  </si>
  <si>
    <t>lease_Mon_00729</t>
  </si>
  <si>
    <t>lease_Mon_00730</t>
  </si>
  <si>
    <t>lease_Mon_00731</t>
  </si>
  <si>
    <t>lease_Mon_00732</t>
  </si>
  <si>
    <t>lease_Mon_00733</t>
  </si>
  <si>
    <t>lease_Mon_00734</t>
  </si>
  <si>
    <t>lease_Mon_00735</t>
  </si>
  <si>
    <t>lease_Mon_00736</t>
  </si>
  <si>
    <t>lease_Mon_00737</t>
  </si>
  <si>
    <t>lease_Mon_00738</t>
  </si>
  <si>
    <t>lease_Mon_00739</t>
  </si>
  <si>
    <t>lease_Mon_00740</t>
  </si>
  <si>
    <t>lease_Mon_00741</t>
  </si>
  <si>
    <t>lease_Mon_00742</t>
  </si>
  <si>
    <t>lease_Mon_00743</t>
  </si>
  <si>
    <t>lease_Mon_00744</t>
  </si>
  <si>
    <t>lease_Mon_00745</t>
  </si>
  <si>
    <t>lease_Mon_00746</t>
  </si>
  <si>
    <t>lease_Mon_00747</t>
  </si>
  <si>
    <t>lease_Mon_00748</t>
  </si>
  <si>
    <t>lease_Mon_00749</t>
  </si>
  <si>
    <t>lease_Mon_00750</t>
  </si>
  <si>
    <t>lease_Mon_00751</t>
  </si>
  <si>
    <t>lease_Mon_00752</t>
  </si>
  <si>
    <t>lease_Mon_00753</t>
  </si>
  <si>
    <t>lease_Mon_00754</t>
  </si>
  <si>
    <t>lease_Mon_00755</t>
  </si>
  <si>
    <t>lease_Mon_00756</t>
  </si>
  <si>
    <t>lease_Mon_00757</t>
  </si>
  <si>
    <t>lease_Mon_00758</t>
  </si>
  <si>
    <t>lease_Mon_00759</t>
  </si>
  <si>
    <t>lease_Mon_00760</t>
  </si>
  <si>
    <t>lease_Mon_00761</t>
  </si>
  <si>
    <t>lease_Mon_00762</t>
  </si>
  <si>
    <t>lease_Mon_00763</t>
  </si>
  <si>
    <t>lease_Mon_00764</t>
  </si>
  <si>
    <t>lease_Mon_00765</t>
  </si>
  <si>
    <t>lease_Mon_00766</t>
  </si>
  <si>
    <t>lease_Mon_00767</t>
  </si>
  <si>
    <t>lease_Mon_00768</t>
  </si>
  <si>
    <t>lease_Mon_00769</t>
  </si>
  <si>
    <t>lease_Mon_00770</t>
  </si>
  <si>
    <t>lease_Mon_00771</t>
  </si>
  <si>
    <t>lease_Mon_00772</t>
  </si>
  <si>
    <t>lease_Mon_00773</t>
  </si>
  <si>
    <t>lease_Mon_00774</t>
  </si>
  <si>
    <t>lease_Mon_00775</t>
  </si>
  <si>
    <t>lease_Mon_00776</t>
  </si>
  <si>
    <t>lease_Mon_00777</t>
  </si>
  <si>
    <t>lease_Mon_00778</t>
  </si>
  <si>
    <t>lease_Mon_00779</t>
  </si>
  <si>
    <t>lease_Mon_00780</t>
  </si>
  <si>
    <t>lease_Mon_00781</t>
  </si>
  <si>
    <t>lease_Mon_00782</t>
  </si>
  <si>
    <t>lease_Mon_00783</t>
  </si>
  <si>
    <t>lease_Mon_00784</t>
  </si>
  <si>
    <t>lease_Mon_00785</t>
  </si>
  <si>
    <t>lease_Mon_00786</t>
  </si>
  <si>
    <t>lease_Mon_00787</t>
  </si>
  <si>
    <t>lease_Mon_00788</t>
  </si>
  <si>
    <t>lease_Mon_00789</t>
  </si>
  <si>
    <t>lease_Mon_00790</t>
  </si>
  <si>
    <t>lease_Mon_00791</t>
  </si>
  <si>
    <t>lease_Mon_00792</t>
  </si>
  <si>
    <t>lease_Mon_00793</t>
  </si>
  <si>
    <t>lease_Mon_00794</t>
  </si>
  <si>
    <t>lease_Mon_00795</t>
  </si>
  <si>
    <t>lease_Mon_00796</t>
  </si>
  <si>
    <t>lease_Mon_00797</t>
  </si>
  <si>
    <t>lease_Mon_00798</t>
  </si>
  <si>
    <t>lease_Mon_00799</t>
  </si>
  <si>
    <t>lease_Mon_00800</t>
  </si>
  <si>
    <t>lease_Mon_00801</t>
  </si>
  <si>
    <t>lease_Mon_00802</t>
  </si>
  <si>
    <t>lease_Mon_00803</t>
  </si>
  <si>
    <t>lease_Mon_00804</t>
  </si>
  <si>
    <t>lease_Mon_00805</t>
  </si>
  <si>
    <t>lease_Mon_00806</t>
  </si>
  <si>
    <t>lease_Mon_00807</t>
  </si>
  <si>
    <t>lease_Mon_00808</t>
  </si>
  <si>
    <t>lease_Mon_00809</t>
  </si>
  <si>
    <t>lease_Mon_00810</t>
  </si>
  <si>
    <t>lease_Mon_00811</t>
  </si>
  <si>
    <t>lease_Mon_00812</t>
  </si>
  <si>
    <t>lease_Mon_00813</t>
  </si>
  <si>
    <t>lease_Mon_00814</t>
  </si>
  <si>
    <t>lease_Mon_00815</t>
  </si>
  <si>
    <t>lease_Mon_00816</t>
  </si>
  <si>
    <t>lease_Mon_00817</t>
  </si>
  <si>
    <t>lease_Mon_00818</t>
  </si>
  <si>
    <t>lease_Mon_00819</t>
  </si>
  <si>
    <t>lease_Mon_00820</t>
  </si>
  <si>
    <t>lease_Mon_00821</t>
  </si>
  <si>
    <t>lease_Mon_00822</t>
  </si>
  <si>
    <t>lease_Mon_00823</t>
  </si>
  <si>
    <t>lease_Mon_00824</t>
  </si>
  <si>
    <t>lease_Mon_00825</t>
  </si>
  <si>
    <t>lease_Mon_00826</t>
  </si>
  <si>
    <t>lease_Mon_00827</t>
  </si>
  <si>
    <t>lease_Mon_00828</t>
  </si>
  <si>
    <t>lease_Mon_00829</t>
  </si>
  <si>
    <t>lease_Mon_00830</t>
  </si>
  <si>
    <t>lease_Mon_00831</t>
  </si>
  <si>
    <t>lease_Mon_00832</t>
  </si>
  <si>
    <t>lease_Mon_00833</t>
  </si>
  <si>
    <t>lease_Mon_00834</t>
  </si>
  <si>
    <t>lease_Mon_00835</t>
  </si>
  <si>
    <t>lease_Mon_00836</t>
  </si>
  <si>
    <t>lease_Mon_00837</t>
  </si>
  <si>
    <t>lease_Mon_00838</t>
  </si>
  <si>
    <t>lease_Mon_00839</t>
  </si>
  <si>
    <t>lease_Mon_00840</t>
  </si>
  <si>
    <t>lease_Mon_00841</t>
  </si>
  <si>
    <t>lease_Mon_00842</t>
  </si>
  <si>
    <t>lease_Mon_00843</t>
  </si>
  <si>
    <t>lease_Mon_00844</t>
  </si>
  <si>
    <t>lease_Mon_00845</t>
  </si>
  <si>
    <t>lease_Mon_00846</t>
  </si>
  <si>
    <t>lease_Mon_00847</t>
  </si>
  <si>
    <t>lease_Mon_00848</t>
  </si>
  <si>
    <t>lease_Mon_00849</t>
  </si>
  <si>
    <t>lease_Mon_00850</t>
  </si>
  <si>
    <t>lease_Mon_00851</t>
  </si>
  <si>
    <t>lease_Mon_00852</t>
  </si>
  <si>
    <t>lease_Mon_00853</t>
  </si>
  <si>
    <t>lease_Mon_00854</t>
  </si>
  <si>
    <t>lease_Mon_00855</t>
  </si>
  <si>
    <t>lease_Mon_00856</t>
  </si>
  <si>
    <t>lease_Mon_00857</t>
  </si>
  <si>
    <t>lease_Mon_00858</t>
  </si>
  <si>
    <t>lease_Mon_00859</t>
  </si>
  <si>
    <t>lease_Mon_00860</t>
  </si>
  <si>
    <t>lease_Mon_00861</t>
  </si>
  <si>
    <t>lease_Mon_00862</t>
  </si>
  <si>
    <t>lease_Mon_00863</t>
  </si>
  <si>
    <t>lease_Mon_00864</t>
  </si>
  <si>
    <t>lease_Mon_00865</t>
  </si>
  <si>
    <t>lease_Mon_00866</t>
  </si>
  <si>
    <t>lease_Mon_00867</t>
  </si>
  <si>
    <t>lease_Mon_00868</t>
  </si>
  <si>
    <t>lease_Mon_00869</t>
  </si>
  <si>
    <t>lease_Mon_00870</t>
  </si>
  <si>
    <t>lease_Mon_00871</t>
  </si>
  <si>
    <t>lease_Mon_00872</t>
  </si>
  <si>
    <t>lease_Mon_00873</t>
  </si>
  <si>
    <t>lease_Mon_00874</t>
  </si>
  <si>
    <t>lease_Mon_00875</t>
  </si>
  <si>
    <t>lease_Mon_00876</t>
  </si>
  <si>
    <t>lease_Mon_00877</t>
  </si>
  <si>
    <t>lease_Mon_00878</t>
  </si>
  <si>
    <t>lease_Mon_00879</t>
  </si>
  <si>
    <t>lease_Mon_00880</t>
  </si>
  <si>
    <t>lease_Mon_00881</t>
  </si>
  <si>
    <t>lease_Mon_00882</t>
  </si>
  <si>
    <t>lease_Mon_00883</t>
  </si>
  <si>
    <t>lease_Mon_00884</t>
  </si>
  <si>
    <t>lease_Mon_00885</t>
  </si>
  <si>
    <t>lease_Mon_00886</t>
  </si>
  <si>
    <t>lease_Mon_00887</t>
  </si>
  <si>
    <t>lease_Mon_00888</t>
  </si>
  <si>
    <t>lease_Mon_00889</t>
  </si>
  <si>
    <t>lease_Mon_00890</t>
  </si>
  <si>
    <t>lease_Mon_00891</t>
  </si>
  <si>
    <t>lease_Mon_00892</t>
  </si>
  <si>
    <t>lease_Mon_00893</t>
  </si>
  <si>
    <t>lease_Mon_00894</t>
  </si>
  <si>
    <t>lease_Mon_00895</t>
  </si>
  <si>
    <t>lease_Mon_00896</t>
  </si>
  <si>
    <t>lease_Mon_00897</t>
  </si>
  <si>
    <t>lease_Mon_00898</t>
  </si>
  <si>
    <t>lease_Mon_00899</t>
  </si>
  <si>
    <t>lease_Mon_00900</t>
  </si>
  <si>
    <t>lease_Mon_00901</t>
  </si>
  <si>
    <t>lease_Mon_00902</t>
  </si>
  <si>
    <t>lease_Mon_00903</t>
  </si>
  <si>
    <t>lease_Mon_00904</t>
  </si>
  <si>
    <t>lease_Mon_00905</t>
  </si>
  <si>
    <t>lease_Mon_00906</t>
  </si>
  <si>
    <t>lease_Mon_00907</t>
  </si>
  <si>
    <t>lease_Mon_00908</t>
  </si>
  <si>
    <t>lease_Mon_00909</t>
  </si>
  <si>
    <t>lease_Mon_00910</t>
  </si>
  <si>
    <t>lease_Mon_00911</t>
  </si>
  <si>
    <t>lease_Mon_00912</t>
  </si>
  <si>
    <t>lease_Mon_00913</t>
  </si>
  <si>
    <t>lease_Mon_00914</t>
  </si>
  <si>
    <t>lease_Mon_00915</t>
  </si>
  <si>
    <t>lease_Mon_00916</t>
  </si>
  <si>
    <t>lease_Mon_00917</t>
  </si>
  <si>
    <t>lease_Mon_00918</t>
  </si>
  <si>
    <t>lease_Mon_00919</t>
  </si>
  <si>
    <t>lease_Mon_00920</t>
  </si>
  <si>
    <t>lease_Mon_00921</t>
  </si>
  <si>
    <t>lease_Mon_00922</t>
  </si>
  <si>
    <t>lease_Mon_00923</t>
  </si>
  <si>
    <t>lease_Mon_00924</t>
  </si>
  <si>
    <t>lease_Mon_00925</t>
  </si>
  <si>
    <t>lease_Mon_00926</t>
  </si>
  <si>
    <t>lease_Mon_00927</t>
  </si>
  <si>
    <t>lease_Mon_00928</t>
  </si>
  <si>
    <t>lease_Mon_00929</t>
  </si>
  <si>
    <t>lease_Mon_00930</t>
  </si>
  <si>
    <t>lease_Mon_00931</t>
  </si>
  <si>
    <t>lease_Mon_00932</t>
  </si>
  <si>
    <t>lease_Mon_00933</t>
  </si>
  <si>
    <t>lease_Mon_00934</t>
  </si>
  <si>
    <t>lease_Mon_00935</t>
  </si>
  <si>
    <t>lease_Mon_00936</t>
  </si>
  <si>
    <t>lease_Mon_00937</t>
  </si>
  <si>
    <t>lease_Mon_00938</t>
  </si>
  <si>
    <t>lease_Mon_00939</t>
  </si>
  <si>
    <t>lease_Mon_00940</t>
  </si>
  <si>
    <t>lease_Mon_00941</t>
  </si>
  <si>
    <t>lease_Mon_00942</t>
  </si>
  <si>
    <t>lease_Mon_00943</t>
  </si>
  <si>
    <t>lease_Mon_00944</t>
  </si>
  <si>
    <t>lease_Mon_00945</t>
  </si>
  <si>
    <t>lease_Mon_00946</t>
  </si>
  <si>
    <t>lease_Mon_00947</t>
  </si>
  <si>
    <t>lease_Mon_00948</t>
  </si>
  <si>
    <t>lease_Mon_00949</t>
  </si>
  <si>
    <t>lease_Mon_00950</t>
  </si>
  <si>
    <t>lease_Mon_00951</t>
  </si>
  <si>
    <t>lease_Mon_00952</t>
  </si>
  <si>
    <t>lease_Mon_00953</t>
  </si>
  <si>
    <t>lease_Mon_00954</t>
  </si>
  <si>
    <t>lease_Mon_00955</t>
  </si>
  <si>
    <t>lease_Mon_00956</t>
  </si>
  <si>
    <t>lease_Mon_00957</t>
  </si>
  <si>
    <t>lease_Mon_00958</t>
  </si>
  <si>
    <t>lease_Mon_00959</t>
  </si>
  <si>
    <t>lease_Mon_00960</t>
  </si>
  <si>
    <t>lease_Mon_00961</t>
  </si>
  <si>
    <t>lease_Mon_00962</t>
  </si>
  <si>
    <t>lease_Mon_00963</t>
  </si>
  <si>
    <t>lease_Mon_00964</t>
  </si>
  <si>
    <t>lease_Mon_00965</t>
  </si>
  <si>
    <t>lease_Mon_00966</t>
  </si>
  <si>
    <t>lease_Mon_00967</t>
  </si>
  <si>
    <t>lease_Mon_00968</t>
  </si>
  <si>
    <t>lease_Mon_00969</t>
  </si>
  <si>
    <t>lease_Mon_00970</t>
  </si>
  <si>
    <t>lease_Mon_00971</t>
  </si>
  <si>
    <t>lease_Mon_00972</t>
  </si>
  <si>
    <t>lease_Mon_00973</t>
  </si>
  <si>
    <t>lease_Mon_00974</t>
  </si>
  <si>
    <t>lease_Mon_00975</t>
  </si>
  <si>
    <t>lease_Mon_00976</t>
  </si>
  <si>
    <t>lease_Mon_00977</t>
  </si>
  <si>
    <t>lease_Mon_00978</t>
  </si>
  <si>
    <t>lease_Mon_00979</t>
  </si>
  <si>
    <t>lease_Mon_00980</t>
  </si>
  <si>
    <t>lease_Mon_00981</t>
  </si>
  <si>
    <t>lease_Mon_00982</t>
  </si>
  <si>
    <t>lease_Mon_00983</t>
  </si>
  <si>
    <t>lease_Mon_00984</t>
  </si>
  <si>
    <t>lease_Mon_00985</t>
  </si>
  <si>
    <t>lease_Mon_00986</t>
  </si>
  <si>
    <t>lease_Mon_00987</t>
  </si>
  <si>
    <t>lease_Mon_00988</t>
  </si>
  <si>
    <t>lease_Mon_00989</t>
  </si>
  <si>
    <t>lease_Mon_00990</t>
  </si>
  <si>
    <t>lease_Mon_00991</t>
  </si>
  <si>
    <t>lease_Mon_00992</t>
  </si>
  <si>
    <t>lease_Mon_00993</t>
  </si>
  <si>
    <t>lease_Mon_00994</t>
  </si>
  <si>
    <t>lease_Mon_00995</t>
  </si>
  <si>
    <t>lease_Mon_00996</t>
  </si>
  <si>
    <t>lease_Mon_00997</t>
  </si>
  <si>
    <t>lease_Mon_00998</t>
  </si>
  <si>
    <t>lease_Mon_00999</t>
  </si>
  <si>
    <t>lease_Mon_01000</t>
  </si>
  <si>
    <t>lease_Mon_01001</t>
  </si>
  <si>
    <t>lease_Mon_01002</t>
  </si>
  <si>
    <t>lease_Mon_01003</t>
  </si>
  <si>
    <t>lease_Mon_01004</t>
  </si>
  <si>
    <t>lease_Mon_01005</t>
  </si>
  <si>
    <t>lease_Mon_01006</t>
  </si>
  <si>
    <t>lease_Mon_01007</t>
  </si>
  <si>
    <t>lease_Mon_01008</t>
  </si>
  <si>
    <t>lease_Mon_01009</t>
  </si>
  <si>
    <t>lease_Mon_01010</t>
  </si>
  <si>
    <t>lease_Mon_01011</t>
  </si>
  <si>
    <t>lease_Mon_01012</t>
  </si>
  <si>
    <t>lease_Mon_01013</t>
  </si>
  <si>
    <t>lease_Mon_01014</t>
  </si>
  <si>
    <t>lease_Mon_01015</t>
  </si>
  <si>
    <t>lease_Mon_01016</t>
  </si>
  <si>
    <t>lease_Mon_01017</t>
  </si>
  <si>
    <t>lease_Mon_01018</t>
  </si>
  <si>
    <t>lease_Mon_01019</t>
  </si>
  <si>
    <t>lease_Mon_01020</t>
  </si>
  <si>
    <t>lease_Mon_01021</t>
  </si>
  <si>
    <t>lease_Mon_01022</t>
  </si>
  <si>
    <t>lease_Mon_01023</t>
  </si>
  <si>
    <t>lease_Mon_01024</t>
  </si>
  <si>
    <t>lease_Mon_01025</t>
  </si>
  <si>
    <t>lease_Mon_01026</t>
  </si>
  <si>
    <t>lease_Mon_01027</t>
  </si>
  <si>
    <t>lease_Mon_01028</t>
  </si>
  <si>
    <t>lease_Mon_01029</t>
  </si>
  <si>
    <t>lease_Mon_01030</t>
  </si>
  <si>
    <t>lease_Mon_01031</t>
  </si>
  <si>
    <t>lease_Mon_01032</t>
  </si>
  <si>
    <t>lease_Mon_01033</t>
  </si>
  <si>
    <t>lease_Mon_01034</t>
  </si>
  <si>
    <t>lease_Mon_01035</t>
  </si>
  <si>
    <t>lease_Mon_01036</t>
  </si>
  <si>
    <t>lease_Mon_01037</t>
  </si>
  <si>
    <t>lease_Mon_01038</t>
  </si>
  <si>
    <t>lease_Mon_01039</t>
  </si>
  <si>
    <t>lease_Mon_01040</t>
  </si>
  <si>
    <t>lease_Mon_01041</t>
  </si>
  <si>
    <t>lease_Mon_01042</t>
  </si>
  <si>
    <t>lease_Mon_01043</t>
  </si>
  <si>
    <t>lease_Mon_01044</t>
  </si>
  <si>
    <t>lease_Mon_01045</t>
  </si>
  <si>
    <t>lease_Mon_01046</t>
  </si>
  <si>
    <t>lease_Mon_01047</t>
  </si>
  <si>
    <t>lease_Mon_01048</t>
  </si>
  <si>
    <t>lease_Mon_01049</t>
  </si>
  <si>
    <t>lease_Mon_01050</t>
  </si>
  <si>
    <t>lease_Mon_01051</t>
  </si>
  <si>
    <t>lease_Mon_01052</t>
  </si>
  <si>
    <t>lease_Mon_01053</t>
  </si>
  <si>
    <t>lease_Mon_01054</t>
  </si>
  <si>
    <t>lease_Mon_01055</t>
  </si>
  <si>
    <t>lease_Mon_01056</t>
  </si>
  <si>
    <t>lease_Mon_01057</t>
  </si>
  <si>
    <t>lease_Mon_01058</t>
  </si>
  <si>
    <t>lease_Mon_01059</t>
  </si>
  <si>
    <t>lease_Mon_01060</t>
  </si>
  <si>
    <t>lease_Mon_01061</t>
  </si>
  <si>
    <t>lease_Mon_01062</t>
  </si>
  <si>
    <t>lease_Mon_01063</t>
  </si>
  <si>
    <t>lease_Mon_01064</t>
  </si>
  <si>
    <t>lease_Mon_01065</t>
  </si>
  <si>
    <t>lease_Mon_01066</t>
  </si>
  <si>
    <t>lease_Mon_01067</t>
  </si>
  <si>
    <t>lease_Mon_01068</t>
  </si>
  <si>
    <t>lease_Mon_01069</t>
  </si>
  <si>
    <t>lease_Mon_01070</t>
  </si>
  <si>
    <t>lease_Mon_01071</t>
  </si>
  <si>
    <t>lease_Mon_01072</t>
  </si>
  <si>
    <t>lease_Mon_01073</t>
  </si>
  <si>
    <t>lease_Mon_01074</t>
  </si>
  <si>
    <t>lease_Mon_01075</t>
  </si>
  <si>
    <t>lease_Mon_01076</t>
  </si>
  <si>
    <t>lease_Mon_01077</t>
  </si>
  <si>
    <t>lease_Mon_01078</t>
  </si>
  <si>
    <t>lease_Mon_01079</t>
  </si>
  <si>
    <t>lease_Mon_01080</t>
  </si>
  <si>
    <t>lease_Mon_01081</t>
  </si>
  <si>
    <t>lease_Mon_01082</t>
  </si>
  <si>
    <t>lease_Mon_01083</t>
  </si>
  <si>
    <t>lease_Mon_01084</t>
  </si>
  <si>
    <t>lease_Mon_01085</t>
  </si>
  <si>
    <t>lease_Mon_01086</t>
  </si>
  <si>
    <t>lease_Mon_01087</t>
  </si>
  <si>
    <t>lease_Mon_01088</t>
  </si>
  <si>
    <t>lease_Mon_01089</t>
  </si>
  <si>
    <t>lease_Mon_01090</t>
  </si>
  <si>
    <t>lease_Mon_01091</t>
  </si>
  <si>
    <t>lease_Mon_01092</t>
  </si>
  <si>
    <t>lease_Mon_01093</t>
  </si>
  <si>
    <t>lease_Mon_01094</t>
  </si>
  <si>
    <t>lease_Mon_01095</t>
  </si>
  <si>
    <t>lease_Mon_01096</t>
  </si>
  <si>
    <t>lease_Mon_01097</t>
  </si>
  <si>
    <t>lease_Mon_01098</t>
  </si>
  <si>
    <t>lease_Mon_01099</t>
  </si>
  <si>
    <t>lease_Mon_01100</t>
  </si>
  <si>
    <t>lease_Mon_01101</t>
  </si>
  <si>
    <t>lease_Mon_01102</t>
  </si>
  <si>
    <t>lease_Mon_01103</t>
  </si>
  <si>
    <t>lease_Mon_01104</t>
  </si>
  <si>
    <t>lease_Mon_01105</t>
  </si>
  <si>
    <t>lease_Mon_01106</t>
  </si>
  <si>
    <t>lease_Mon_01107</t>
  </si>
  <si>
    <t>lease_Mon_01108</t>
  </si>
  <si>
    <t>lease_Mon_01109</t>
  </si>
  <si>
    <t>lease_Mon_01110</t>
  </si>
  <si>
    <t>lease_Mon_01111</t>
  </si>
  <si>
    <t>lease_Mon_01112</t>
  </si>
  <si>
    <t>lease_Mon_01113</t>
  </si>
  <si>
    <t>lease_Mon_01114</t>
  </si>
  <si>
    <t>lease_Mon_01115</t>
  </si>
  <si>
    <t>lease_Mon_01116</t>
  </si>
  <si>
    <t>lease_Mon_01117</t>
  </si>
  <si>
    <t>lease_Mon_01118</t>
  </si>
  <si>
    <t>lease_Mon_01119</t>
  </si>
  <si>
    <t>lease_Mon_01120</t>
  </si>
  <si>
    <t>lease_Mon_01121</t>
  </si>
  <si>
    <t>lease_Mon_01122</t>
  </si>
  <si>
    <t>lease_Mon_01123</t>
  </si>
  <si>
    <t>lease_Mon_01124</t>
  </si>
  <si>
    <t>lease_Mon_01125</t>
  </si>
  <si>
    <t>lease_Mon_01126</t>
  </si>
  <si>
    <t>lease_Mon_01127</t>
  </si>
  <si>
    <t>lease_Mon_01128</t>
  </si>
  <si>
    <t>lease_Mon_01129</t>
  </si>
  <si>
    <t>lease_Mon_01130</t>
  </si>
  <si>
    <t>lease_Mon_01131</t>
  </si>
  <si>
    <t>lease_Mon_01132</t>
  </si>
  <si>
    <t>lease_Mon_01133</t>
  </si>
  <si>
    <t>lease_Mon_01134</t>
  </si>
  <si>
    <t>lease_Mon_01135</t>
  </si>
  <si>
    <t>lease_Mon_01136</t>
  </si>
  <si>
    <t>lease_Mon_01137</t>
  </si>
  <si>
    <t>lease_Mon_01138</t>
  </si>
  <si>
    <t>lease_Mon_01139</t>
  </si>
  <si>
    <t>lease_Mon_01140</t>
  </si>
  <si>
    <t>lease_Mon_01141</t>
  </si>
  <si>
    <t>lease_Mon_01142</t>
  </si>
  <si>
    <t>lease_Mon_01143</t>
  </si>
  <si>
    <t>lease_Mon_01144</t>
  </si>
  <si>
    <t>lease_Mon_01145</t>
  </si>
  <si>
    <t>lease_Mon_01146</t>
  </si>
  <si>
    <t>lease_Mon_01147</t>
  </si>
  <si>
    <t>lease_Mon_01148</t>
  </si>
  <si>
    <t>lease_Mon_01149</t>
  </si>
  <si>
    <t>lease_Mon_01150</t>
  </si>
  <si>
    <t>lease_Mon_01151</t>
  </si>
  <si>
    <t>lease_Mon_01152</t>
  </si>
  <si>
    <t>lease_Mon_01153</t>
  </si>
  <si>
    <t>lease_Mon_01154</t>
  </si>
  <si>
    <t>lease_Mon_01155</t>
  </si>
  <si>
    <t>lease_Mon_01156</t>
  </si>
  <si>
    <t>lease_Mon_01157</t>
  </si>
  <si>
    <t>lease_Mon_01158</t>
  </si>
  <si>
    <t>lease_Mon_01159</t>
  </si>
  <si>
    <t>lease_Mon_01160</t>
  </si>
  <si>
    <t>lease_Mon_01161</t>
  </si>
  <si>
    <t>lease_Mon_01162</t>
  </si>
  <si>
    <t>lease_Mon_01163</t>
  </si>
  <si>
    <t>lease_Mon_01164</t>
  </si>
  <si>
    <t>lease_Mon_01165</t>
  </si>
  <si>
    <t>lease_Mon_01166</t>
  </si>
  <si>
    <t>lease_Mon_01167</t>
  </si>
  <si>
    <t>lease_Mon_01168</t>
  </si>
  <si>
    <t>lease_Mon_01169</t>
  </si>
  <si>
    <t>lease_Mon_01170</t>
  </si>
  <si>
    <t>lease_Mon_01171</t>
  </si>
  <si>
    <t>lease_Mon_01172</t>
  </si>
  <si>
    <t>lease_Mon_01173</t>
  </si>
  <si>
    <t>lease_Mon_01174</t>
  </si>
  <si>
    <t>lease_Mon_01175</t>
  </si>
  <si>
    <t>lease_Mon_01176</t>
  </si>
  <si>
    <t>lease_Mon_01177</t>
  </si>
  <si>
    <t>lease_Mon_01178</t>
  </si>
  <si>
    <t>lease_Mon_01179</t>
  </si>
  <si>
    <t>lease_Mon_01180</t>
  </si>
  <si>
    <t>lease_Mon_01181</t>
  </si>
  <si>
    <t>lease_Mon_01182</t>
  </si>
  <si>
    <t>lease_Mon_01183</t>
  </si>
  <si>
    <t>lease_Mon_01184</t>
  </si>
  <si>
    <t>lease_Mon_01185</t>
  </si>
  <si>
    <t>lease_Mon_01186</t>
  </si>
  <si>
    <t>lease_Mon_01187</t>
  </si>
  <si>
    <t>lease_Mon_01188</t>
  </si>
  <si>
    <t>lease_Mon_01189</t>
  </si>
  <si>
    <t>lease_Mon_01190</t>
  </si>
  <si>
    <t>lease_Mon_01191</t>
  </si>
  <si>
    <t>lease_Mon_01192</t>
  </si>
  <si>
    <t>lease_Mon_01193</t>
  </si>
  <si>
    <t>lease_Mon_01194</t>
  </si>
  <si>
    <t>lease_Mon_01195</t>
  </si>
  <si>
    <t>lease_Mon_01196</t>
  </si>
  <si>
    <t>lease_Mon_01197</t>
  </si>
  <si>
    <t>lease_Mon_01198</t>
  </si>
  <si>
    <t>lease_Mon_01199</t>
  </si>
  <si>
    <t>lease_Mon_01200</t>
  </si>
  <si>
    <t>lease_Mon_01201</t>
  </si>
  <si>
    <t>lease_Mon_01202</t>
  </si>
  <si>
    <t>lease_Mon_01203</t>
  </si>
  <si>
    <t>lease_Mon_01204</t>
  </si>
  <si>
    <t>lease_Mon_01205</t>
  </si>
  <si>
    <t>lease_Mon_01206</t>
  </si>
  <si>
    <t>lease_Mon_01207</t>
  </si>
  <si>
    <t>lease_Mon_01208</t>
  </si>
  <si>
    <t>lease_Mon_01209</t>
  </si>
  <si>
    <t>lease_Mon_01210</t>
  </si>
  <si>
    <t>lease_Mon_01211</t>
  </si>
  <si>
    <t>lease_Mon_01212</t>
  </si>
  <si>
    <t>lease_Mon_01213</t>
  </si>
  <si>
    <t>lease_Mon_01214</t>
  </si>
  <si>
    <t>lease_Mon_01215</t>
  </si>
  <si>
    <t>lease_Mon_01216</t>
  </si>
  <si>
    <t>lease_Mon_01217</t>
  </si>
  <si>
    <t>lease_Mon_01218</t>
  </si>
  <si>
    <t>lease_Mon_01219</t>
  </si>
  <si>
    <t>lease_Mon_01220</t>
  </si>
  <si>
    <t>lease_Mon_01221</t>
  </si>
  <si>
    <t>lease_Mon_01222</t>
  </si>
  <si>
    <t>lease_Mon_01223</t>
  </si>
  <si>
    <t>lease_Mon_01224</t>
  </si>
  <si>
    <t>lease_Mon_01225</t>
  </si>
  <si>
    <t>lease_Mon_01226</t>
  </si>
  <si>
    <t>lease_Mon_01227</t>
  </si>
  <si>
    <t>lease_Mon_01228</t>
  </si>
  <si>
    <t>lease_Mon_01229</t>
  </si>
  <si>
    <t>lease_Mon_01230</t>
  </si>
  <si>
    <t>lease_Mon_01231</t>
  </si>
  <si>
    <t>lease_Mon_01232</t>
  </si>
  <si>
    <t>lease_Mon_01233</t>
  </si>
  <si>
    <t>lease_Mon_01234</t>
  </si>
  <si>
    <t>lease_Mon_01235</t>
  </si>
  <si>
    <t>lease_Mon_01236</t>
  </si>
  <si>
    <t>lease_Mon_01237</t>
  </si>
  <si>
    <t>lease_Mon_01238</t>
  </si>
  <si>
    <t>lease_Mon_01239</t>
  </si>
  <si>
    <t>lease_Mon_01240</t>
  </si>
  <si>
    <t>lease_Mon_01241</t>
  </si>
  <si>
    <t>lease_Mon_01242</t>
  </si>
  <si>
    <t>lease_Mon_01243</t>
  </si>
  <si>
    <t>lease_Mon_01244</t>
  </si>
  <si>
    <t>lease_Mon_01245</t>
  </si>
  <si>
    <t>lease_Mon_01246</t>
  </si>
  <si>
    <t>lease_Mon_01247</t>
  </si>
  <si>
    <t>lease_Mon_01248</t>
  </si>
  <si>
    <t>lease_Mon_01249</t>
  </si>
  <si>
    <t>lease_Mon_01250</t>
  </si>
  <si>
    <t>lease_Mon_01251</t>
  </si>
  <si>
    <t>lease_Mon_01252</t>
  </si>
  <si>
    <t>lease_Mon_01253</t>
  </si>
  <si>
    <t>lease_Mon_01254</t>
  </si>
  <si>
    <t>lease_Mon_01255</t>
  </si>
  <si>
    <t>lease_Mon_01256</t>
  </si>
  <si>
    <t>lease_Mon_01257</t>
  </si>
  <si>
    <t>lease_Mon_01258</t>
  </si>
  <si>
    <t>lease_Mon_01259</t>
  </si>
  <si>
    <t>lease_Mon_01260</t>
  </si>
  <si>
    <t>lease_Mon_01261</t>
  </si>
  <si>
    <t>lease_Mon_01262</t>
  </si>
  <si>
    <t>lease_Mon_01263</t>
  </si>
  <si>
    <t>lease_Mon_01264</t>
  </si>
  <si>
    <t>lease_Mon_01265</t>
  </si>
  <si>
    <t>lease_Mon_01266</t>
  </si>
  <si>
    <t>lease_Mon_01267</t>
  </si>
  <si>
    <t>lease_Mon_01268</t>
  </si>
  <si>
    <t>lease_Mon_01269</t>
  </si>
  <si>
    <t>lease_Mon_01270</t>
  </si>
  <si>
    <t>lease_Mon_01271</t>
  </si>
  <si>
    <t>lease_Mon_01272</t>
  </si>
  <si>
    <t>lease_Mon_01273</t>
  </si>
  <si>
    <t>lease_Mon_01274</t>
  </si>
  <si>
    <t>lease_Mon_01275</t>
  </si>
  <si>
    <t>lease_Mon_01276</t>
  </si>
  <si>
    <t>lease_Mon_01277</t>
  </si>
  <si>
    <t>lease_Mon_01278</t>
  </si>
  <si>
    <t>lease_Mon_01279</t>
  </si>
  <si>
    <t>lease_Mon_01280</t>
  </si>
  <si>
    <t>lease_Mon_01281</t>
  </si>
  <si>
    <t>lease_Mon_01282</t>
  </si>
  <si>
    <t>lease_Mon_01283</t>
  </si>
  <si>
    <t>lease_Mon_01284</t>
  </si>
  <si>
    <t>lease_Mon_01285</t>
  </si>
  <si>
    <t>lease_Mon_01286</t>
  </si>
  <si>
    <t>lease_Mon_01287</t>
  </si>
  <si>
    <t>lease_Mon_01288</t>
  </si>
  <si>
    <t>lease_Mon_01289</t>
  </si>
  <si>
    <t>lease_Mon_01290</t>
  </si>
  <si>
    <t>lease_Mon_01291</t>
  </si>
  <si>
    <t>lease_Mon_01292</t>
  </si>
  <si>
    <t>lease_Mon_01293</t>
  </si>
  <si>
    <t>lease_Mon_01294</t>
  </si>
  <si>
    <t>lease_Mon_01295</t>
  </si>
  <si>
    <t>lease_Mon_01296</t>
  </si>
  <si>
    <t>lease_Mon_01297</t>
  </si>
  <si>
    <t>lease_Mon_01298</t>
  </si>
  <si>
    <t>lease_Mon_01299</t>
  </si>
  <si>
    <t>lease_Mon_01300</t>
  </si>
  <si>
    <t>lease_Mon_01301</t>
  </si>
  <si>
    <t>lease_Mon_01302</t>
  </si>
  <si>
    <t>lease_Mon_01303</t>
  </si>
  <si>
    <t>lease_Mon_01304</t>
  </si>
  <si>
    <t>lease_Mon_01305</t>
  </si>
  <si>
    <t>lease_Mon_01306</t>
  </si>
  <si>
    <t>lease_Mon_01307</t>
  </si>
  <si>
    <t>lease_Mon_01308</t>
  </si>
  <si>
    <t>lease_Mon_01309</t>
  </si>
  <si>
    <t>lease_Mon_01310</t>
  </si>
  <si>
    <t>lease_Mon_01311</t>
  </si>
  <si>
    <t>lease_Mon_01312</t>
  </si>
  <si>
    <t>lease_Mon_01313</t>
  </si>
  <si>
    <t>lease_Mon_01314</t>
  </si>
  <si>
    <t>lease_Mon_01315</t>
  </si>
  <si>
    <t>lease_Mon_01316</t>
  </si>
  <si>
    <t>lease_Mon_01317</t>
  </si>
  <si>
    <t>lease_Mon_01318</t>
  </si>
  <si>
    <t>lease_Mon_01319</t>
  </si>
  <si>
    <t>lease_Mon_01320</t>
  </si>
  <si>
    <t>lease_Mon_01321</t>
  </si>
  <si>
    <t>lease_Mon_01322</t>
  </si>
  <si>
    <t>lease_Mon_01323</t>
  </si>
  <si>
    <t>lease_Mon_01324</t>
  </si>
  <si>
    <t>lease_Mon_01325</t>
  </si>
  <si>
    <t>lease_Mon_01326</t>
  </si>
  <si>
    <t>lease_Mon_01327</t>
  </si>
  <si>
    <t>lease_Mon_01328</t>
  </si>
  <si>
    <t>lease_Mon_01329</t>
  </si>
  <si>
    <t>lease_Mon_01330</t>
  </si>
  <si>
    <t>lease_Mon_01331</t>
  </si>
  <si>
    <t>lease_Mon_01332</t>
  </si>
  <si>
    <t>lease_Mon_01333</t>
  </si>
  <si>
    <t>lease_Mon_01334</t>
  </si>
  <si>
    <t>lease_Mon_01335</t>
  </si>
  <si>
    <t>lease_Mon_01336</t>
  </si>
  <si>
    <t>lease_Mon_01337</t>
  </si>
  <si>
    <t>lease_Mon_01338</t>
  </si>
  <si>
    <t>lease_Mon_01339</t>
  </si>
  <si>
    <t>lease_Mon_01340</t>
  </si>
  <si>
    <t>lease_Mon_01341</t>
  </si>
  <si>
    <t>lease_Mon_01342</t>
  </si>
  <si>
    <t>lease_Mon_01343</t>
  </si>
  <si>
    <t>lease_Mon_01344</t>
  </si>
  <si>
    <t>lease_Mon_01345</t>
  </si>
  <si>
    <t>lease_Mon_01346</t>
  </si>
  <si>
    <t>lease_Mon_01347</t>
  </si>
  <si>
    <t>lease_Mon_01348</t>
  </si>
  <si>
    <t>lease_Mon_01349</t>
  </si>
  <si>
    <t>lease_Mon_01350</t>
  </si>
  <si>
    <t>lease_Mon_01351</t>
  </si>
  <si>
    <t>lease_Mon_01352</t>
  </si>
  <si>
    <t>lease_Mon_01353</t>
  </si>
  <si>
    <t>lease_Mon_01354</t>
  </si>
  <si>
    <t>lease_Mon_01355</t>
  </si>
  <si>
    <t>lease_Mon_01356</t>
  </si>
  <si>
    <t>lease_Mon_01357</t>
  </si>
  <si>
    <t>lease_Mon_01358</t>
  </si>
  <si>
    <t>lease_Mon_01359</t>
  </si>
  <si>
    <t>lease_Mon_01360</t>
  </si>
  <si>
    <t>lease_Mon_01361</t>
  </si>
  <si>
    <t>lease_Mon_01362</t>
  </si>
  <si>
    <t>lease_Mon_01363</t>
  </si>
  <si>
    <t>lease_Mon_01364</t>
  </si>
  <si>
    <t>lease_Mon_01365</t>
  </si>
  <si>
    <t>lease_Mon_01366</t>
  </si>
  <si>
    <t>lease_Mon_01367</t>
  </si>
  <si>
    <t>lease_Mon_01368</t>
  </si>
  <si>
    <t>lease_Mon_01369</t>
  </si>
  <si>
    <t>lease_Mon_01370</t>
  </si>
  <si>
    <t>lease_Mon_01371</t>
  </si>
  <si>
    <t>lease_Mon_01372</t>
  </si>
  <si>
    <t>lease_Mon_01373</t>
  </si>
  <si>
    <t>lease_Mon_01374</t>
  </si>
  <si>
    <t>lease_Mon_01375</t>
  </si>
  <si>
    <t>lease_Mon_01376</t>
  </si>
  <si>
    <t>lease_Mon_01377</t>
  </si>
  <si>
    <t>lease_Mon_01378</t>
  </si>
  <si>
    <t>lease_Mon_01379</t>
  </si>
  <si>
    <t>lease_Mon_01380</t>
  </si>
  <si>
    <t>lease_Mon_01381</t>
  </si>
  <si>
    <t>lease_Mon_01382</t>
  </si>
  <si>
    <t>lease_Mon_01383</t>
  </si>
  <si>
    <t>lease_Mon_01384</t>
  </si>
  <si>
    <t>lease_Mon_01385</t>
  </si>
  <si>
    <t>lease_Mon_01386</t>
  </si>
  <si>
    <t>lease_Mon_01387</t>
  </si>
  <si>
    <t>lease_Mon_01388</t>
  </si>
  <si>
    <t>lease_Mon_01389</t>
  </si>
  <si>
    <t>lease_Mon_01390</t>
  </si>
  <si>
    <t>lease_Mon_01391</t>
  </si>
  <si>
    <t>lease_Mon_01392</t>
  </si>
  <si>
    <t>lease_Mon_01393</t>
  </si>
  <si>
    <t>lease_Mon_01394</t>
  </si>
  <si>
    <t>lease_Mon_01395</t>
  </si>
  <si>
    <t>lease_Mon_01396</t>
  </si>
  <si>
    <t>lease_Mon_01397</t>
  </si>
  <si>
    <t>lease_Mon_01398</t>
  </si>
  <si>
    <t>lease_Mon_01399</t>
  </si>
  <si>
    <t>lease_Mon_01400</t>
  </si>
  <si>
    <t>lease_Mon_01401</t>
  </si>
  <si>
    <t>lease_Mon_01402</t>
  </si>
  <si>
    <t>lease_Mon_01403</t>
  </si>
  <si>
    <t>lease_Mon_01404</t>
  </si>
  <si>
    <t>lease_Mon_01405</t>
  </si>
  <si>
    <t>lease_Mon_01406</t>
  </si>
  <si>
    <t>lease_Mon_01407</t>
  </si>
  <si>
    <t>lease_Mon_01408</t>
  </si>
  <si>
    <t>lease_Mon_01409</t>
  </si>
  <si>
    <t>lease_Mon_01410</t>
  </si>
  <si>
    <t>lease_Mon_01411</t>
  </si>
  <si>
    <t>lease_Mon_01412</t>
  </si>
  <si>
    <t>lease_Mon_01413</t>
  </si>
  <si>
    <t>lease_Mon_01414</t>
  </si>
  <si>
    <t>lease_Mon_01415</t>
  </si>
  <si>
    <t>lease_Mon_01416</t>
  </si>
  <si>
    <t>lease_Mon_01417</t>
  </si>
  <si>
    <t>lease_Mon_01418</t>
  </si>
  <si>
    <t>lease_Mon_01419</t>
  </si>
  <si>
    <t>lease_Mon_01420</t>
  </si>
  <si>
    <t>lease_Mon_01421</t>
  </si>
  <si>
    <t>lease_Mon_01422</t>
  </si>
  <si>
    <t>lease_Mon_01423</t>
  </si>
  <si>
    <t>lease_Mon_01424</t>
  </si>
  <si>
    <t>lease_Mon_01425</t>
  </si>
  <si>
    <t>lease_Mon_01426</t>
  </si>
  <si>
    <t>lease_Mon_01427</t>
  </si>
  <si>
    <t>lease_Mon_01428</t>
  </si>
  <si>
    <t>lease_Mon_01429</t>
  </si>
  <si>
    <t>lease_Mon_01430</t>
  </si>
  <si>
    <t>lease_Mon_01431</t>
  </si>
  <si>
    <t>lease_Mon_01432</t>
  </si>
  <si>
    <t>lease_Mon_01433</t>
  </si>
  <si>
    <t>lease_Mon_01434</t>
  </si>
  <si>
    <t>lease_Mon_01435</t>
  </si>
  <si>
    <t>lease_Mon_01436</t>
  </si>
  <si>
    <t>lease_Mon_01437</t>
  </si>
  <si>
    <t>lease_Mon_01438</t>
  </si>
  <si>
    <t>lease_Mon_01439</t>
  </si>
  <si>
    <t>lease_Mon_01440</t>
  </si>
  <si>
    <t>lease_Mon_01441</t>
  </si>
  <si>
    <t>lease_Mon_01442</t>
  </si>
  <si>
    <t>lease_Mon_01443</t>
  </si>
  <si>
    <t>lease_Mon_01444</t>
  </si>
  <si>
    <t>lease_Mon_01445</t>
  </si>
  <si>
    <t>lease_Mon_01446</t>
  </si>
  <si>
    <t>lease_Mon_01447</t>
  </si>
  <si>
    <t>lease_Mon_01448</t>
  </si>
  <si>
    <t>lease_Mon_01449</t>
  </si>
  <si>
    <t>lease_Mon_01450</t>
  </si>
  <si>
    <t>lease_Mon_01451</t>
  </si>
  <si>
    <t>lease_Mon_01452</t>
  </si>
  <si>
    <t>lease_Mon_01453</t>
  </si>
  <si>
    <t>lease_Mon_01454</t>
  </si>
  <si>
    <t>lease_Mon_01455</t>
  </si>
  <si>
    <t>lease_Mon_01456</t>
  </si>
  <si>
    <t>lease_Mon_01457</t>
  </si>
  <si>
    <t>lease_Mon_01458</t>
  </si>
  <si>
    <t>lease_Mon_01459</t>
  </si>
  <si>
    <t>lease_Mon_01460</t>
  </si>
  <si>
    <t>lease_Mon_01461</t>
  </si>
  <si>
    <t>lease_Mon_01462</t>
  </si>
  <si>
    <t>lease_Mon_01463</t>
  </si>
  <si>
    <t>lease_Mon_01464</t>
  </si>
  <si>
    <t>lease_Mon_01465</t>
  </si>
  <si>
    <t>lease_Mon_01466</t>
  </si>
  <si>
    <t>lease_Mon_01467</t>
  </si>
  <si>
    <t>lease_Mon_01468</t>
  </si>
  <si>
    <t>lease_Mon_01469</t>
  </si>
  <si>
    <t>lease_Mon_01470</t>
  </si>
  <si>
    <t>lease_Mon_01471</t>
  </si>
  <si>
    <t>lease_Mon_01472</t>
  </si>
  <si>
    <t>lease_Mon_01473</t>
  </si>
  <si>
    <t>lease_Mon_01474</t>
  </si>
  <si>
    <t>lease_Mon_01475</t>
  </si>
  <si>
    <t>lease_Mon_01476</t>
  </si>
  <si>
    <t>lease_Mon_01477</t>
  </si>
  <si>
    <t>lease_Mon_01478</t>
  </si>
  <si>
    <t>lease_Mon_01479</t>
  </si>
  <si>
    <t>lease_Mon_01480</t>
  </si>
  <si>
    <t>lease_Mon_01481</t>
  </si>
  <si>
    <t>lease_Mon_01482</t>
  </si>
  <si>
    <t>lease_Mon_01483</t>
  </si>
  <si>
    <t>lease_Mon_01484</t>
  </si>
  <si>
    <t>lease_Mon_01485</t>
  </si>
  <si>
    <t>lease_Mon_01486</t>
  </si>
  <si>
    <t>lease_Mon_01487</t>
  </si>
  <si>
    <t>lease_Mon_01488</t>
  </si>
  <si>
    <t>lease_Mon_01489</t>
  </si>
  <si>
    <t>lease_Mon_01490</t>
  </si>
  <si>
    <t>lease_Mon_01491</t>
  </si>
  <si>
    <t>lease_Mon_01492</t>
  </si>
  <si>
    <t>lease_Mon_01493</t>
  </si>
  <si>
    <t>lease_Mon_01494</t>
  </si>
  <si>
    <t>lease_Mon_01495</t>
  </si>
  <si>
    <t>lease_Mon_01496</t>
  </si>
  <si>
    <t>lease_Mon_01497</t>
  </si>
  <si>
    <t>lease_Mon_01498</t>
  </si>
  <si>
    <t>lease_Mon_01499</t>
  </si>
  <si>
    <t>lease_Mon_01500</t>
  </si>
  <si>
    <t>lease_Mon_01501</t>
  </si>
  <si>
    <t>lease_Mon_01502</t>
  </si>
  <si>
    <t>lease_Mon_01503</t>
  </si>
  <si>
    <t>lease_Mon_01504</t>
  </si>
  <si>
    <t>lease_Mon_01505</t>
  </si>
  <si>
    <t>lease_Mon_01506</t>
  </si>
  <si>
    <t>lease_Mon_01507</t>
  </si>
  <si>
    <t>lease_Mon_01508</t>
  </si>
  <si>
    <t>lease_Mon_01509</t>
  </si>
  <si>
    <t>lease_Mon_01510</t>
  </si>
  <si>
    <t>lease_Mon_01511</t>
  </si>
  <si>
    <t>lease_Mon_01512</t>
  </si>
  <si>
    <t>lease_Mon_01513</t>
  </si>
  <si>
    <t>lease_Mon_01514</t>
  </si>
  <si>
    <t>lease_Mon_01515</t>
  </si>
  <si>
    <t>lease_Mon_01516</t>
  </si>
  <si>
    <t>lease_Mon_01517</t>
  </si>
  <si>
    <t>lease_Mon_01518</t>
  </si>
  <si>
    <t>lease_Mon_01519</t>
  </si>
  <si>
    <t>lease_Mon_01520</t>
  </si>
  <si>
    <t>lease_Mon_01521</t>
  </si>
  <si>
    <t>lease_Mon_01522</t>
  </si>
  <si>
    <t>lease_Mon_01523</t>
  </si>
  <si>
    <t>lease_Mon_01524</t>
  </si>
  <si>
    <t>lease_Mon_01525</t>
  </si>
  <si>
    <t>lease_Mon_01526</t>
  </si>
  <si>
    <t>lease_Mon_01527</t>
  </si>
  <si>
    <t>lease_Mon_01528</t>
  </si>
  <si>
    <t>lease_Mon_01529</t>
  </si>
  <si>
    <t>lease_Mon_01530</t>
  </si>
  <si>
    <t>lease_Mon_01531</t>
  </si>
  <si>
    <t>lease_Mon_01532</t>
  </si>
  <si>
    <t>lease_Mon_01533</t>
  </si>
  <si>
    <t>lease_Mon_01534</t>
  </si>
  <si>
    <t>lease_Mon_01535</t>
  </si>
  <si>
    <t>lease_Mon_01536</t>
  </si>
  <si>
    <t>lease_Mon_01537</t>
  </si>
  <si>
    <t>lease_Mon_01538</t>
  </si>
  <si>
    <t>lease_Mon_01539</t>
  </si>
  <si>
    <t>lease_Mon_01540</t>
  </si>
  <si>
    <t>lease_Mon_01541</t>
  </si>
  <si>
    <t>lease_Mon_01542</t>
  </si>
  <si>
    <t>lease_Mon_01543</t>
  </si>
  <si>
    <t>lease_Mon_01544</t>
  </si>
  <si>
    <t>lease_Mon_01545</t>
  </si>
  <si>
    <t>lease_Mon_01546</t>
  </si>
  <si>
    <t>lease_Mon_01547</t>
  </si>
  <si>
    <t>lease_Mon_01548</t>
  </si>
  <si>
    <t>lease_Mon_01549</t>
  </si>
  <si>
    <t>lease_Mon_01550</t>
  </si>
  <si>
    <t>lease_Mon_01551</t>
  </si>
  <si>
    <t>lease_Mon_01552</t>
  </si>
  <si>
    <t>lease_Mon_01553</t>
  </si>
  <si>
    <t>lease_Mon_01554</t>
  </si>
  <si>
    <t>lease_Mon_01555</t>
  </si>
  <si>
    <t>lease_Mon_01556</t>
  </si>
  <si>
    <t>lease_Mon_01557</t>
  </si>
  <si>
    <t>lease_Mon_01558</t>
  </si>
  <si>
    <t>lease_Mon_01559</t>
  </si>
  <si>
    <t>lease_Mon_01560</t>
  </si>
  <si>
    <t>lease_Mon_01561</t>
  </si>
  <si>
    <t>lease_Mon_01562</t>
  </si>
  <si>
    <t>lease_Mon_01563</t>
  </si>
  <si>
    <t>lease_Mon_01564</t>
  </si>
  <si>
    <t>lease_Mon_01565</t>
  </si>
  <si>
    <t>lease_Mon_01566</t>
  </si>
  <si>
    <t>lease_Mon_01567</t>
  </si>
  <si>
    <t>lease_Mon_01568</t>
  </si>
  <si>
    <t>lease_Mon_01569</t>
  </si>
  <si>
    <t>lease_Mon_01570</t>
  </si>
  <si>
    <t>lease_Mon_01571</t>
  </si>
  <si>
    <t>lease_Mon_01572</t>
  </si>
  <si>
    <t>lease_Mon_01573</t>
  </si>
  <si>
    <t>lease_Mon_01574</t>
  </si>
  <si>
    <t>lease_Mon_01575</t>
  </si>
  <si>
    <t>lease_Mon_01576</t>
  </si>
  <si>
    <t>lease_Mon_01577</t>
  </si>
  <si>
    <t>lease_Mon_01578</t>
  </si>
  <si>
    <t>lease_Mon_01579</t>
  </si>
  <si>
    <t>lease_Mon_01580</t>
  </si>
  <si>
    <t>lease_Mon_01581</t>
  </si>
  <si>
    <t>lease_Mon_01582</t>
  </si>
  <si>
    <t>lease_Mon_01583</t>
  </si>
  <si>
    <t>lease_Mon_01584</t>
  </si>
  <si>
    <t>lease_Mon_01585</t>
  </si>
  <si>
    <t>lease_Mon_01586</t>
  </si>
  <si>
    <t>lease_Mon_01587</t>
  </si>
  <si>
    <t>lease_Mon_01588</t>
  </si>
  <si>
    <t>lease_Mon_01589</t>
  </si>
  <si>
    <t>lease_Mon_01590</t>
  </si>
  <si>
    <t>lease_Mon_01591</t>
  </si>
  <si>
    <t>lease_Mon_01592</t>
  </si>
  <si>
    <t>lease_Mon_01593</t>
  </si>
  <si>
    <t>lease_Mon_01594</t>
  </si>
  <si>
    <t>lease_Mon_01595</t>
  </si>
  <si>
    <t>lease_Mon_01596</t>
  </si>
  <si>
    <t>lease_Mon_01597</t>
  </si>
  <si>
    <t>lease_Mon_01598</t>
  </si>
  <si>
    <t>lease_Mon_01599</t>
  </si>
  <si>
    <t>lease_Mon_01600</t>
  </si>
  <si>
    <t>lease_Mon_01601</t>
  </si>
  <si>
    <t>lease_Mon_01602</t>
  </si>
  <si>
    <t>lease_Mon_01603</t>
  </si>
  <si>
    <t>lease_Mon_01604</t>
  </si>
  <si>
    <t>lease_Mon_01605</t>
  </si>
  <si>
    <t>lease_Mon_01606</t>
  </si>
  <si>
    <t>lease_Mon_01607</t>
  </si>
  <si>
    <t>lease_Mon_01608</t>
  </si>
  <si>
    <t>lease_Mon_01609</t>
  </si>
  <si>
    <t>lease_Mon_01610</t>
  </si>
  <si>
    <t>lease_Mon_01611</t>
  </si>
  <si>
    <t>lease_Mon_01612</t>
  </si>
  <si>
    <t>lease_Mon_01613</t>
  </si>
  <si>
    <t>lease_Mon_01614</t>
  </si>
  <si>
    <t>lease_Mon_01615</t>
  </si>
  <si>
    <t>lease_Mon_01616</t>
  </si>
  <si>
    <t>lease_Mon_01617</t>
  </si>
  <si>
    <t>lease_Mon_01618</t>
  </si>
  <si>
    <t>lease_Mon_01619</t>
  </si>
  <si>
    <t>lease_Mon_01620</t>
  </si>
  <si>
    <t>lease_Mon_01621</t>
  </si>
  <si>
    <t>lease_Mon_01622</t>
  </si>
  <si>
    <t>lease_Mon_01623</t>
  </si>
  <si>
    <t>lease_Mon_01624</t>
  </si>
  <si>
    <t>lease_Mon_01625</t>
  </si>
  <si>
    <t>lease_Mon_01626</t>
  </si>
  <si>
    <t>lease_Mon_01627</t>
  </si>
  <si>
    <t>lease_Mon_01628</t>
  </si>
  <si>
    <t>lease_Mon_01629</t>
  </si>
  <si>
    <t>lease_Mon_01630</t>
  </si>
  <si>
    <t>lease_Mon_01631</t>
  </si>
  <si>
    <t>lease_Mon_01632</t>
  </si>
  <si>
    <t>lease_Mon_01633</t>
  </si>
  <si>
    <t>lease_Mon_01634</t>
  </si>
  <si>
    <t>lease_Mon_01635</t>
  </si>
  <si>
    <t>lease_Mon_01636</t>
  </si>
  <si>
    <t>lease_Mon_01637</t>
  </si>
  <si>
    <t>lease_Mon_01638</t>
  </si>
  <si>
    <t>lease_Mon_01639</t>
  </si>
  <si>
    <t>lease_Mon_01640</t>
  </si>
  <si>
    <t>lease_Mon_01641</t>
  </si>
  <si>
    <t>lease_Mon_01642</t>
  </si>
  <si>
    <t>lease_Mon_01643</t>
  </si>
  <si>
    <t>lease_Mon_01644</t>
  </si>
  <si>
    <t>lease_Mon_01645</t>
  </si>
  <si>
    <t>lease_Mon_01646</t>
  </si>
  <si>
    <t>lease_Mon_01647</t>
  </si>
  <si>
    <t>lease_Mon_01648</t>
  </si>
  <si>
    <t>lease_Mon_01649</t>
  </si>
  <si>
    <t>lease_Mon_01650</t>
  </si>
  <si>
    <t>lease_Mon_01651</t>
  </si>
  <si>
    <t>lease_Mon_01652</t>
  </si>
  <si>
    <t>lease_Mon_01653</t>
  </si>
  <si>
    <t>lease_Mon_01654</t>
  </si>
  <si>
    <t>lease_Mon_01655</t>
  </si>
  <si>
    <t>lease_Mon_01656</t>
  </si>
  <si>
    <t>lease_Mon_01657</t>
  </si>
  <si>
    <t>lease_Mon_01658</t>
  </si>
  <si>
    <t>lease_Mon_01659</t>
  </si>
  <si>
    <t>lease_Mon_01660</t>
  </si>
  <si>
    <t>lease_Mon_01661</t>
  </si>
  <si>
    <t>lease_Mon_01662</t>
  </si>
  <si>
    <t>lease_Mon_01663</t>
  </si>
  <si>
    <t>lease_Mon_01664</t>
  </si>
  <si>
    <t>lease_Mon_01665</t>
  </si>
  <si>
    <t>lease_Mon_01666</t>
  </si>
  <si>
    <t>lease_Mon_01667</t>
  </si>
  <si>
    <t>lease_Mon_01668</t>
  </si>
  <si>
    <t>lease_Mon_01669</t>
  </si>
  <si>
    <t>lease_Mon_01670</t>
  </si>
  <si>
    <t>lease_Mon_01671</t>
  </si>
  <si>
    <t>lease_Mon_01672</t>
  </si>
  <si>
    <t>lease_Mon_01673</t>
  </si>
  <si>
    <t>lease_Mon_01674</t>
  </si>
  <si>
    <t>lease_Mon_01675</t>
  </si>
  <si>
    <t>lease_Mon_01676</t>
  </si>
  <si>
    <t>lease_Mon_01677</t>
  </si>
  <si>
    <t>lease_Mon_01678</t>
  </si>
  <si>
    <t>lease_Mon_01679</t>
  </si>
  <si>
    <t>lease_Mon_01680</t>
  </si>
  <si>
    <t>lease_Mon_01681</t>
  </si>
  <si>
    <t>lease_Mon_01682</t>
  </si>
  <si>
    <t>lease_Mon_01683</t>
  </si>
  <si>
    <t>lease_Mon_01684</t>
  </si>
  <si>
    <t>lease_Mon_01685</t>
  </si>
  <si>
    <t>lease_Mon_01686</t>
  </si>
  <si>
    <t>lease_Mon_01687</t>
  </si>
  <si>
    <t>lease_Mon_01688</t>
  </si>
  <si>
    <t>lease_Mon_01689</t>
  </si>
  <si>
    <t>lease_Mon_01690</t>
  </si>
  <si>
    <t>lease_Mon_01691</t>
  </si>
  <si>
    <t>lease_Mon_01692</t>
  </si>
  <si>
    <t>lease_Mon_01693</t>
  </si>
  <si>
    <t>lease_Mon_01694</t>
  </si>
  <si>
    <t>lease_Mon_01695</t>
  </si>
  <si>
    <t>lease_Mon_01696</t>
  </si>
  <si>
    <t>lease_Mon_01697</t>
  </si>
  <si>
    <t>lease_Mon_01698</t>
  </si>
  <si>
    <t>lease_Mon_01699</t>
  </si>
  <si>
    <t>lease_Mon_01700</t>
  </si>
  <si>
    <t>lease_Mon_01701</t>
  </si>
  <si>
    <t>lease_Mon_01702</t>
  </si>
  <si>
    <t>lease_Mon_01703</t>
  </si>
  <si>
    <t>lease_Mon_01704</t>
  </si>
  <si>
    <t>lease_Mon_01705</t>
  </si>
  <si>
    <t>lease_Mon_01706</t>
  </si>
  <si>
    <t>lease_Mon_01707</t>
  </si>
  <si>
    <t>lease_Mon_01708</t>
  </si>
  <si>
    <t>lease_Mon_01709</t>
  </si>
  <si>
    <t>lease_Mon_01710</t>
  </si>
  <si>
    <t>lease_Mon_01711</t>
  </si>
  <si>
    <t>lease_Mon_01712</t>
  </si>
  <si>
    <t>lease_Mon_01713</t>
  </si>
  <si>
    <t>lease_Mon_01714</t>
  </si>
  <si>
    <t>lease_Mon_01715</t>
  </si>
  <si>
    <t>lease_Mon_01716</t>
  </si>
  <si>
    <t>own_Mon_00001</t>
  </si>
  <si>
    <t>own_Mon_00002</t>
  </si>
  <si>
    <t>own_Mon_00003</t>
  </si>
  <si>
    <t>own_Mon_00004</t>
  </si>
  <si>
    <t>own_Mon_00005</t>
  </si>
  <si>
    <t>own_Mon_00006</t>
  </si>
  <si>
    <t>own_Mon_00007</t>
  </si>
  <si>
    <t>own_Mon_00008</t>
  </si>
  <si>
    <t>own_Mon_00009</t>
  </si>
  <si>
    <t>own_Mon_00010</t>
  </si>
  <si>
    <t>own_Mon_00011</t>
  </si>
  <si>
    <t>own_Mon_00012</t>
  </si>
  <si>
    <t>own_Mon_00013</t>
  </si>
  <si>
    <t>own_Mon_00014</t>
  </si>
  <si>
    <t>own_Mon_00015</t>
  </si>
  <si>
    <t>own_Mon_00016</t>
  </si>
  <si>
    <t>own_Mon_00017</t>
  </si>
  <si>
    <t>own_Mon_00018</t>
  </si>
  <si>
    <t>own_Mon_00019</t>
  </si>
  <si>
    <t>own_Mon_00020</t>
  </si>
  <si>
    <t>own_Mon_00021</t>
  </si>
  <si>
    <t>own_Mon_00022</t>
  </si>
  <si>
    <t>own_Mon_00023</t>
  </si>
  <si>
    <t>own_Mon_00024</t>
  </si>
  <si>
    <t>own_Mon_00025</t>
  </si>
  <si>
    <t>own_Mon_00026</t>
  </si>
  <si>
    <t>own_Mon_00027</t>
  </si>
  <si>
    <t>own_Mon_00028</t>
  </si>
  <si>
    <t>own_Mon_00029</t>
  </si>
  <si>
    <t>own_Mon_00030</t>
  </si>
  <si>
    <t>own_Mon_00031</t>
  </si>
  <si>
    <t>own_Mon_00032</t>
  </si>
  <si>
    <t>own_Mon_00033</t>
  </si>
  <si>
    <t>own_Mon_00034</t>
  </si>
  <si>
    <t>own_Mon_00035</t>
  </si>
  <si>
    <t>own_Mon_00036</t>
  </si>
  <si>
    <t>own_Mon_00037</t>
  </si>
  <si>
    <t>own_Mon_00038</t>
  </si>
  <si>
    <t>own_Mon_00039</t>
  </si>
  <si>
    <t>own_Mon_00040</t>
  </si>
  <si>
    <t>own_Mon_00041</t>
  </si>
  <si>
    <t>own_Mon_00042</t>
  </si>
  <si>
    <t>own_Mon_00043</t>
  </si>
  <si>
    <t>own_Mon_00044</t>
  </si>
  <si>
    <t>own_Mon_00045</t>
  </si>
  <si>
    <t>own_Mon_00046</t>
  </si>
  <si>
    <t>own_Mon_00047</t>
  </si>
  <si>
    <t>own_Mon_00048</t>
  </si>
  <si>
    <t>own_Mon_00049</t>
  </si>
  <si>
    <t>own_Mon_00050</t>
  </si>
  <si>
    <t>own_Mon_00051</t>
  </si>
  <si>
    <t>own_Mon_00052</t>
  </si>
  <si>
    <t>own_Mon_00053</t>
  </si>
  <si>
    <t>own_Mon_00054</t>
  </si>
  <si>
    <t>own_Mon_00055</t>
  </si>
  <si>
    <t>own_Mon_00056</t>
  </si>
  <si>
    <t>own_Mon_00057</t>
  </si>
  <si>
    <t>own_Mon_00058</t>
  </si>
  <si>
    <t>own_Mon_00059</t>
  </si>
  <si>
    <t>own_Mon_00060</t>
  </si>
  <si>
    <t>own_Mon_00061</t>
  </si>
  <si>
    <t>own_Mon_00062</t>
  </si>
  <si>
    <t>own_Mon_00063</t>
  </si>
  <si>
    <t>own_Mon_00064</t>
  </si>
  <si>
    <t>own_Mon_00065</t>
  </si>
  <si>
    <t>own_Mon_00066</t>
  </si>
  <si>
    <t>own_Mon_00067</t>
  </si>
  <si>
    <t>own_Mon_00068</t>
  </si>
  <si>
    <t>own_Mon_00069</t>
  </si>
  <si>
    <t>own_Mon_00070</t>
  </si>
  <si>
    <t>own_Mon_00071</t>
  </si>
  <si>
    <t>own_Mon_00072</t>
  </si>
  <si>
    <t>own_Mon_00073</t>
  </si>
  <si>
    <t>own_Mon_00074</t>
  </si>
  <si>
    <t>own_Mon_00075</t>
  </si>
  <si>
    <t>own_Mon_00076</t>
  </si>
  <si>
    <t>own_Mon_00077</t>
  </si>
  <si>
    <t>own_Mon_00078</t>
  </si>
  <si>
    <t>own_Mon_00079</t>
  </si>
  <si>
    <t>own_Mon_00080</t>
  </si>
  <si>
    <t>own_Mon_00081</t>
  </si>
  <si>
    <t>own_Mon_00082</t>
  </si>
  <si>
    <t>own_Mon_00083</t>
  </si>
  <si>
    <t>own_Mon_00084</t>
  </si>
  <si>
    <t>own_Mon_00085</t>
  </si>
  <si>
    <t>own_Mon_00086</t>
  </si>
  <si>
    <t>own_Mon_00087</t>
  </si>
  <si>
    <t>own_Mon_00088</t>
  </si>
  <si>
    <t>own_Mon_00089</t>
  </si>
  <si>
    <t>own_Mon_00090</t>
  </si>
  <si>
    <t>own_Mon_00091</t>
  </si>
  <si>
    <t>own_Mon_00092</t>
  </si>
  <si>
    <t>own_Mon_00093</t>
  </si>
  <si>
    <t>own_Mon_00094</t>
  </si>
  <si>
    <t>own_Mon_00095</t>
  </si>
  <si>
    <t>own_Mon_00096</t>
  </si>
  <si>
    <t>own_Mon_00097</t>
  </si>
  <si>
    <t>own_Mon_00098</t>
  </si>
  <si>
    <t>own_Mon_00099</t>
  </si>
  <si>
    <t>own_Mon_00100</t>
  </si>
  <si>
    <t>own_Mon_00101</t>
  </si>
  <si>
    <t>own_Mon_00102</t>
  </si>
  <si>
    <t>own_Mon_00103</t>
  </si>
  <si>
    <t>own_Mon_00104</t>
  </si>
  <si>
    <t>own_Mon_00105</t>
  </si>
  <si>
    <t>own_Mon_00106</t>
  </si>
  <si>
    <t>own_Mon_00107</t>
  </si>
  <si>
    <t>own_Mon_00108</t>
  </si>
  <si>
    <t>own_Mon_00109</t>
  </si>
  <si>
    <t>own_Mon_00110</t>
  </si>
  <si>
    <t>own_Mon_00111</t>
  </si>
  <si>
    <t>own_Mon_00112</t>
  </si>
  <si>
    <t>own_Mon_00113</t>
  </si>
  <si>
    <t>own_Mon_00114</t>
  </si>
  <si>
    <t>own_Mon_00115</t>
  </si>
  <si>
    <t>own_Mon_00116</t>
  </si>
  <si>
    <t>own_Mon_00117</t>
  </si>
  <si>
    <t>own_Mon_00118</t>
  </si>
  <si>
    <t>own_Mon_00119</t>
  </si>
  <si>
    <t>own_Mon_00120</t>
  </si>
  <si>
    <t>own_Mon_00121</t>
  </si>
  <si>
    <t>own_Mon_00122</t>
  </si>
  <si>
    <t>own_Mon_00123</t>
  </si>
  <si>
    <t>own_Mon_00124</t>
  </si>
  <si>
    <t>own_Mon_00125</t>
  </si>
  <si>
    <t>own_Mon_00126</t>
  </si>
  <si>
    <t>own_Mon_00127</t>
  </si>
  <si>
    <t>own_Mon_00128</t>
  </si>
  <si>
    <t>own_Mon_00129</t>
  </si>
  <si>
    <t>own_Mon_00130</t>
  </si>
  <si>
    <t>own_Mon_00131</t>
  </si>
  <si>
    <t>own_Mon_00132</t>
  </si>
  <si>
    <t>own_Mon_00133</t>
  </si>
  <si>
    <t>own_Mon_00134</t>
  </si>
  <si>
    <t>own_Mon_00135</t>
  </si>
  <si>
    <t>own_Mon_00136</t>
  </si>
  <si>
    <t>own_Mon_00137</t>
  </si>
  <si>
    <t>own_Mon_00138</t>
  </si>
  <si>
    <t>own_Mon_00139</t>
  </si>
  <si>
    <t>own_Mon_00140</t>
  </si>
  <si>
    <t>own_Mon_00141</t>
  </si>
  <si>
    <t>own_Mon_00142</t>
  </si>
  <si>
    <t>own_Mon_00143</t>
  </si>
  <si>
    <t>own_Mon_00144</t>
  </si>
  <si>
    <t>own_Mon_00145</t>
  </si>
  <si>
    <t>own_Mon_00146</t>
  </si>
  <si>
    <t>own_Mon_00147</t>
  </si>
  <si>
    <t>own_Mon_00148</t>
  </si>
  <si>
    <t>own_Mon_00149</t>
  </si>
  <si>
    <t>own_Mon_00150</t>
  </si>
  <si>
    <t>own_Mon_00151</t>
  </si>
  <si>
    <t>own_Mon_00152</t>
  </si>
  <si>
    <t>own_Mon_00153</t>
  </si>
  <si>
    <t>own_Mon_00154</t>
  </si>
  <si>
    <t>own_Mon_00155</t>
  </si>
  <si>
    <t>own_Mon_00156</t>
  </si>
  <si>
    <t>own_Mon_00157</t>
  </si>
  <si>
    <t>own_Mon_00158</t>
  </si>
  <si>
    <t>own_Mon_00159</t>
  </si>
  <si>
    <t>own_Mon_00160</t>
  </si>
  <si>
    <t>own_Mon_00161</t>
  </si>
  <si>
    <t>own_Mon_00162</t>
  </si>
  <si>
    <t>own_Mon_00163</t>
  </si>
  <si>
    <t>own_Mon_00164</t>
  </si>
  <si>
    <t>own_Mon_00165</t>
  </si>
  <si>
    <t>own_Mon_00166</t>
  </si>
  <si>
    <t>own_Mon_00167</t>
  </si>
  <si>
    <t>own_Mon_00168</t>
  </si>
  <si>
    <t>own_Mon_00169</t>
  </si>
  <si>
    <t>own_Mon_00170</t>
  </si>
  <si>
    <t>own_Mon_00171</t>
  </si>
  <si>
    <t>own_Mon_00172</t>
  </si>
  <si>
    <t>own_Mon_00173</t>
  </si>
  <si>
    <t>own_Mon_00174</t>
  </si>
  <si>
    <t>own_Mon_00175</t>
  </si>
  <si>
    <t>own_Mon_00176</t>
  </si>
  <si>
    <t>own_Mon_00177</t>
  </si>
  <si>
    <t>own_Mon_00178</t>
  </si>
  <si>
    <t>own_Mon_00179</t>
  </si>
  <si>
    <t>own_Mon_00180</t>
  </si>
  <si>
    <t>own_Mon_00181</t>
  </si>
  <si>
    <t>own_Mon_00182</t>
  </si>
  <si>
    <t>own_Mon_00183</t>
  </si>
  <si>
    <t>own_Mon_00184</t>
  </si>
  <si>
    <t>own_Mon_00185</t>
  </si>
  <si>
    <t>own_Mon_00186</t>
  </si>
  <si>
    <t>own_Mon_00187</t>
  </si>
  <si>
    <t>own_Mon_00188</t>
  </si>
  <si>
    <t>own_Mon_00189</t>
  </si>
  <si>
    <t>own_Mon_00190</t>
  </si>
  <si>
    <t>own_Mon_00191</t>
  </si>
  <si>
    <t>own_Mon_00192</t>
  </si>
  <si>
    <t>own_Mon_00193</t>
  </si>
  <si>
    <t>own_Mon_00194</t>
  </si>
  <si>
    <t>own_Mon_00195</t>
  </si>
  <si>
    <t>own_Mon_00196</t>
  </si>
  <si>
    <t>own_Mon_00197</t>
  </si>
  <si>
    <t>own_Mon_00198</t>
  </si>
  <si>
    <t>own_Mon_00199</t>
  </si>
  <si>
    <t>own_Mon_00200</t>
  </si>
  <si>
    <t>own_Mon_00201</t>
  </si>
  <si>
    <t>own_Mon_00202</t>
  </si>
  <si>
    <t>own_Mon_00203</t>
  </si>
  <si>
    <t>own_Mon_00204</t>
  </si>
  <si>
    <t>own_Mon_00205</t>
  </si>
  <si>
    <t>own_Mon_00206</t>
  </si>
  <si>
    <t>own_Mon_00207</t>
  </si>
  <si>
    <t>own_Mon_00208</t>
  </si>
  <si>
    <t>own_Mon_00209</t>
  </si>
  <si>
    <t>own_Mon_00210</t>
  </si>
  <si>
    <t>own_Mon_00211</t>
  </si>
  <si>
    <t>own_Mon_00212</t>
  </si>
  <si>
    <t>own_Mon_00213</t>
  </si>
  <si>
    <t>own_Mon_00214</t>
  </si>
  <si>
    <t>own_Mon_00215</t>
  </si>
  <si>
    <t>own_Mon_00216</t>
  </si>
  <si>
    <t>own_Mon_00217</t>
  </si>
  <si>
    <t>own_Mon_00218</t>
  </si>
  <si>
    <t>own_Mon_00219</t>
  </si>
  <si>
    <t>own_Mon_00220</t>
  </si>
  <si>
    <t>own_Mon_00221</t>
  </si>
  <si>
    <t>own_Mon_00222</t>
  </si>
  <si>
    <t>own_Mon_00223</t>
  </si>
  <si>
    <t>own_Mon_00224</t>
  </si>
  <si>
    <t>own_Mon_00225</t>
  </si>
  <si>
    <t>own_Mon_00226</t>
  </si>
  <si>
    <t>own_Mon_00227</t>
  </si>
  <si>
    <t>own_Mon_00228</t>
  </si>
  <si>
    <t>own_Mon_00229</t>
  </si>
  <si>
    <t>own_Mon_00230</t>
  </si>
  <si>
    <t>own_Mon_00231</t>
  </si>
  <si>
    <t>own_Mon_00232</t>
  </si>
  <si>
    <t>own_Mon_00233</t>
  </si>
  <si>
    <t>own_Mon_00234</t>
  </si>
  <si>
    <t>own_Mon_00235</t>
  </si>
  <si>
    <t>own_Mon_00236</t>
  </si>
  <si>
    <t>own_Mon_00237</t>
  </si>
  <si>
    <t>own_Mon_00238</t>
  </si>
  <si>
    <t>own_Mon_00239</t>
  </si>
  <si>
    <t>own_Mon_00240</t>
  </si>
  <si>
    <t>own_Mon_00241</t>
  </si>
  <si>
    <t>own_Mon_00242</t>
  </si>
  <si>
    <t>own_Mon_00243</t>
  </si>
  <si>
    <t>own_Mon_00244</t>
  </si>
  <si>
    <t>own_Mon_00245</t>
  </si>
  <si>
    <t>own_Mon_00246</t>
  </si>
  <si>
    <t>own_Mon_00247</t>
  </si>
  <si>
    <t>own_Mon_00248</t>
  </si>
  <si>
    <t>own_Mon_00249</t>
  </si>
  <si>
    <t>own_Mon_00250</t>
  </si>
  <si>
    <t>own_Mon_00251</t>
  </si>
  <si>
    <t>own_Mon_00252</t>
  </si>
  <si>
    <t>own_Mon_00253</t>
  </si>
  <si>
    <t>own_Mon_00254</t>
  </si>
  <si>
    <t>own_Mon_00255</t>
  </si>
  <si>
    <t>own_Mon_00256</t>
  </si>
  <si>
    <t>own_Mon_00257</t>
  </si>
  <si>
    <t>own_Mon_00258</t>
  </si>
  <si>
    <t>own_Mon_00259</t>
  </si>
  <si>
    <t>own_Mon_00260</t>
  </si>
  <si>
    <t>own_Mon_00261</t>
  </si>
  <si>
    <t>own_Mon_00262</t>
  </si>
  <si>
    <t>own_Mon_00263</t>
  </si>
  <si>
    <t>own_Mon_00264</t>
  </si>
  <si>
    <t>own_Mon_00265</t>
  </si>
  <si>
    <t>own_Mon_00266</t>
  </si>
  <si>
    <t>own_Mon_00267</t>
  </si>
  <si>
    <t>own_Mon_00268</t>
  </si>
  <si>
    <t>own_Mon_00269</t>
  </si>
  <si>
    <t>own_Mon_00270</t>
  </si>
  <si>
    <t>own_Mon_00271</t>
  </si>
  <si>
    <t>own_Mon_00272</t>
  </si>
  <si>
    <t>own_Mon_00273</t>
  </si>
  <si>
    <t>own_Mon_00274</t>
  </si>
  <si>
    <t>own_Mon_00275</t>
  </si>
  <si>
    <t>own_Mon_00276</t>
  </si>
  <si>
    <t>own_Mon_00277</t>
  </si>
  <si>
    <t>own_Mon_00278</t>
  </si>
  <si>
    <t>own_Mon_00279</t>
  </si>
  <si>
    <t>own_Mon_00280</t>
  </si>
  <si>
    <t>own_Mon_00281</t>
  </si>
  <si>
    <t>own_Mon_00282</t>
  </si>
  <si>
    <t>own_Mon_00283</t>
  </si>
  <si>
    <t>own_Mon_00284</t>
  </si>
  <si>
    <t>own_Mon_00285</t>
  </si>
  <si>
    <t>own_Mon_00286</t>
  </si>
  <si>
    <t>own_Mon_00287</t>
  </si>
  <si>
    <t>own_Mon_00288</t>
  </si>
  <si>
    <t>own_Mon_00289</t>
  </si>
  <si>
    <t>own_Mon_00290</t>
  </si>
  <si>
    <t>own_Mon_00291</t>
  </si>
  <si>
    <t>own_Mon_00292</t>
  </si>
  <si>
    <t>own_Mon_00293</t>
  </si>
  <si>
    <t>own_Mon_00294</t>
  </si>
  <si>
    <t>own_Mon_00295</t>
  </si>
  <si>
    <t>own_Mon_00296</t>
  </si>
  <si>
    <t>own_Mon_00297</t>
  </si>
  <si>
    <t>own_Mon_00298</t>
  </si>
  <si>
    <t>own_Mon_00299</t>
  </si>
  <si>
    <t>own_Mon_00300</t>
  </si>
  <si>
    <t>own_Mon_00301</t>
  </si>
  <si>
    <t>own_Mon_00302</t>
  </si>
  <si>
    <t>own_Mon_00303</t>
  </si>
  <si>
    <t>own_Mon_00304</t>
  </si>
  <si>
    <t>own_Mon_00305</t>
  </si>
  <si>
    <t>own_Mon_00306</t>
  </si>
  <si>
    <t>own_Mon_00307</t>
  </si>
  <si>
    <t>own_Mon_00308</t>
  </si>
  <si>
    <t>own_Mon_00309</t>
  </si>
  <si>
    <t>own_Mon_00310</t>
  </si>
  <si>
    <t>own_Mon_00311</t>
  </si>
  <si>
    <t>own_Mon_00312</t>
  </si>
  <si>
    <t>own_Mon_00313</t>
  </si>
  <si>
    <t>own_Mon_00314</t>
  </si>
  <si>
    <t>own_Mon_00315</t>
  </si>
  <si>
    <t>own_Mon_00316</t>
  </si>
  <si>
    <t>own_Mon_00317</t>
  </si>
  <si>
    <t>own_Mon_00318</t>
  </si>
  <si>
    <t>own_Mon_00319</t>
  </si>
  <si>
    <t>own_Mon_00320</t>
  </si>
  <si>
    <t>own_Mon_00321</t>
  </si>
  <si>
    <t>own_Mon_00322</t>
  </si>
  <si>
    <t>own_Mon_00323</t>
  </si>
  <si>
    <t>own_Mon_00324</t>
  </si>
  <si>
    <t>own_Mon_00325</t>
  </si>
  <si>
    <t>own_Mon_00326</t>
  </si>
  <si>
    <t>own_Mon_00327</t>
  </si>
  <si>
    <t>own_Mon_00328</t>
  </si>
  <si>
    <t>own_Mon_00329</t>
  </si>
  <si>
    <t>own_Mon_00330</t>
  </si>
  <si>
    <t>own_Mon_00331</t>
  </si>
  <si>
    <t>own_Mon_00332</t>
  </si>
  <si>
    <t>own_Mon_00333</t>
  </si>
  <si>
    <t>own_Mon_00334</t>
  </si>
  <si>
    <t>own_Mon_00335</t>
  </si>
  <si>
    <t>own_Mon_00336</t>
  </si>
  <si>
    <t>own_Mon_00337</t>
  </si>
  <si>
    <t>own_Mon_00338</t>
  </si>
  <si>
    <t>own_Mon_00339</t>
  </si>
  <si>
    <t>own_Mon_00340</t>
  </si>
  <si>
    <t>own_Mon_00341</t>
  </si>
  <si>
    <t>own_Mon_00342</t>
  </si>
  <si>
    <t>own_Mon_00343</t>
  </si>
  <si>
    <t>own_Mon_00344</t>
  </si>
  <si>
    <t>own_Mon_00345</t>
  </si>
  <si>
    <t>own_Mon_00346</t>
  </si>
  <si>
    <t>own_Mon_00347</t>
  </si>
  <si>
    <t>own_Mon_00348</t>
  </si>
  <si>
    <t>own_Mon_00349</t>
  </si>
  <si>
    <t>own_Mon_00350</t>
  </si>
  <si>
    <t>own_Mon_00351</t>
  </si>
  <si>
    <t>own_Mon_00352</t>
  </si>
  <si>
    <t>own_Mon_00353</t>
  </si>
  <si>
    <t>own_Mon_00354</t>
  </si>
  <si>
    <t>own_Mon_00355</t>
  </si>
  <si>
    <t>own_Mon_00356</t>
  </si>
  <si>
    <t>own_Mon_00357</t>
  </si>
  <si>
    <t>own_Mon_00358</t>
  </si>
  <si>
    <t>own_Mon_00359</t>
  </si>
  <si>
    <t>own_Mon_00360</t>
  </si>
  <si>
    <t>own_Mon_00361</t>
  </si>
  <si>
    <t>own_Mon_00362</t>
  </si>
  <si>
    <t>own_Mon_00363</t>
  </si>
  <si>
    <t>own_Mon_00364</t>
  </si>
  <si>
    <t>own_Mon_00365</t>
  </si>
  <si>
    <t>own_Mon_00366</t>
  </si>
  <si>
    <t>own_Mon_00367</t>
  </si>
  <si>
    <t>own_Mon_00368</t>
  </si>
  <si>
    <t>own_Mon_00369</t>
  </si>
  <si>
    <t>own_Mon_00370</t>
  </si>
  <si>
    <t>own_Mon_00371</t>
  </si>
  <si>
    <t>own_Mon_00372</t>
  </si>
  <si>
    <t>own_Mon_00373</t>
  </si>
  <si>
    <t>own_Mon_00374</t>
  </si>
  <si>
    <t>own_Mon_00375</t>
  </si>
  <si>
    <t>own_Mon_00376</t>
  </si>
  <si>
    <t>own_Mon_00377</t>
  </si>
  <si>
    <t>own_Mon_00378</t>
  </si>
  <si>
    <t>own_Mon_00379</t>
  </si>
  <si>
    <t>own_Mon_00380</t>
  </si>
  <si>
    <t>own_Mon_00381</t>
  </si>
  <si>
    <t>own_Mon_00382</t>
  </si>
  <si>
    <t>own_Mon_00383</t>
  </si>
  <si>
    <t>own_Mon_00384</t>
  </si>
  <si>
    <t>own_Mon_00385</t>
  </si>
  <si>
    <t>own_Mon_00386</t>
  </si>
  <si>
    <t>own_Mon_00387</t>
  </si>
  <si>
    <t>own_Mon_00388</t>
  </si>
  <si>
    <t>own_Mon_00389</t>
  </si>
  <si>
    <t>own_Mon_00390</t>
  </si>
  <si>
    <t>own_Mon_00391</t>
  </si>
  <si>
    <t>own_Mon_00392</t>
  </si>
  <si>
    <t>own_Mon_00393</t>
  </si>
  <si>
    <t>own_Mon_00394</t>
  </si>
  <si>
    <t>own_Mon_00395</t>
  </si>
  <si>
    <t>own_Mon_00396</t>
  </si>
  <si>
    <t>own_Mon_00397</t>
  </si>
  <si>
    <t>own_Mon_00398</t>
  </si>
  <si>
    <t>own_Mon_00399</t>
  </si>
  <si>
    <t>own_Mon_00400</t>
  </si>
  <si>
    <t>own_Mon_00401</t>
  </si>
  <si>
    <t>own_Mon_00402</t>
  </si>
  <si>
    <t>own_Mon_00403</t>
  </si>
  <si>
    <t>own_Mon_00404</t>
  </si>
  <si>
    <t>own_Mon_00405</t>
  </si>
  <si>
    <t>own_Mon_00406</t>
  </si>
  <si>
    <t>own_Mon_00407</t>
  </si>
  <si>
    <t>own_Mon_00408</t>
  </si>
  <si>
    <t>own_Mon_00409</t>
  </si>
  <si>
    <t>own_Mon_00410</t>
  </si>
  <si>
    <t>own_Mon_00411</t>
  </si>
  <si>
    <t>own_Mon_00412</t>
  </si>
  <si>
    <t>own_Mon_00413</t>
  </si>
  <si>
    <t>own_Mon_00414</t>
  </si>
  <si>
    <t>own_Mon_00415</t>
  </si>
  <si>
    <t>own_Mon_00416</t>
  </si>
  <si>
    <t>own_Mon_00417</t>
  </si>
  <si>
    <t>own_Mon_00418</t>
  </si>
  <si>
    <t>own_Mon_00419</t>
  </si>
  <si>
    <t>own_Mon_00420</t>
  </si>
  <si>
    <t>own_Mon_00421</t>
  </si>
  <si>
    <t>own_Mon_00422</t>
  </si>
  <si>
    <t>own_Mon_00423</t>
  </si>
  <si>
    <t>own_Mon_00424</t>
  </si>
  <si>
    <t>own_Mon_00425</t>
  </si>
  <si>
    <t>own_Mon_00426</t>
  </si>
  <si>
    <t>own_Mon_00427</t>
  </si>
  <si>
    <t>own_Mon_00428</t>
  </si>
  <si>
    <t>own_Mon_00429</t>
  </si>
  <si>
    <t>own_Mon_00430</t>
  </si>
  <si>
    <t>own_Mon_00431</t>
  </si>
  <si>
    <t>own_Mon_00432</t>
  </si>
  <si>
    <t>own_Mon_00433</t>
  </si>
  <si>
    <t>own_Mon_00434</t>
  </si>
  <si>
    <t>own_Mon_00435</t>
  </si>
  <si>
    <t>own_Mon_00436</t>
  </si>
  <si>
    <t>own_Mon_00437</t>
  </si>
  <si>
    <t>own_Mon_00438</t>
  </si>
  <si>
    <t>own_Mon_00439</t>
  </si>
  <si>
    <t>own_Mon_00440</t>
  </si>
  <si>
    <t>own_Mon_00441</t>
  </si>
  <si>
    <t>own_Mon_00442</t>
  </si>
  <si>
    <t>own_Mon_00443</t>
  </si>
  <si>
    <t>own_Mon_00444</t>
  </si>
  <si>
    <t>own_Mon_00445</t>
  </si>
  <si>
    <t>own_Mon_00446</t>
  </si>
  <si>
    <t>own_Mon_00447</t>
  </si>
  <si>
    <t>own_Mon_00448</t>
  </si>
  <si>
    <t>own_Mon_00449</t>
  </si>
  <si>
    <t>own_Mon_00450</t>
  </si>
  <si>
    <t>own_Mon_00451</t>
  </si>
  <si>
    <t>own_Mon_00452</t>
  </si>
  <si>
    <t>own_Mon_00453</t>
  </si>
  <si>
    <t>own_Mon_00454</t>
  </si>
  <si>
    <t>own_Mon_00455</t>
  </si>
  <si>
    <t>own_Mon_00456</t>
  </si>
  <si>
    <t>own_Mon_00457</t>
  </si>
  <si>
    <t>own_Mon_00458</t>
  </si>
  <si>
    <t>own_Mon_00459</t>
  </si>
  <si>
    <t>own_Mon_00460</t>
  </si>
  <si>
    <t>own_Mon_00461</t>
  </si>
  <si>
    <t>own_Mon_00462</t>
  </si>
  <si>
    <t>own_Mon_00463</t>
  </si>
  <si>
    <t>own_Mon_00464</t>
  </si>
  <si>
    <t>own_Mon_00465</t>
  </si>
  <si>
    <t>own_Mon_00466</t>
  </si>
  <si>
    <t>own_Mon_00467</t>
  </si>
  <si>
    <t>own_Mon_00468</t>
  </si>
  <si>
    <t>own_Mon_00469</t>
  </si>
  <si>
    <t>own_Mon_00470</t>
  </si>
  <si>
    <t>own_Mon_00471</t>
  </si>
  <si>
    <t>own_Mon_00472</t>
  </si>
  <si>
    <t>own_Mon_00473</t>
  </si>
  <si>
    <t>own_Mon_00474</t>
  </si>
  <si>
    <t>own_Mon_00475</t>
  </si>
  <si>
    <t>own_Mon_00476</t>
  </si>
  <si>
    <t>own_Mon_00477</t>
  </si>
  <si>
    <t>own_Mon_00478</t>
  </si>
  <si>
    <t>own_Mon_00479</t>
  </si>
  <si>
    <t>own_Mon_00480</t>
  </si>
  <si>
    <t>own_Mon_00481</t>
  </si>
  <si>
    <t>own_Mon_00482</t>
  </si>
  <si>
    <t>own_Mon_00483</t>
  </si>
  <si>
    <t>own_Mon_00484</t>
  </si>
  <si>
    <t>own_Mon_00485</t>
  </si>
  <si>
    <t>own_Mon_00486</t>
  </si>
  <si>
    <t>own_Mon_00487</t>
  </si>
  <si>
    <t>own_Mon_00488</t>
  </si>
  <si>
    <t>own_Mon_00489</t>
  </si>
  <si>
    <t>own_Mon_00490</t>
  </si>
  <si>
    <t>own_Mon_00491</t>
  </si>
  <si>
    <t>own_Mon_00492</t>
  </si>
  <si>
    <t>own_Mon_00493</t>
  </si>
  <si>
    <t>own_Mon_00494</t>
  </si>
  <si>
    <t>own_Mon_00495</t>
  </si>
  <si>
    <t>own_Mon_00496</t>
  </si>
  <si>
    <t>own_Mon_00497</t>
  </si>
  <si>
    <t>own_Mon_00498</t>
  </si>
  <si>
    <t>own_Mon_00499</t>
  </si>
  <si>
    <t>own_Mon_00500</t>
  </si>
  <si>
    <t>own_Mon_00501</t>
  </si>
  <si>
    <t>own_Mon_00502</t>
  </si>
  <si>
    <t>own_Mon_00503</t>
  </si>
  <si>
    <t>own_Mon_00504</t>
  </si>
  <si>
    <t>own_Mon_00505</t>
  </si>
  <si>
    <t>own_Mon_00506</t>
  </si>
  <si>
    <t>own_Mon_00507</t>
  </si>
  <si>
    <t>own_Mon_00508</t>
  </si>
  <si>
    <t>own_Mon_00509</t>
  </si>
  <si>
    <t>own_Mon_00510</t>
  </si>
  <si>
    <t>own_Mon_00511</t>
  </si>
  <si>
    <t>own_Mon_00512</t>
  </si>
  <si>
    <t>own_Mon_00513</t>
  </si>
  <si>
    <t>own_Mon_00514</t>
  </si>
  <si>
    <t>own_Mon_00515</t>
  </si>
  <si>
    <t>own_Mon_00516</t>
  </si>
  <si>
    <t>own_Mon_00517</t>
  </si>
  <si>
    <t>own_Mon_00518</t>
  </si>
  <si>
    <t>own_Mon_00519</t>
  </si>
  <si>
    <t>own_Mon_00520</t>
  </si>
  <si>
    <t>own_Mon_00521</t>
  </si>
  <si>
    <t>own_Mon_00522</t>
  </si>
  <si>
    <t>own_Mon_00523</t>
  </si>
  <si>
    <t>own_Mon_00524</t>
  </si>
  <si>
    <t>own_Mon_00525</t>
  </si>
  <si>
    <t>own_Mon_00526</t>
  </si>
  <si>
    <t>own_Mon_00527</t>
  </si>
  <si>
    <t>own_Mon_00528</t>
  </si>
  <si>
    <t>own_Mon_00529</t>
  </si>
  <si>
    <t>own_Mon_00530</t>
  </si>
  <si>
    <t>own_Mon_00531</t>
  </si>
  <si>
    <t>own_Mon_00532</t>
  </si>
  <si>
    <t>own_Mon_00533</t>
  </si>
  <si>
    <t>own_Mon_00534</t>
  </si>
  <si>
    <t>own_Mon_00535</t>
  </si>
  <si>
    <t>own_Mon_00536</t>
  </si>
  <si>
    <t>own_Mon_00537</t>
  </si>
  <si>
    <t>own_Mon_00538</t>
  </si>
  <si>
    <t>own_Mon_00539</t>
  </si>
  <si>
    <t>own_Mon_00540</t>
  </si>
  <si>
    <t>own_Mon_00541</t>
  </si>
  <si>
    <t>own_Mon_00542</t>
  </si>
  <si>
    <t>own_Mon_00543</t>
  </si>
  <si>
    <t>own_Mon_00544</t>
  </si>
  <si>
    <t>own_Mon_00545</t>
  </si>
  <si>
    <t>own_Mon_00546</t>
  </si>
  <si>
    <t>own_Mon_00547</t>
  </si>
  <si>
    <t>own_Mon_00548</t>
  </si>
  <si>
    <t>own_Mon_00549</t>
  </si>
  <si>
    <t>own_Mon_00550</t>
  </si>
  <si>
    <t>own_Mon_00551</t>
  </si>
  <si>
    <t>own_Mon_00552</t>
  </si>
  <si>
    <t>own_Mon_00553</t>
  </si>
  <si>
    <t>own_Mon_00554</t>
  </si>
  <si>
    <t>own_Mon_00555</t>
  </si>
  <si>
    <t>own_Mon_00556</t>
  </si>
  <si>
    <t>own_Mon_00557</t>
  </si>
  <si>
    <t>own_Mon_00558</t>
  </si>
  <si>
    <t>own_Mon_00559</t>
  </si>
  <si>
    <t>own_Mon_00560</t>
  </si>
  <si>
    <t>own_Mon_00561</t>
  </si>
  <si>
    <t>own_Mon_00562</t>
  </si>
  <si>
    <t>own_Mon_00563</t>
  </si>
  <si>
    <t>own_Mon_00564</t>
  </si>
  <si>
    <t>own_Mon_00565</t>
  </si>
  <si>
    <t>own_Mon_00566</t>
  </si>
  <si>
    <t>own_Mon_00567</t>
  </si>
  <si>
    <t>own_Mon_00568</t>
  </si>
  <si>
    <t>own_Mon_00569</t>
  </si>
  <si>
    <t>own_Mon_00570</t>
  </si>
  <si>
    <t>own_Mon_00571</t>
  </si>
  <si>
    <t>own_Mon_00572</t>
  </si>
  <si>
    <t>own_Mon_00573</t>
  </si>
  <si>
    <t>own_Mon_00574</t>
  </si>
  <si>
    <t>own_Mon_00575</t>
  </si>
  <si>
    <t>own_Mon_00576</t>
  </si>
  <si>
    <t>own_Mon_00577</t>
  </si>
  <si>
    <t>own_Mon_00578</t>
  </si>
  <si>
    <t>own_Mon_00579</t>
  </si>
  <si>
    <t>own_Mon_00580</t>
  </si>
  <si>
    <t>own_Mon_00581</t>
  </si>
  <si>
    <t>own_Mon_00582</t>
  </si>
  <si>
    <t>own_Mon_00583</t>
  </si>
  <si>
    <t>own_Mon_00584</t>
  </si>
  <si>
    <t>own_Mon_00585</t>
  </si>
  <si>
    <t>own_Mon_00586</t>
  </si>
  <si>
    <t>own_Mon_00587</t>
  </si>
  <si>
    <t>own_Mon_00588</t>
  </si>
  <si>
    <t>own_Mon_00589</t>
  </si>
  <si>
    <t>own_Mon_00590</t>
  </si>
  <si>
    <t>own_Mon_00591</t>
  </si>
  <si>
    <t>own_Mon_00592</t>
  </si>
  <si>
    <t>own_Mon_00593</t>
  </si>
  <si>
    <t>own_Mon_00594</t>
  </si>
  <si>
    <t>own_Mon_00595</t>
  </si>
  <si>
    <t>own_Mon_00596</t>
  </si>
  <si>
    <t>own_Mon_00597</t>
  </si>
  <si>
    <t>own_Mon_00598</t>
  </si>
  <si>
    <t>own_Mon_00599</t>
  </si>
  <si>
    <t>own_Mon_00600</t>
  </si>
  <si>
    <t>own_Mon_00601</t>
  </si>
  <si>
    <t>own_Mon_00602</t>
  </si>
  <si>
    <t>own_Mon_00603</t>
  </si>
  <si>
    <t>own_Mon_00604</t>
  </si>
  <si>
    <t>own_Mon_00605</t>
  </si>
  <si>
    <t>own_Mon_00606</t>
  </si>
  <si>
    <t>own_Mon_00607</t>
  </si>
  <si>
    <t>own_Mon_00608</t>
  </si>
  <si>
    <t>own_Mon_00609</t>
  </si>
  <si>
    <t>own_Mon_00610</t>
  </si>
  <si>
    <t>own_Mon_00611</t>
  </si>
  <si>
    <t>own_Mon_00612</t>
  </si>
  <si>
    <t>own_Mon_00613</t>
  </si>
  <si>
    <t>own_Mon_00614</t>
  </si>
  <si>
    <t>own_Mon_00615</t>
  </si>
  <si>
    <t>own_Mon_00616</t>
  </si>
  <si>
    <t>own_Mon_00617</t>
  </si>
  <si>
    <t>own_Mon_00618</t>
  </si>
  <si>
    <t>own_Mon_00619</t>
  </si>
  <si>
    <t>own_Mon_00620</t>
  </si>
  <si>
    <t>own_Mon_00621</t>
  </si>
  <si>
    <t>own_Mon_00622</t>
  </si>
  <si>
    <t>own_Mon_00623</t>
  </si>
  <si>
    <t>own_Mon_00624</t>
  </si>
  <si>
    <t>own_Mon_00625</t>
  </si>
  <si>
    <t>own_Mon_00626</t>
  </si>
  <si>
    <t>own_Mon_00627</t>
  </si>
  <si>
    <t>own_Mon_00628</t>
  </si>
  <si>
    <t>own_Mon_00629</t>
  </si>
  <si>
    <t>own_Mon_00630</t>
  </si>
  <si>
    <t>own_Mon_00631</t>
  </si>
  <si>
    <t>own_Mon_00632</t>
  </si>
  <si>
    <t>own_Mon_00633</t>
  </si>
  <si>
    <t>own_Mon_00634</t>
  </si>
  <si>
    <t>own_Mon_00635</t>
  </si>
  <si>
    <t>own_Mon_00636</t>
  </si>
  <si>
    <t>own_Mon_00637</t>
  </si>
  <si>
    <t>own_Mon_00638</t>
  </si>
  <si>
    <t>own_Mon_00639</t>
  </si>
  <si>
    <t>own_Mon_00640</t>
  </si>
  <si>
    <t>own_Mon_00641</t>
  </si>
  <si>
    <t>own_Mon_00642</t>
  </si>
  <si>
    <t>own_Mon_00643</t>
  </si>
  <si>
    <t>own_Mon_00644</t>
  </si>
  <si>
    <t>own_Mon_00645</t>
  </si>
  <si>
    <t>own_Mon_00646</t>
  </si>
  <si>
    <t>own_Mon_00647</t>
  </si>
  <si>
    <t>own_Mon_00648</t>
  </si>
  <si>
    <t>own_Mon_00649</t>
  </si>
  <si>
    <t>own_Mon_00650</t>
  </si>
  <si>
    <t>own_Mon_00651</t>
  </si>
  <si>
    <t>own_Mon_00652</t>
  </si>
  <si>
    <t>own_Mon_00653</t>
  </si>
  <si>
    <t>own_Mon_00654</t>
  </si>
  <si>
    <t>own_Mon_00655</t>
  </si>
  <si>
    <t>own_Mon_00656</t>
  </si>
  <si>
    <t>own_Mon_00657</t>
  </si>
  <si>
    <t>own_Mon_00658</t>
  </si>
  <si>
    <t>own_Mon_00659</t>
  </si>
  <si>
    <t>own_Mon_00660</t>
  </si>
  <si>
    <t>own_Mon_00661</t>
  </si>
  <si>
    <t>own_Mon_00662</t>
  </si>
  <si>
    <t>own_Mon_00663</t>
  </si>
  <si>
    <t>own_Mon_00664</t>
  </si>
  <si>
    <t>own_Mon_00665</t>
  </si>
  <si>
    <t>own_Mon_00666</t>
  </si>
  <si>
    <t>own_Mon_00667</t>
  </si>
  <si>
    <t>own_Mon_00668</t>
  </si>
  <si>
    <t>own_Mon_00669</t>
  </si>
  <si>
    <t>own_Mon_00670</t>
  </si>
  <si>
    <t>own_Mon_00671</t>
  </si>
  <si>
    <t>own_Mon_00672</t>
  </si>
  <si>
    <t>own_Mon_00673</t>
  </si>
  <si>
    <t>own_Mon_00674</t>
  </si>
  <si>
    <t>own_Mon_00675</t>
  </si>
  <si>
    <t>own_Mon_00676</t>
  </si>
  <si>
    <t>own_Mon_00677</t>
  </si>
  <si>
    <t>own_Mon_00678</t>
  </si>
  <si>
    <t>own_Mon_00679</t>
  </si>
  <si>
    <t>own_Mon_00680</t>
  </si>
  <si>
    <t>own_Mon_00681</t>
  </si>
  <si>
    <t>own_Mon_00682</t>
  </si>
  <si>
    <t>own_Mon_00683</t>
  </si>
  <si>
    <t>own_Mon_00684</t>
  </si>
  <si>
    <t>own_Mon_00685</t>
  </si>
  <si>
    <t>own_Mon_00686</t>
  </si>
  <si>
    <t>own_Mon_00687</t>
  </si>
  <si>
    <t>own_Mon_00688</t>
  </si>
  <si>
    <t>own_Mon_00689</t>
  </si>
  <si>
    <t>own_Mon_00690</t>
  </si>
  <si>
    <t>own_Mon_00691</t>
  </si>
  <si>
    <t>own_Mon_00692</t>
  </si>
  <si>
    <t>own_Mon_00693</t>
  </si>
  <si>
    <t>own_Mon_00694</t>
  </si>
  <si>
    <t>own_Mon_00695</t>
  </si>
  <si>
    <t>own_Mon_00696</t>
  </si>
  <si>
    <t>own_Mon_00697</t>
  </si>
  <si>
    <t>own_Mon_00698</t>
  </si>
  <si>
    <t>own_Mon_00699</t>
  </si>
  <si>
    <t>own_Mon_00700</t>
  </si>
  <si>
    <t>own_Mon_00701</t>
  </si>
  <si>
    <t>own_Mon_00702</t>
  </si>
  <si>
    <t>own_Mon_00703</t>
  </si>
  <si>
    <t>own_Mon_00704</t>
  </si>
  <si>
    <t>own_Mon_00705</t>
  </si>
  <si>
    <t>own_Mon_00706</t>
  </si>
  <si>
    <t>own_Mon_00707</t>
  </si>
  <si>
    <t>own_Mon_00708</t>
  </si>
  <si>
    <t>own_Mon_00709</t>
  </si>
  <si>
    <t>own_Mon_00710</t>
  </si>
  <si>
    <t>own_Mon_00711</t>
  </si>
  <si>
    <t>own_Mon_00712</t>
  </si>
  <si>
    <t>own_Mon_00713</t>
  </si>
  <si>
    <t>own_Mon_00714</t>
  </si>
  <si>
    <t>own_Mon_00715</t>
  </si>
  <si>
    <t>own_Mon_00716</t>
  </si>
  <si>
    <t>own_Mon_00717</t>
  </si>
  <si>
    <t>own_Mon_00718</t>
  </si>
  <si>
    <t>own_Mon_00719</t>
  </si>
  <si>
    <t>own_Mon_00720</t>
  </si>
  <si>
    <t>own_Mon_00721</t>
  </si>
  <si>
    <t>own_Mon_00722</t>
  </si>
  <si>
    <t>own_Mon_00723</t>
  </si>
  <si>
    <t>own_Mon_00724</t>
  </si>
  <si>
    <t>own_Mon_00725</t>
  </si>
  <si>
    <t>own_Mon_00726</t>
  </si>
  <si>
    <t>own_Mon_00727</t>
  </si>
  <si>
    <t>own_Mon_00728</t>
  </si>
  <si>
    <t>own_Mon_00729</t>
  </si>
  <si>
    <t>own_Mon_00730</t>
  </si>
  <si>
    <t>own_Mon_00731</t>
  </si>
  <si>
    <t>own_Mon_00732</t>
  </si>
  <si>
    <t>own_Mon_00733</t>
  </si>
  <si>
    <t>own_Mon_00734</t>
  </si>
  <si>
    <t>own_Mon_00735</t>
  </si>
  <si>
    <t>own_Mon_00736</t>
  </si>
  <si>
    <t>own_Mon_00737</t>
  </si>
  <si>
    <t>own_Mon_00738</t>
  </si>
  <si>
    <t>own_Mon_00739</t>
  </si>
  <si>
    <t>own_Mon_00740</t>
  </si>
  <si>
    <t>own_Mon_00741</t>
  </si>
  <si>
    <t>own_Mon_00742</t>
  </si>
  <si>
    <t>own_Mon_00743</t>
  </si>
  <si>
    <t>own_Mon_00744</t>
  </si>
  <si>
    <t>own_Mon_00745</t>
  </si>
  <si>
    <t>own_Mon_00746</t>
  </si>
  <si>
    <t>own_Mon_00747</t>
  </si>
  <si>
    <t>own_Mon_00748</t>
  </si>
  <si>
    <t>own_Mon_00749</t>
  </si>
  <si>
    <t>own_Mon_00750</t>
  </si>
  <si>
    <t>own_Mon_00751</t>
  </si>
  <si>
    <t>own_Mon_00752</t>
  </si>
  <si>
    <t>own_Mon_00753</t>
  </si>
  <si>
    <t>own_Mon_00754</t>
  </si>
  <si>
    <t>own_Mon_00755</t>
  </si>
  <si>
    <t>own_Mon_00756</t>
  </si>
  <si>
    <t>own_Mon_00757</t>
  </si>
  <si>
    <t>own_Mon_00758</t>
  </si>
  <si>
    <t>own_Mon_00759</t>
  </si>
  <si>
    <t>own_Mon_00760</t>
  </si>
  <si>
    <t>own_Mon_00761</t>
  </si>
  <si>
    <t>own_Mon_00762</t>
  </si>
  <si>
    <t>own_Mon_00763</t>
  </si>
  <si>
    <t>own_Mon_00764</t>
  </si>
  <si>
    <t>own_Mon_00765</t>
  </si>
  <si>
    <t>own_Mon_00766</t>
  </si>
  <si>
    <t>own_Mon_00767</t>
  </si>
  <si>
    <t>own_Mon_00768</t>
  </si>
  <si>
    <t>own_Mon_00769</t>
  </si>
  <si>
    <t>own_Mon_00770</t>
  </si>
  <si>
    <t>own_Mon_00771</t>
  </si>
  <si>
    <t>own_Mon_00772</t>
  </si>
  <si>
    <t>own_Mon_00773</t>
  </si>
  <si>
    <t>own_Mon_00774</t>
  </si>
  <si>
    <t>own_Mon_00775</t>
  </si>
  <si>
    <t>own_Mon_00776</t>
  </si>
  <si>
    <t>own_Mon_00777</t>
  </si>
  <si>
    <t>own_Mon_00778</t>
  </si>
  <si>
    <t>own_Mon_00779</t>
  </si>
  <si>
    <t>own_Mon_00780</t>
  </si>
  <si>
    <t>own_Mon_00781</t>
  </si>
  <si>
    <t>own_Mon_00782</t>
  </si>
  <si>
    <t>own_Mon_00783</t>
  </si>
  <si>
    <t>own_Mon_00784</t>
  </si>
  <si>
    <t>own_Mon_00785</t>
  </si>
  <si>
    <t>own_Mon_00786</t>
  </si>
  <si>
    <t>own_Mon_00787</t>
  </si>
  <si>
    <t>own_Mon_00788</t>
  </si>
  <si>
    <t>own_Mon_00789</t>
  </si>
  <si>
    <t>own_Mon_00790</t>
  </si>
  <si>
    <t>own_Mon_00791</t>
  </si>
  <si>
    <t>own_Mon_00792</t>
  </si>
  <si>
    <t>own_Mon_00793</t>
  </si>
  <si>
    <t>own_Mon_00794</t>
  </si>
  <si>
    <t>own_Mon_00795</t>
  </si>
  <si>
    <t>own_Mon_00796</t>
  </si>
  <si>
    <t>own_Mon_00797</t>
  </si>
  <si>
    <t>own_Mon_00798</t>
  </si>
  <si>
    <t>own_Mon_00799</t>
  </si>
  <si>
    <t>own_Mon_00800</t>
  </si>
  <si>
    <t>own_Mon_00801</t>
  </si>
  <si>
    <t>own_Mon_00802</t>
  </si>
  <si>
    <t>own_Mon_00803</t>
  </si>
  <si>
    <t>own_Mon_00804</t>
  </si>
  <si>
    <t>own_Mon_00805</t>
  </si>
  <si>
    <t>own_Mon_00806</t>
  </si>
  <si>
    <t>own_Mon_00807</t>
  </si>
  <si>
    <t>own_Mon_00808</t>
  </si>
  <si>
    <t>own_Mon_00809</t>
  </si>
  <si>
    <t>own_Mon_00810</t>
  </si>
  <si>
    <t>own_Mon_00811</t>
  </si>
  <si>
    <t>own_Mon_00812</t>
  </si>
  <si>
    <t>own_Mon_00813</t>
  </si>
  <si>
    <t>own_Mon_00814</t>
  </si>
  <si>
    <t>own_Mon_00815</t>
  </si>
  <si>
    <t>own_Mon_00816</t>
  </si>
  <si>
    <t>own_Mon_00817</t>
  </si>
  <si>
    <t>own_Mon_00818</t>
  </si>
  <si>
    <t>own_Mon_00819</t>
  </si>
  <si>
    <t>own_Mon_00820</t>
  </si>
  <si>
    <t>own_Mon_00821</t>
  </si>
  <si>
    <t>own_Mon_00822</t>
  </si>
  <si>
    <t>own_Mon_00823</t>
  </si>
  <si>
    <t>own_Mon_00824</t>
  </si>
  <si>
    <t>own_Mon_00825</t>
  </si>
  <si>
    <t>own_Mon_00826</t>
  </si>
  <si>
    <t>own_Mon_00827</t>
  </si>
  <si>
    <t>own_Mon_00828</t>
  </si>
  <si>
    <t>own_Mon_00829</t>
  </si>
  <si>
    <t>own_Mon_00830</t>
  </si>
  <si>
    <t>own_Mon_00831</t>
  </si>
  <si>
    <t>own_Mon_00832</t>
  </si>
  <si>
    <t>own_Mon_00833</t>
  </si>
  <si>
    <t>own_Mon_00834</t>
  </si>
  <si>
    <t>own_Mon_00835</t>
  </si>
  <si>
    <t>own_Mon_00836</t>
  </si>
  <si>
    <t>own_Mon_00837</t>
  </si>
  <si>
    <t>own_Mon_00838</t>
  </si>
  <si>
    <t>own_Mon_00839</t>
  </si>
  <si>
    <t>own_Mon_00840</t>
  </si>
  <si>
    <t>own_Mon_00841</t>
  </si>
  <si>
    <t>own_Mon_00842</t>
  </si>
  <si>
    <t>own_Mon_00843</t>
  </si>
  <si>
    <t>own_Mon_00844</t>
  </si>
  <si>
    <t>own_Mon_00845</t>
  </si>
  <si>
    <t>own_Mon_00846</t>
  </si>
  <si>
    <t>own_Mon_00847</t>
  </si>
  <si>
    <t>own_Mon_00848</t>
  </si>
  <si>
    <t>own_Mon_00849</t>
  </si>
  <si>
    <t>own_Mon_00850</t>
  </si>
  <si>
    <t>own_Mon_00851</t>
  </si>
  <si>
    <t>own_Mon_00852</t>
  </si>
  <si>
    <t>own_Mon_00853</t>
  </si>
  <si>
    <t>own_Mon_00854</t>
  </si>
  <si>
    <t>own_Mon_00855</t>
  </si>
  <si>
    <t>own_Mon_00856</t>
  </si>
  <si>
    <t>own_Mon_00857</t>
  </si>
  <si>
    <t>own_Mon_00858</t>
  </si>
  <si>
    <t>own_Mon_00859</t>
  </si>
  <si>
    <t>own_Mon_00860</t>
  </si>
  <si>
    <t>own_Mon_00861</t>
  </si>
  <si>
    <t>own_Mon_00862</t>
  </si>
  <si>
    <t>own_Mon_00863</t>
  </si>
  <si>
    <t>own_Mon_00864</t>
  </si>
  <si>
    <t>own_Mon_00865</t>
  </si>
  <si>
    <t>own_Mon_00866</t>
  </si>
  <si>
    <t>own_Mon_00867</t>
  </si>
  <si>
    <t>own_Mon_00868</t>
  </si>
  <si>
    <t>own_Mon_00869</t>
  </si>
  <si>
    <t>own_Mon_00870</t>
  </si>
  <si>
    <t>own_Mon_00871</t>
  </si>
  <si>
    <t>own_Mon_00872</t>
  </si>
  <si>
    <t>own_Mon_00873</t>
  </si>
  <si>
    <t>own_Mon_00874</t>
  </si>
  <si>
    <t>own_Mon_00875</t>
  </si>
  <si>
    <t>own_Mon_00876</t>
  </si>
  <si>
    <t>own_Mon_00877</t>
  </si>
  <si>
    <t>own_Mon_00878</t>
  </si>
  <si>
    <t>own_Mon_00879</t>
  </si>
  <si>
    <t>own_Mon_00880</t>
  </si>
  <si>
    <t>own_Mon_00881</t>
  </si>
  <si>
    <t>own_Mon_00882</t>
  </si>
  <si>
    <t>own_Mon_00883</t>
  </si>
  <si>
    <t>own_Mon_00884</t>
  </si>
  <si>
    <t>own_Mon_00885</t>
  </si>
  <si>
    <t>own_Mon_00886</t>
  </si>
  <si>
    <t>own_Mon_00887</t>
  </si>
  <si>
    <t>own_Mon_00888</t>
  </si>
  <si>
    <t>own_Mon_00889</t>
  </si>
  <si>
    <t>own_Mon_00890</t>
  </si>
  <si>
    <t>own_Mon_00891</t>
  </si>
  <si>
    <t>own_Mon_00892</t>
  </si>
  <si>
    <t>own_Mon_00893</t>
  </si>
  <si>
    <t>own_Mon_00894</t>
  </si>
  <si>
    <t>own_Mon_00895</t>
  </si>
  <si>
    <t>own_Mon_00896</t>
  </si>
  <si>
    <t>own_Mon_00897</t>
  </si>
  <si>
    <t>own_Mon_00898</t>
  </si>
  <si>
    <t>own_Mon_00899</t>
  </si>
  <si>
    <t>own_Mon_00900</t>
  </si>
  <si>
    <t>own_Mon_00901</t>
  </si>
  <si>
    <t>own_Mon_00902</t>
  </si>
  <si>
    <t>own_Mon_00903</t>
  </si>
  <si>
    <t>own_Mon_00904</t>
  </si>
  <si>
    <t>own_Mon_00905</t>
  </si>
  <si>
    <t>own_Mon_00906</t>
  </si>
  <si>
    <t>own_Mon_00907</t>
  </si>
  <si>
    <t>own_Mon_00908</t>
  </si>
  <si>
    <t>own_Mon_00909</t>
  </si>
  <si>
    <t>own_Mon_00910</t>
  </si>
  <si>
    <t>own_Mon_00911</t>
  </si>
  <si>
    <t>own_Mon_00912</t>
  </si>
  <si>
    <t>own_Mon_00913</t>
  </si>
  <si>
    <t>own_Mon_00914</t>
  </si>
  <si>
    <t>own_Mon_00915</t>
  </si>
  <si>
    <t>own_Mon_00916</t>
  </si>
  <si>
    <t>own_Mon_00917</t>
  </si>
  <si>
    <t>own_Mon_00918</t>
  </si>
  <si>
    <t>own_Mon_00919</t>
  </si>
  <si>
    <t>own_Mon_00920</t>
  </si>
  <si>
    <t>own_Mon_00921</t>
  </si>
  <si>
    <t>own_Mon_00922</t>
  </si>
  <si>
    <t>own_Mon_00923</t>
  </si>
  <si>
    <t>own_Mon_00924</t>
  </si>
  <si>
    <t>own_Mon_00925</t>
  </si>
  <si>
    <t>own_Mon_00926</t>
  </si>
  <si>
    <t>own_Mon_00927</t>
  </si>
  <si>
    <t>own_Mon_00928</t>
  </si>
  <si>
    <t>own_Mon_00929</t>
  </si>
  <si>
    <t>own_Mon_00930</t>
  </si>
  <si>
    <t>own_Mon_00931</t>
  </si>
  <si>
    <t>own_Mon_00932</t>
  </si>
  <si>
    <t>own_Mon_00933</t>
  </si>
  <si>
    <t>own_Mon_00934</t>
  </si>
  <si>
    <t>own_Mon_00935</t>
  </si>
  <si>
    <t>own_Mon_00936</t>
  </si>
  <si>
    <t>own_Mon_00937</t>
  </si>
  <si>
    <t>own_Mon_00938</t>
  </si>
  <si>
    <t>own_Mon_00939</t>
  </si>
  <si>
    <t>own_Mon_00940</t>
  </si>
  <si>
    <t>own_Mon_00941</t>
  </si>
  <si>
    <t>own_Mon_00942</t>
  </si>
  <si>
    <t>own_Mon_00943</t>
  </si>
  <si>
    <t>own_Mon_00944</t>
  </si>
  <si>
    <t>own_Mon_00945</t>
  </si>
  <si>
    <t>own_Mon_00946</t>
  </si>
  <si>
    <t>own_Mon_00947</t>
  </si>
  <si>
    <t>own_Mon_00948</t>
  </si>
  <si>
    <t>own_Mon_00949</t>
  </si>
  <si>
    <t>own_Mon_00950</t>
  </si>
  <si>
    <t>own_Mon_00951</t>
  </si>
  <si>
    <t>own_Mon_00952</t>
  </si>
  <si>
    <t>own_Mon_00953</t>
  </si>
  <si>
    <t>own_Mon_00954</t>
  </si>
  <si>
    <t>own_Mon_00955</t>
  </si>
  <si>
    <t>own_Mon_00956</t>
  </si>
  <si>
    <t>own_Mon_00957</t>
  </si>
  <si>
    <t>own_Mon_00958</t>
  </si>
  <si>
    <t>own_Mon_00959</t>
  </si>
  <si>
    <t>own_Mon_00960</t>
  </si>
  <si>
    <t>own_Mon_00961</t>
  </si>
  <si>
    <t>own_Mon_00962</t>
  </si>
  <si>
    <t>own_Mon_00963</t>
  </si>
  <si>
    <t>own_Mon_00964</t>
  </si>
  <si>
    <t>own_Mon_00965</t>
  </si>
  <si>
    <t>own_Mon_00966</t>
  </si>
  <si>
    <t>own_Mon_00967</t>
  </si>
  <si>
    <t>own_Mon_00968</t>
  </si>
  <si>
    <t>own_Mon_00969</t>
  </si>
  <si>
    <t>own_Mon_00970</t>
  </si>
  <si>
    <t>own_Mon_00971</t>
  </si>
  <si>
    <t>own_Mon_00972</t>
  </si>
  <si>
    <t>own_Mon_00973</t>
  </si>
  <si>
    <t>own_Mon_00974</t>
  </si>
  <si>
    <t>own_Mon_00975</t>
  </si>
  <si>
    <t>own_Mon_00976</t>
  </si>
  <si>
    <t>own_Mon_00977</t>
  </si>
  <si>
    <t>own_Mon_00978</t>
  </si>
  <si>
    <t>own_Mon_00979</t>
  </si>
  <si>
    <t>own_Mon_00980</t>
  </si>
  <si>
    <t>own_Mon_00981</t>
  </si>
  <si>
    <t>own_Mon_00982</t>
  </si>
  <si>
    <t>own_Mon_00983</t>
  </si>
  <si>
    <t>own_Mon_00984</t>
  </si>
  <si>
    <t>own_Mon_00985</t>
  </si>
  <si>
    <t>own_Mon_00986</t>
  </si>
  <si>
    <t>own_Mon_00987</t>
  </si>
  <si>
    <t>own_Mon_00988</t>
  </si>
  <si>
    <t>own_Mon_00989</t>
  </si>
  <si>
    <t>own_Mon_00990</t>
  </si>
  <si>
    <t>own_Mon_00991</t>
  </si>
  <si>
    <t>own_Mon_00992</t>
  </si>
  <si>
    <t>own_Mon_00993</t>
  </si>
  <si>
    <t>own_Mon_00994</t>
  </si>
  <si>
    <t>own_Mon_00995</t>
  </si>
  <si>
    <t>own_Mon_00996</t>
  </si>
  <si>
    <t>own_Mon_00997</t>
  </si>
  <si>
    <t>own_Mon_00998</t>
  </si>
  <si>
    <t>own_Mon_00999</t>
  </si>
  <si>
    <t>own_Mon_01000</t>
  </si>
  <si>
    <t>own_Mon_01001</t>
  </si>
  <si>
    <t>own_Mon_01002</t>
  </si>
  <si>
    <t>own_Mon_01003</t>
  </si>
  <si>
    <t>own_Mon_01004</t>
  </si>
  <si>
    <t>own_Mon_01005</t>
  </si>
  <si>
    <t>own_Mon_01006</t>
  </si>
  <si>
    <t>own_Mon_01007</t>
  </si>
  <si>
    <t>own_Mon_01008</t>
  </si>
  <si>
    <t>own_Mon_01009</t>
  </si>
  <si>
    <t>own_Mon_01010</t>
  </si>
  <si>
    <t>own_Mon_01011</t>
  </si>
  <si>
    <t>own_Mon_01012</t>
  </si>
  <si>
    <t>own_Mon_01013</t>
  </si>
  <si>
    <t>own_Mon_01014</t>
  </si>
  <si>
    <t>own_Mon_01015</t>
  </si>
  <si>
    <t>own_Mon_01016</t>
  </si>
  <si>
    <t>own_Mon_01017</t>
  </si>
  <si>
    <t>own_Mon_01018</t>
  </si>
  <si>
    <t>own_Mon_01019</t>
  </si>
  <si>
    <t>own_Mon_01020</t>
  </si>
  <si>
    <t>own_Mon_01021</t>
  </si>
  <si>
    <t>own_Mon_01022</t>
  </si>
  <si>
    <t>own_Mon_01023</t>
  </si>
  <si>
    <t>own_Mon_01024</t>
  </si>
  <si>
    <t>own_Mon_01025</t>
  </si>
  <si>
    <t>own_Mon_01026</t>
  </si>
  <si>
    <t>own_Mon_01027</t>
  </si>
  <si>
    <t>own_Mon_01028</t>
  </si>
  <si>
    <t>own_Mon_01029</t>
  </si>
  <si>
    <t>own_Mon_01030</t>
  </si>
  <si>
    <t>own_Mon_01031</t>
  </si>
  <si>
    <t>own_Mon_01032</t>
  </si>
  <si>
    <t>own_Mon_01033</t>
  </si>
  <si>
    <t>own_Mon_01034</t>
  </si>
  <si>
    <t>own_Mon_01035</t>
  </si>
  <si>
    <t>own_Mon_01036</t>
  </si>
  <si>
    <t>own_Mon_01037</t>
  </si>
  <si>
    <t>own_Mon_01038</t>
  </si>
  <si>
    <t>own_Mon_01039</t>
  </si>
  <si>
    <t>own_Mon_01040</t>
  </si>
  <si>
    <t>own_Mon_01041</t>
  </si>
  <si>
    <t>own_Mon_01042</t>
  </si>
  <si>
    <t>own_Mon_01043</t>
  </si>
  <si>
    <t>own_Mon_01044</t>
  </si>
  <si>
    <t>own_Mon_01045</t>
  </si>
  <si>
    <t>own_Mon_01046</t>
  </si>
  <si>
    <t>own_Mon_01047</t>
  </si>
  <si>
    <t>own_Mon_01048</t>
  </si>
  <si>
    <t>own_Mon_01049</t>
  </si>
  <si>
    <t>own_Mon_01050</t>
  </si>
  <si>
    <t>own_Mon_01051</t>
  </si>
  <si>
    <t>own_Mon_01052</t>
  </si>
  <si>
    <t>own_Mon_01053</t>
  </si>
  <si>
    <t>own_Mon_01054</t>
  </si>
  <si>
    <t>own_Mon_01055</t>
  </si>
  <si>
    <t>own_Mon_01056</t>
  </si>
  <si>
    <t>own_Mon_01057</t>
  </si>
  <si>
    <t>own_Mon_01058</t>
  </si>
  <si>
    <t>own_Mon_01059</t>
  </si>
  <si>
    <t>own_Mon_01060</t>
  </si>
  <si>
    <t>own_Mon_01061</t>
  </si>
  <si>
    <t>own_Mon_01062</t>
  </si>
  <si>
    <t>own_Mon_01063</t>
  </si>
  <si>
    <t>own_Mon_01064</t>
  </si>
  <si>
    <t>own_Mon_01065</t>
  </si>
  <si>
    <t>own_Mon_01066</t>
  </si>
  <si>
    <t>own_Mon_01067</t>
  </si>
  <si>
    <t>own_Mon_01068</t>
  </si>
  <si>
    <t>own_Mon_01069</t>
  </si>
  <si>
    <t>own_Mon_01070</t>
  </si>
  <si>
    <t>own_Mon_01071</t>
  </si>
  <si>
    <t>own_Mon_01072</t>
  </si>
  <si>
    <t>own_Mon_01073</t>
  </si>
  <si>
    <t>own_Mon_01074</t>
  </si>
  <si>
    <t>own_Mon_01075</t>
  </si>
  <si>
    <t>own_Mon_01076</t>
  </si>
  <si>
    <t>own_Mon_01077</t>
  </si>
  <si>
    <t>own_Mon_01078</t>
  </si>
  <si>
    <t>own_Mon_01079</t>
  </si>
  <si>
    <t>own_Mon_01080</t>
  </si>
  <si>
    <t>own_Mon_01081</t>
  </si>
  <si>
    <t>own_Mon_01082</t>
  </si>
  <si>
    <t>own_Mon_01083</t>
  </si>
  <si>
    <t>own_Mon_01084</t>
  </si>
  <si>
    <t>own_Mon_01085</t>
  </si>
  <si>
    <t>own_Mon_01086</t>
  </si>
  <si>
    <t>own_Mon_01087</t>
  </si>
  <si>
    <t>own_Mon_01088</t>
  </si>
  <si>
    <t>own_Mon_01089</t>
  </si>
  <si>
    <t>own_Mon_01090</t>
  </si>
  <si>
    <t>own_Mon_01091</t>
  </si>
  <si>
    <t>own_Mon_01092</t>
  </si>
  <si>
    <t>own_Mon_01093</t>
  </si>
  <si>
    <t>own_Mon_01094</t>
  </si>
  <si>
    <t>own_Mon_01095</t>
  </si>
  <si>
    <t>own_Mon_01096</t>
  </si>
  <si>
    <t>own_Mon_01097</t>
  </si>
  <si>
    <t>own_Mon_01098</t>
  </si>
  <si>
    <t>own_Mon_01099</t>
  </si>
  <si>
    <t>own_Mon_01100</t>
  </si>
  <si>
    <t>own_Mon_01101</t>
  </si>
  <si>
    <t>own_Mon_01102</t>
  </si>
  <si>
    <t>own_Mon_01103</t>
  </si>
  <si>
    <t>own_Mon_01104</t>
  </si>
  <si>
    <t>own_Mon_01105</t>
  </si>
  <si>
    <t>own_Mon_01106</t>
  </si>
  <si>
    <t>own_Mon_01107</t>
  </si>
  <si>
    <t>own_Mon_01108</t>
  </si>
  <si>
    <t>own_Mon_01109</t>
  </si>
  <si>
    <t>own_Mon_01110</t>
  </si>
  <si>
    <t>own_Mon_01111</t>
  </si>
  <si>
    <t>own_Mon_01112</t>
  </si>
  <si>
    <t>own_Mon_01113</t>
  </si>
  <si>
    <t>own_Mon_01114</t>
  </si>
  <si>
    <t>own_Mon_01115</t>
  </si>
  <si>
    <t>own_Mon_01116</t>
  </si>
  <si>
    <t>own_Mon_01117</t>
  </si>
  <si>
    <t>own_Mon_01118</t>
  </si>
  <si>
    <t>own_Mon_01119</t>
  </si>
  <si>
    <t>own_Mon_01120</t>
  </si>
  <si>
    <t>own_Mon_01121</t>
  </si>
  <si>
    <t>own_Mon_01122</t>
  </si>
  <si>
    <t>own_Mon_01123</t>
  </si>
  <si>
    <t>own_Mon_01124</t>
  </si>
  <si>
    <t>own_Mon_01125</t>
  </si>
  <si>
    <t>own_Mon_01126</t>
  </si>
  <si>
    <t>own_Mon_01127</t>
  </si>
  <si>
    <t>own_Mon_01128</t>
  </si>
  <si>
    <t>own_Mon_01129</t>
  </si>
  <si>
    <t>own_Mon_01130</t>
  </si>
  <si>
    <t>own_Mon_01131</t>
  </si>
  <si>
    <t>own_Mon_01132</t>
  </si>
  <si>
    <t>own_Mon_01133</t>
  </si>
  <si>
    <t>own_Mon_01134</t>
  </si>
  <si>
    <t>own_Mon_01135</t>
  </si>
  <si>
    <t>own_Mon_01136</t>
  </si>
  <si>
    <t>own_Mon_01137</t>
  </si>
  <si>
    <t>own_Mon_01138</t>
  </si>
  <si>
    <t>own_Mon_01139</t>
  </si>
  <si>
    <t>own_Mon_01140</t>
  </si>
  <si>
    <t>own_Mon_01141</t>
  </si>
  <si>
    <t>own_Mon_01142</t>
  </si>
  <si>
    <t>own_Mon_01143</t>
  </si>
  <si>
    <t>own_Mon_01144</t>
  </si>
  <si>
    <t>own_Mon_01145</t>
  </si>
  <si>
    <t>own_Mon_01146</t>
  </si>
  <si>
    <t>own_Mon_01147</t>
  </si>
  <si>
    <t>own_Mon_01148</t>
  </si>
  <si>
    <t>own_Mon_01149</t>
  </si>
  <si>
    <t>own_Mon_01150</t>
  </si>
  <si>
    <t>own_Mon_01151</t>
  </si>
  <si>
    <t>own_Mon_01152</t>
  </si>
  <si>
    <t>own_Mon_01153</t>
  </si>
  <si>
    <t>own_Mon_01154</t>
  </si>
  <si>
    <t>own_Mon_01155</t>
  </si>
  <si>
    <t>own_Mon_01156</t>
  </si>
  <si>
    <t>own_Mon_01157</t>
  </si>
  <si>
    <t>own_Mon_01158</t>
  </si>
  <si>
    <t>own_Mon_01159</t>
  </si>
  <si>
    <t>own_Mon_01160</t>
  </si>
  <si>
    <t>own_Mon_01161</t>
  </si>
  <si>
    <t>own_Mon_01162</t>
  </si>
  <si>
    <t>own_Mon_01163</t>
  </si>
  <si>
    <t>own_Mon_01164</t>
  </si>
  <si>
    <t>own_Mon_01165</t>
  </si>
  <si>
    <t>own_Mon_01166</t>
  </si>
  <si>
    <t>own_Mon_01167</t>
  </si>
  <si>
    <t>own_Mon_01168</t>
  </si>
  <si>
    <t>own_Mon_01169</t>
  </si>
  <si>
    <t>own_Mon_01170</t>
  </si>
  <si>
    <t>own_Mon_01171</t>
  </si>
  <si>
    <t>own_Mon_01172</t>
  </si>
  <si>
    <t>own_Mon_01173</t>
  </si>
  <si>
    <t>own_Mon_01174</t>
  </si>
  <si>
    <t>own_Mon_01175</t>
  </si>
  <si>
    <t>own_Mon_01176</t>
  </si>
  <si>
    <t>own_Mon_01177</t>
  </si>
  <si>
    <t>own_Mon_01178</t>
  </si>
  <si>
    <t>own_Mon_01179</t>
  </si>
  <si>
    <t>own_Mon_01180</t>
  </si>
  <si>
    <t>own_Mon_01181</t>
  </si>
  <si>
    <t>own_Mon_01182</t>
  </si>
  <si>
    <t>own_Mon_01183</t>
  </si>
  <si>
    <t>own_Mon_01184</t>
  </si>
  <si>
    <t>own_Mon_01185</t>
  </si>
  <si>
    <t>own_Mon_01186</t>
  </si>
  <si>
    <t>own_Mon_01187</t>
  </si>
  <si>
    <t>own_Mon_01188</t>
  </si>
  <si>
    <t>own_Mon_01189</t>
  </si>
  <si>
    <t>own_Mon_01190</t>
  </si>
  <si>
    <t>own_Mon_01191</t>
  </si>
  <si>
    <t>own_Mon_01192</t>
  </si>
  <si>
    <t>own_Mon_01193</t>
  </si>
  <si>
    <t>own_Mon_01194</t>
  </si>
  <si>
    <t>own_Mon_01195</t>
  </si>
  <si>
    <t>own_Mon_01196</t>
  </si>
  <si>
    <t>own_Mon_01197</t>
  </si>
  <si>
    <t>own_Mon_01198</t>
  </si>
  <si>
    <t>own_Mon_01199</t>
  </si>
  <si>
    <t>own_Mon_01200</t>
  </si>
  <si>
    <t>own_Mon_01201</t>
  </si>
  <si>
    <t>own_Mon_01202</t>
  </si>
  <si>
    <t>own_Mon_01203</t>
  </si>
  <si>
    <t>own_Mon_01204</t>
  </si>
  <si>
    <t>own_Mon_01205</t>
  </si>
  <si>
    <t>own_Mon_01206</t>
  </si>
  <si>
    <t>own_Mon_01207</t>
  </si>
  <si>
    <t>own_Mon_01208</t>
  </si>
  <si>
    <t>own_Mon_01209</t>
  </si>
  <si>
    <t>own_Mon_01210</t>
  </si>
  <si>
    <t>own_Mon_01211</t>
  </si>
  <si>
    <t>own_Mon_01212</t>
  </si>
  <si>
    <t>own_Mon_01213</t>
  </si>
  <si>
    <t>own_Mon_01214</t>
  </si>
  <si>
    <t>own_Mon_01215</t>
  </si>
  <si>
    <t>own_Mon_01216</t>
  </si>
  <si>
    <t>own_Mon_01217</t>
  </si>
  <si>
    <t>own_Mon_01218</t>
  </si>
  <si>
    <t>own_Mon_01219</t>
  </si>
  <si>
    <t>own_Mon_01220</t>
  </si>
  <si>
    <t>own_Mon_01221</t>
  </si>
  <si>
    <t>own_Mon_01222</t>
  </si>
  <si>
    <t>own_Mon_01223</t>
  </si>
  <si>
    <t>own_Mon_01224</t>
  </si>
  <si>
    <t>own_Mon_01225</t>
  </si>
  <si>
    <t>own_Mon_01226</t>
  </si>
  <si>
    <t>own_Mon_01227</t>
  </si>
  <si>
    <t>own_Mon_01228</t>
  </si>
  <si>
    <t>own_Mon_01229</t>
  </si>
  <si>
    <t>own_Mon_01230</t>
  </si>
  <si>
    <t>own_Mon_01231</t>
  </si>
  <si>
    <t>own_Mon_01232</t>
  </si>
  <si>
    <t>own_Mon_01233</t>
  </si>
  <si>
    <t>own_Mon_01234</t>
  </si>
  <si>
    <t>own_Mon_01235</t>
  </si>
  <si>
    <t>own_Mon_01236</t>
  </si>
  <si>
    <t>own_Mon_01237</t>
  </si>
  <si>
    <t>own_Mon_01238</t>
  </si>
  <si>
    <t>own_Mon_01239</t>
  </si>
  <si>
    <t>own_Mon_01240</t>
  </si>
  <si>
    <t>own_Mon_01241</t>
  </si>
  <si>
    <t>own_Mon_01242</t>
  </si>
  <si>
    <t>own_Mon_01243</t>
  </si>
  <si>
    <t>own_Mon_01244</t>
  </si>
  <si>
    <t>own_Mon_01245</t>
  </si>
  <si>
    <t>own_Mon_01246</t>
  </si>
  <si>
    <t>own_Mon_01247</t>
  </si>
  <si>
    <t>own_Mon_01248</t>
  </si>
  <si>
    <t>own_Mon_01249</t>
  </si>
  <si>
    <t>own_Mon_01250</t>
  </si>
  <si>
    <t>own_Mon_01251</t>
  </si>
  <si>
    <t>own_Mon_01252</t>
  </si>
  <si>
    <t>own_Mon_01253</t>
  </si>
  <si>
    <t>own_Mon_01254</t>
  </si>
  <si>
    <t>own_Mon_01255</t>
  </si>
  <si>
    <t>own_Mon_01256</t>
  </si>
  <si>
    <t>own_Mon_01257</t>
  </si>
  <si>
    <t>own_Mon_01258</t>
  </si>
  <si>
    <t>own_Mon_01259</t>
  </si>
  <si>
    <t>own_Mon_01260</t>
  </si>
  <si>
    <t>own_Mon_01261</t>
  </si>
  <si>
    <t>own_Mon_01262</t>
  </si>
  <si>
    <t>own_Mon_01263</t>
  </si>
  <si>
    <t>own_Mon_01264</t>
  </si>
  <si>
    <t>own_Mon_01265</t>
  </si>
  <si>
    <t>own_Mon_01266</t>
  </si>
  <si>
    <t>own_Mon_01267</t>
  </si>
  <si>
    <t>own_Mon_01268</t>
  </si>
  <si>
    <t>own_Mon_01269</t>
  </si>
  <si>
    <t>own_Mon_01270</t>
  </si>
  <si>
    <t>own_Mon_01271</t>
  </si>
  <si>
    <t>own_Mon_01272</t>
  </si>
  <si>
    <t>own_Mon_01273</t>
  </si>
  <si>
    <t>own_Mon_01274</t>
  </si>
  <si>
    <t>own_Mon_01275</t>
  </si>
  <si>
    <t>own_Mon_01276</t>
  </si>
  <si>
    <t>own_Mon_01277</t>
  </si>
  <si>
    <t>own_Mon_01278</t>
  </si>
  <si>
    <t>own_Mon_01279</t>
  </si>
  <si>
    <t>own_Mon_01280</t>
  </si>
  <si>
    <t>own_Mon_01281</t>
  </si>
  <si>
    <t>own_Mon_01282</t>
  </si>
  <si>
    <t>own_Mon_01283</t>
  </si>
  <si>
    <t>own_Mon_01284</t>
  </si>
  <si>
    <t>own_Mon_01285</t>
  </si>
  <si>
    <t>own_Mon_01286</t>
  </si>
  <si>
    <t>own_Mon_01287</t>
  </si>
  <si>
    <t>own_Mon_01288</t>
  </si>
  <si>
    <t>own_Mon_01289</t>
  </si>
  <si>
    <t>own_Mon_01290</t>
  </si>
  <si>
    <t>own_Mon_01291</t>
  </si>
  <si>
    <t>own_Mon_01292</t>
  </si>
  <si>
    <t>own_Mon_01293</t>
  </si>
  <si>
    <t>own_Mon_01294</t>
  </si>
  <si>
    <t>own_Mon_01295</t>
  </si>
  <si>
    <t>own_Mon_01296</t>
  </si>
  <si>
    <t>own_Mon_01297</t>
  </si>
  <si>
    <t>own_Mon_01298</t>
  </si>
  <si>
    <t>own_Mon_01299</t>
  </si>
  <si>
    <t>own_Mon_01300</t>
  </si>
  <si>
    <t>own_Mon_01301</t>
  </si>
  <si>
    <t>own_Mon_01302</t>
  </si>
  <si>
    <t>own_Mon_01303</t>
  </si>
  <si>
    <t>own_Mon_01304</t>
  </si>
  <si>
    <t>own_Mon_01305</t>
  </si>
  <si>
    <t>own_Mon_01306</t>
  </si>
  <si>
    <t>own_Mon_01307</t>
  </si>
  <si>
    <t>own_Mon_01308</t>
  </si>
  <si>
    <t>own_Mon_01309</t>
  </si>
  <si>
    <t>own_Mon_01310</t>
  </si>
  <si>
    <t>own_Mon_01311</t>
  </si>
  <si>
    <t>own_Mon_01312</t>
  </si>
  <si>
    <t>own_Mon_01313</t>
  </si>
  <si>
    <t>own_Mon_01314</t>
  </si>
  <si>
    <t>own_Mon_01315</t>
  </si>
  <si>
    <t>own_Mon_01316</t>
  </si>
  <si>
    <t>own_Mon_01317</t>
  </si>
  <si>
    <t>own_Mon_01318</t>
  </si>
  <si>
    <t>own_Mon_01319</t>
  </si>
  <si>
    <t>own_Mon_01320</t>
  </si>
  <si>
    <t>own_Mon_01321</t>
  </si>
  <si>
    <t>own_Mon_01322</t>
  </si>
  <si>
    <t>own_Mon_01323</t>
  </si>
  <si>
    <t>own_Mon_01324</t>
  </si>
  <si>
    <t>own_Mon_01325</t>
  </si>
  <si>
    <t>own_Mon_01326</t>
  </si>
  <si>
    <t>own_Mon_01327</t>
  </si>
  <si>
    <t>own_Mon_01328</t>
  </si>
  <si>
    <t>own_Mon_01329</t>
  </si>
  <si>
    <t>own_Mon_01330</t>
  </si>
  <si>
    <t>own_Mon_01331</t>
  </si>
  <si>
    <t>own_Mon_01332</t>
  </si>
  <si>
    <t>own_Mon_01333</t>
  </si>
  <si>
    <t>own_Mon_01334</t>
  </si>
  <si>
    <t>own_Mon_01335</t>
  </si>
  <si>
    <t>own_Mon_01336</t>
  </si>
  <si>
    <t>own_Mon_01337</t>
  </si>
  <si>
    <t>own_Mon_01338</t>
  </si>
  <si>
    <t>own_Mon_01339</t>
  </si>
  <si>
    <t>own_Mon_01340</t>
  </si>
  <si>
    <t>own_Mon_01341</t>
  </si>
  <si>
    <t>own_Mon_01342</t>
  </si>
  <si>
    <t>own_Mon_01343</t>
  </si>
  <si>
    <t>own_Mon_01344</t>
  </si>
  <si>
    <t>own_Mon_01345</t>
  </si>
  <si>
    <t>own_Mon_01346</t>
  </si>
  <si>
    <t>own_Mon_01347</t>
  </si>
  <si>
    <t>own_Mon_01348</t>
  </si>
  <si>
    <t>own_Mon_01349</t>
  </si>
  <si>
    <t>own_Mon_01350</t>
  </si>
  <si>
    <t>own_Mon_01351</t>
  </si>
  <si>
    <t>own_Mon_01352</t>
  </si>
  <si>
    <t>own_Mon_01353</t>
  </si>
  <si>
    <t>own_Mon_01354</t>
  </si>
  <si>
    <t>own_Mon_01355</t>
  </si>
  <si>
    <t>own_Mon_01356</t>
  </si>
  <si>
    <t>own_Mon_01357</t>
  </si>
  <si>
    <t>own_Mon_01358</t>
  </si>
  <si>
    <t>own_Mon_01359</t>
  </si>
  <si>
    <t>own_Mon_01360</t>
  </si>
  <si>
    <t>own_Mon_01361</t>
  </si>
  <si>
    <t>own_Mon_01362</t>
  </si>
  <si>
    <t>own_Mon_01363</t>
  </si>
  <si>
    <t>own_Mon_01364</t>
  </si>
  <si>
    <t>own_Mon_01365</t>
  </si>
  <si>
    <t>own_Mon_01366</t>
  </si>
  <si>
    <t>own_Mon_01367</t>
  </si>
  <si>
    <t>own_Mon_01368</t>
  </si>
  <si>
    <t>own_Mon_01369</t>
  </si>
  <si>
    <t>own_Mon_01370</t>
  </si>
  <si>
    <t>own_Mon_01371</t>
  </si>
  <si>
    <t>own_Mon_01372</t>
  </si>
  <si>
    <t>own_Mon_01373</t>
  </si>
  <si>
    <t>own_Mon_01374</t>
  </si>
  <si>
    <t>own_Mon_01375</t>
  </si>
  <si>
    <t>own_Mon_01376</t>
  </si>
  <si>
    <t>own_Mon_01377</t>
  </si>
  <si>
    <t>own_Mon_01378</t>
  </si>
  <si>
    <t>own_Mon_01379</t>
  </si>
  <si>
    <t>own_Mon_01380</t>
  </si>
  <si>
    <t>own_Mon_01381</t>
  </si>
  <si>
    <t>own_Mon_01382</t>
  </si>
  <si>
    <t>own_Mon_01383</t>
  </si>
  <si>
    <t>own_Mon_01384</t>
  </si>
  <si>
    <t>own_Mon_01385</t>
  </si>
  <si>
    <t>own_Mon_01386</t>
  </si>
  <si>
    <t>own_Mon_01387</t>
  </si>
  <si>
    <t>own_Mon_01388</t>
  </si>
  <si>
    <t>own_Mon_01389</t>
  </si>
  <si>
    <t>own_Mon_01390</t>
  </si>
  <si>
    <t>own_Mon_01391</t>
  </si>
  <si>
    <t>own_Mon_01392</t>
  </si>
  <si>
    <t>own_Mon_01393</t>
  </si>
  <si>
    <t>own_Mon_01394</t>
  </si>
  <si>
    <t>own_Mon_01395</t>
  </si>
  <si>
    <t>own_Mon_01396</t>
  </si>
  <si>
    <t>own_Mon_01397</t>
  </si>
  <si>
    <t>own_Mon_01398</t>
  </si>
  <si>
    <t>own_Mon_01399</t>
  </si>
  <si>
    <t>own_Mon_01400</t>
  </si>
  <si>
    <t>own_Mon_01401</t>
  </si>
  <si>
    <t>own_Mon_01402</t>
  </si>
  <si>
    <t>own_Mon_01403</t>
  </si>
  <si>
    <t>own_Mon_01404</t>
  </si>
  <si>
    <t>own_Mon_01405</t>
  </si>
  <si>
    <t>own_Mon_01406</t>
  </si>
  <si>
    <t>own_Mon_01407</t>
  </si>
  <si>
    <t>own_Mon_01408</t>
  </si>
  <si>
    <t>own_Mon_01409</t>
  </si>
  <si>
    <t>own_Mon_01410</t>
  </si>
  <si>
    <t>own_Mon_01411</t>
  </si>
  <si>
    <t>own_Mon_01412</t>
  </si>
  <si>
    <t>own_Mon_01413</t>
  </si>
  <si>
    <t>own_Mon_01414</t>
  </si>
  <si>
    <t>own_Mon_01415</t>
  </si>
  <si>
    <t>own_Mon_01416</t>
  </si>
  <si>
    <t>own_Mon_01417</t>
  </si>
  <si>
    <t>own_Mon_01418</t>
  </si>
  <si>
    <t>own_Mon_01419</t>
  </si>
  <si>
    <t>own_Mon_01420</t>
  </si>
  <si>
    <t>own_Mon_01421</t>
  </si>
  <si>
    <t>own_Mon_01422</t>
  </si>
  <si>
    <t>own_Mon_01423</t>
  </si>
  <si>
    <t>own_Mon_01424</t>
  </si>
  <si>
    <t>own_Mon_01425</t>
  </si>
  <si>
    <t>own_Mon_01426</t>
  </si>
  <si>
    <t>own_Mon_01427</t>
  </si>
  <si>
    <t>own_Mon_01428</t>
  </si>
  <si>
    <t>own_Mon_01429</t>
  </si>
  <si>
    <t>own_Mon_01430</t>
  </si>
  <si>
    <t>own_Mon_01431</t>
  </si>
  <si>
    <t>own_Mon_01432</t>
  </si>
  <si>
    <t>own_Mon_01433</t>
  </si>
  <si>
    <t>own_Mon_01434</t>
  </si>
  <si>
    <t>own_Mon_01435</t>
  </si>
  <si>
    <t>own_Mon_01436</t>
  </si>
  <si>
    <t>own_Mon_01437</t>
  </si>
  <si>
    <t>own_Mon_01438</t>
  </si>
  <si>
    <t>own_Mon_01439</t>
  </si>
  <si>
    <t>own_Mon_01440</t>
  </si>
  <si>
    <t>own_Mon_01441</t>
  </si>
  <si>
    <t>own_Mon_01442</t>
  </si>
  <si>
    <t>own_Mon_01443</t>
  </si>
  <si>
    <t>own_Mon_01444</t>
  </si>
  <si>
    <t>own_Mon_01445</t>
  </si>
  <si>
    <t>own_Mon_01446</t>
  </si>
  <si>
    <t>own_Mon_01447</t>
  </si>
  <si>
    <t>own_Mon_01448</t>
  </si>
  <si>
    <t>own_Mon_01449</t>
  </si>
  <si>
    <t>own_Mon_01450</t>
  </si>
  <si>
    <t>own_Mon_01451</t>
  </si>
  <si>
    <t>own_Mon_01452</t>
  </si>
  <si>
    <t>own_Mon_01453</t>
  </si>
  <si>
    <t>own_Mon_01454</t>
  </si>
  <si>
    <t>own_Mon_01455</t>
  </si>
  <si>
    <t>own_Mon_01456</t>
  </si>
  <si>
    <t>own_Mon_01457</t>
  </si>
  <si>
    <t>own_Mon_01458</t>
  </si>
  <si>
    <t>own_Mon_01459</t>
  </si>
  <si>
    <t>own_Mon_01460</t>
  </si>
  <si>
    <t>own_Mon_01461</t>
  </si>
  <si>
    <t>own_Mon_01462</t>
  </si>
  <si>
    <t>own_Mon_01463</t>
  </si>
  <si>
    <t>own_Mon_01464</t>
  </si>
  <si>
    <t>own_Mon_01465</t>
  </si>
  <si>
    <t>own_Mon_01466</t>
  </si>
  <si>
    <t>own_Mon_01467</t>
  </si>
  <si>
    <t>own_Mon_01468</t>
  </si>
  <si>
    <t>own_Mon_01469</t>
  </si>
  <si>
    <t>own_Mon_01470</t>
  </si>
  <si>
    <t>own_Mon_01471</t>
  </si>
  <si>
    <t>own_Mon_01472</t>
  </si>
  <si>
    <t>own_Mon_01473</t>
  </si>
  <si>
    <t>own_Mon_01474</t>
  </si>
  <si>
    <t>own_Mon_01475</t>
  </si>
  <si>
    <t>own_Mon_01476</t>
  </si>
  <si>
    <t>own_Mon_01477</t>
  </si>
  <si>
    <t>own_Mon_01478</t>
  </si>
  <si>
    <t>own_Mon_01479</t>
  </si>
  <si>
    <t>own_Mon_01480</t>
  </si>
  <si>
    <t>own_Mon_01481</t>
  </si>
  <si>
    <t>own_Mon_01482</t>
  </si>
  <si>
    <t>own_Mon_01483</t>
  </si>
  <si>
    <t>own_Mon_01484</t>
  </si>
  <si>
    <t>own_Mon_01485</t>
  </si>
  <si>
    <t>own_Mon_01486</t>
  </si>
  <si>
    <t>own_Mon_01487</t>
  </si>
  <si>
    <t>own_Mon_01488</t>
  </si>
  <si>
    <t>own_Mon_01489</t>
  </si>
  <si>
    <t>own_Mon_01490</t>
  </si>
  <si>
    <t>own_Mon_01491</t>
  </si>
  <si>
    <t>own_Mon_01492</t>
  </si>
  <si>
    <t>own_Mon_01493</t>
  </si>
  <si>
    <t>own_Mon_01494</t>
  </si>
  <si>
    <t>own_Mon_01495</t>
  </si>
  <si>
    <t>own_Mon_01496</t>
  </si>
  <si>
    <t>own_Mon_01497</t>
  </si>
  <si>
    <t>own_Mon_01498</t>
  </si>
  <si>
    <t>own_Mon_01499</t>
  </si>
  <si>
    <t>own_Mon_01500</t>
  </si>
  <si>
    <t>own_Mon_01501</t>
  </si>
  <si>
    <t>own_Mon_01502</t>
  </si>
  <si>
    <t>own_Mon_01503</t>
  </si>
  <si>
    <t>own_Mon_01504</t>
  </si>
  <si>
    <t>own_Mon_01505</t>
  </si>
  <si>
    <t>own_Mon_01506</t>
  </si>
  <si>
    <t>own_Mon_01507</t>
  </si>
  <si>
    <t>own_Mon_01508</t>
  </si>
  <si>
    <t>own_Mon_01509</t>
  </si>
  <si>
    <t>own_Mon_01510</t>
  </si>
  <si>
    <t>own_Mon_01511</t>
  </si>
  <si>
    <t>own_Mon_01512</t>
  </si>
  <si>
    <t>own_Mon_01513</t>
  </si>
  <si>
    <t>own_Mon_01514</t>
  </si>
  <si>
    <t>own_Mon_01515</t>
  </si>
  <si>
    <t>own_Mon_01516</t>
  </si>
  <si>
    <t>own_Mon_01517</t>
  </si>
  <si>
    <t>own_Mon_01518</t>
  </si>
  <si>
    <t>own_Mon_01519</t>
  </si>
  <si>
    <t>own_Mon_01520</t>
  </si>
  <si>
    <t>own_Mon_01521</t>
  </si>
  <si>
    <t>own_Mon_01522</t>
  </si>
  <si>
    <t>own_Mon_01523</t>
  </si>
  <si>
    <t>own_Mon_01524</t>
  </si>
  <si>
    <t>own_Mon_01525</t>
  </si>
  <si>
    <t>own_Mon_01526</t>
  </si>
  <si>
    <t>own_Mon_01527</t>
  </si>
  <si>
    <t>own_Mon_01528</t>
  </si>
  <si>
    <t>own_Mon_01529</t>
  </si>
  <si>
    <t>own_Mon_01530</t>
  </si>
  <si>
    <t>own_Mon_01531</t>
  </si>
  <si>
    <t>own_Mon_01532</t>
  </si>
  <si>
    <t>own_Mon_01533</t>
  </si>
  <si>
    <t>own_Mon_01534</t>
  </si>
  <si>
    <t>own_Mon_01535</t>
  </si>
  <si>
    <t>own_Mon_01536</t>
  </si>
  <si>
    <t>own_Mon_01537</t>
  </si>
  <si>
    <t>own_Mon_01538</t>
  </si>
  <si>
    <t>own_Mon_01539</t>
  </si>
  <si>
    <t>own_Mon_01540</t>
  </si>
  <si>
    <t>own_Mon_01541</t>
  </si>
  <si>
    <t>own_Mon_01542</t>
  </si>
  <si>
    <t>own_Mon_01543</t>
  </si>
  <si>
    <t>own_Mon_01544</t>
  </si>
  <si>
    <t>own_Mon_01545</t>
  </si>
  <si>
    <t>own_Mon_01546</t>
  </si>
  <si>
    <t>own_Mon_01547</t>
  </si>
  <si>
    <t>own_Mon_01548</t>
  </si>
  <si>
    <t>own_Mon_01549</t>
  </si>
  <si>
    <t>own_Mon_01550</t>
  </si>
  <si>
    <t>own_Mon_01551</t>
  </si>
  <si>
    <t>own_Mon_01552</t>
  </si>
  <si>
    <t>own_Mon_01553</t>
  </si>
  <si>
    <t>own_Mon_01554</t>
  </si>
  <si>
    <t>own_Mon_01555</t>
  </si>
  <si>
    <t>own_Mon_01556</t>
  </si>
  <si>
    <t>own_Mon_01557</t>
  </si>
  <si>
    <t>own_Mon_01558</t>
  </si>
  <si>
    <t>own_Mon_01559</t>
  </si>
  <si>
    <t>own_Mon_01560</t>
  </si>
  <si>
    <t>own_Mon_01561</t>
  </si>
  <si>
    <t>own_Mon_01562</t>
  </si>
  <si>
    <t>own_Mon_01563</t>
  </si>
  <si>
    <t>own_Mon_01564</t>
  </si>
  <si>
    <t>own_Mon_01565</t>
  </si>
  <si>
    <t>own_Mon_01566</t>
  </si>
  <si>
    <t>own_Mon_01567</t>
  </si>
  <si>
    <t>own_Mon_01568</t>
  </si>
  <si>
    <t>own_Mon_01569</t>
  </si>
  <si>
    <t>own_Mon_01570</t>
  </si>
  <si>
    <t>own_Mon_01571</t>
  </si>
  <si>
    <t>own_Mon_01572</t>
  </si>
  <si>
    <t>own_Mon_01573</t>
  </si>
  <si>
    <t>own_Mon_01574</t>
  </si>
  <si>
    <t>own_Mon_01575</t>
  </si>
  <si>
    <t>own_Mon_01576</t>
  </si>
  <si>
    <t>own_Mon_01577</t>
  </si>
  <si>
    <t>own_Mon_01578</t>
  </si>
  <si>
    <t>own_Mon_01579</t>
  </si>
  <si>
    <t>own_Mon_01580</t>
  </si>
  <si>
    <t>own_Mon_01581</t>
  </si>
  <si>
    <t>own_Mon_01582</t>
  </si>
  <si>
    <t>own_Mon_01583</t>
  </si>
  <si>
    <t>own_Mon_01584</t>
  </si>
  <si>
    <t>own_Mon_01585</t>
  </si>
  <si>
    <t>own_Mon_01586</t>
  </si>
  <si>
    <t>own_Mon_01587</t>
  </si>
  <si>
    <t>own_Mon_01588</t>
  </si>
  <si>
    <t>own_Mon_01589</t>
  </si>
  <si>
    <t>own_Mon_01590</t>
  </si>
  <si>
    <t>own_Mon_01591</t>
  </si>
  <si>
    <t>own_Mon_01592</t>
  </si>
  <si>
    <t>own_Mon_01593</t>
  </si>
  <si>
    <t>own_Mon_01594</t>
  </si>
  <si>
    <t>own_Mon_01595</t>
  </si>
  <si>
    <t>own_Mon_01596</t>
  </si>
  <si>
    <t>own_Mon_01597</t>
  </si>
  <si>
    <t>own_Mon_01598</t>
  </si>
  <si>
    <t>own_Mon_01599</t>
  </si>
  <si>
    <t>own_Mon_01600</t>
  </si>
  <si>
    <t>own_Mon_01601</t>
  </si>
  <si>
    <t>own_Mon_01602</t>
  </si>
  <si>
    <t>own_Mon_01603</t>
  </si>
  <si>
    <t>own_Mon_01604</t>
  </si>
  <si>
    <t>own_Mon_01605</t>
  </si>
  <si>
    <t>own_Mon_01606</t>
  </si>
  <si>
    <t>own_Mon_01607</t>
  </si>
  <si>
    <t>own_Mon_01608</t>
  </si>
  <si>
    <t>own_Mon_01609</t>
  </si>
  <si>
    <t>own_Mon_01610</t>
  </si>
  <si>
    <t>own_Mon_01611</t>
  </si>
  <si>
    <t>own_Mon_01612</t>
  </si>
  <si>
    <t>own_Mon_01613</t>
  </si>
  <si>
    <t>own_Mon_01614</t>
  </si>
  <si>
    <t>own_Mon_01615</t>
  </si>
  <si>
    <t>own_Mon_01616</t>
  </si>
  <si>
    <t>own_Mon_01617</t>
  </si>
  <si>
    <t>own_Mon_01618</t>
  </si>
  <si>
    <t>own_Mon_01619</t>
  </si>
  <si>
    <t>own_Mon_01620</t>
  </si>
  <si>
    <t>own_Mon_01621</t>
  </si>
  <si>
    <t>own_Mon_01622</t>
  </si>
  <si>
    <t>own_Mon_01623</t>
  </si>
  <si>
    <t>own_Mon_01624</t>
  </si>
  <si>
    <t>own_Mon_01625</t>
  </si>
  <si>
    <t>own_Mon_01626</t>
  </si>
  <si>
    <t>own_Mon_01627</t>
  </si>
  <si>
    <t>own_Mon_01628</t>
  </si>
  <si>
    <t>own_Mon_01629</t>
  </si>
  <si>
    <t>own_Mon_01630</t>
  </si>
  <si>
    <t>own_Mon_01631</t>
  </si>
  <si>
    <t>own_Mon_01632</t>
  </si>
  <si>
    <t>own_Mon_01633</t>
  </si>
  <si>
    <t>own_Mon_01634</t>
  </si>
  <si>
    <t>own_Mon_01635</t>
  </si>
  <si>
    <t>own_Mon_01636</t>
  </si>
  <si>
    <t>own_Mon_01637</t>
  </si>
  <si>
    <t>own_Mon_01638</t>
  </si>
  <si>
    <t>own_Mon_01639</t>
  </si>
  <si>
    <t>own_Mon_01640</t>
  </si>
  <si>
    <t>own_Mon_01641</t>
  </si>
  <si>
    <t>own_Mon_01642</t>
  </si>
  <si>
    <t>own_Mon_01643</t>
  </si>
  <si>
    <t>own_Mon_01644</t>
  </si>
  <si>
    <t>own_Mon_01645</t>
  </si>
  <si>
    <t>own_Mon_01646</t>
  </si>
  <si>
    <t>own_Mon_01647</t>
  </si>
  <si>
    <t>own_Mon_01648</t>
  </si>
  <si>
    <t>own_Mon_01649</t>
  </si>
  <si>
    <t>own_Mon_01650</t>
  </si>
  <si>
    <t>own_Mon_01651</t>
  </si>
  <si>
    <t>own_Mon_01652</t>
  </si>
  <si>
    <t>own_Mon_01653</t>
  </si>
  <si>
    <t>own_Mon_01654</t>
  </si>
  <si>
    <t>own_Mon_01655</t>
  </si>
  <si>
    <t>own_Mon_01656</t>
  </si>
  <si>
    <t>own_Mon_01657</t>
  </si>
  <si>
    <t>own_Mon_01658</t>
  </si>
  <si>
    <t>own_Mon_01659</t>
  </si>
  <si>
    <t>own_Mon_01660</t>
  </si>
  <si>
    <t>own_Mon_01661</t>
  </si>
  <si>
    <t>own_Mon_01662</t>
  </si>
  <si>
    <t>own_Mon_01663</t>
  </si>
  <si>
    <t>own_Mon_01664</t>
  </si>
  <si>
    <t>own_Mon_01665</t>
  </si>
  <si>
    <t>own_Mon_01666</t>
  </si>
  <si>
    <t>own_Mon_01667</t>
  </si>
  <si>
    <t>own_Mon_01668</t>
  </si>
  <si>
    <t>own_Mon_01669</t>
  </si>
  <si>
    <t>own_Mon_01670</t>
  </si>
  <si>
    <t>own_Mon_01671</t>
  </si>
  <si>
    <t>own_Mon_01672</t>
  </si>
  <si>
    <t>own_Mon_01673</t>
  </si>
  <si>
    <t>own_Mon_01674</t>
  </si>
  <si>
    <t>own_Mon_01675</t>
  </si>
  <si>
    <t>own_Mon_01676</t>
  </si>
  <si>
    <t>own_Mon_01677</t>
  </si>
  <si>
    <t>own_Mon_01678</t>
  </si>
  <si>
    <t>own_Mon_01679</t>
  </si>
  <si>
    <t>own_Mon_01680</t>
  </si>
  <si>
    <t>own_Mon_01681</t>
  </si>
  <si>
    <t>own_Mon_01682</t>
  </si>
  <si>
    <t>own_Mon_01683</t>
  </si>
  <si>
    <t>own_Mon_01684</t>
  </si>
  <si>
    <t>own_Mon_01685</t>
  </si>
  <si>
    <t>own_Mon_01686</t>
  </si>
  <si>
    <t>own_Mon_01687</t>
  </si>
  <si>
    <t>own_Mon_01688</t>
  </si>
  <si>
    <t>own_Mon_01689</t>
  </si>
  <si>
    <t>own_Mon_01690</t>
  </si>
  <si>
    <t>own_Mon_01691</t>
  </si>
  <si>
    <t>own_Mon_01692</t>
  </si>
  <si>
    <t>own_Mon_01693</t>
  </si>
  <si>
    <t>own_Mon_01694</t>
  </si>
  <si>
    <t>own_Mon_01695</t>
  </si>
  <si>
    <t>own_Mon_01696</t>
  </si>
  <si>
    <t>own_Mon_01697</t>
  </si>
  <si>
    <t>own_Mon_01698</t>
  </si>
  <si>
    <t>own_Mon_01699</t>
  </si>
  <si>
    <t>own_Mon_01700</t>
  </si>
  <si>
    <t>own_Mon_01701</t>
  </si>
  <si>
    <t>own_Mon_01702</t>
  </si>
  <si>
    <t>own_Mon_01703</t>
  </si>
  <si>
    <t>own_Mon_01704</t>
  </si>
  <si>
    <t>own_Mon_01705</t>
  </si>
  <si>
    <t>own_Mon_01706</t>
  </si>
  <si>
    <t>own_Mon_01707</t>
  </si>
  <si>
    <t>own_Mon_01708</t>
  </si>
  <si>
    <t>own_Mon_01709</t>
  </si>
  <si>
    <t>own_Mon_01710</t>
  </si>
  <si>
    <t>own_Mon_01711</t>
  </si>
  <si>
    <t>own_Mon_01712</t>
  </si>
  <si>
    <t>own_Mon_01713</t>
  </si>
  <si>
    <t>own_Mon_01714</t>
  </si>
  <si>
    <t>own_Mon_01715</t>
  </si>
  <si>
    <t>own_Mon_01716</t>
  </si>
  <si>
    <t>skip_0</t>
  </si>
  <si>
    <t>skip_1</t>
  </si>
  <si>
    <t>skip_10</t>
  </si>
  <si>
    <t>skip_11</t>
  </si>
  <si>
    <t>skip_12</t>
  </si>
  <si>
    <t>skip_13</t>
  </si>
  <si>
    <t>skip_14</t>
  </si>
  <si>
    <t>skip_15</t>
  </si>
  <si>
    <t>skip_16</t>
  </si>
  <si>
    <t>skip_17</t>
  </si>
  <si>
    <t>skip_18</t>
  </si>
  <si>
    <t>skip_19</t>
  </si>
  <si>
    <t>skip_2</t>
  </si>
  <si>
    <t>skip_20</t>
  </si>
  <si>
    <t>skip_21</t>
  </si>
  <si>
    <t>skip_22</t>
  </si>
  <si>
    <t>skip_23</t>
  </si>
  <si>
    <t>skip_24</t>
  </si>
  <si>
    <t>skip_25</t>
  </si>
  <si>
    <t>skip_26</t>
  </si>
  <si>
    <t>skip_27</t>
  </si>
  <si>
    <t>skip_28</t>
  </si>
  <si>
    <t>skip_29</t>
  </si>
  <si>
    <t>skip_3</t>
  </si>
  <si>
    <t>skip_30</t>
  </si>
  <si>
    <t>skip_31</t>
  </si>
  <si>
    <t>skip_32</t>
  </si>
  <si>
    <t>skip_33</t>
  </si>
  <si>
    <t>skip_34</t>
  </si>
  <si>
    <t>skip_35</t>
  </si>
  <si>
    <t>skip_36</t>
  </si>
  <si>
    <t>skip_37</t>
  </si>
  <si>
    <t>skip_38</t>
  </si>
  <si>
    <t>skip_39</t>
  </si>
  <si>
    <t>skip_4</t>
  </si>
  <si>
    <t>skip_40</t>
  </si>
  <si>
    <t>skip_41</t>
  </si>
  <si>
    <t>skip_42</t>
  </si>
  <si>
    <t>skip_43</t>
  </si>
  <si>
    <t>skip_44</t>
  </si>
  <si>
    <t>skip_45</t>
  </si>
  <si>
    <t>skip_46</t>
  </si>
  <si>
    <t>skip_47</t>
  </si>
  <si>
    <t>skip_48</t>
  </si>
  <si>
    <t>skip_49</t>
  </si>
  <si>
    <t>skip_5</t>
  </si>
  <si>
    <t>skip_50</t>
  </si>
  <si>
    <t>skip_51</t>
  </si>
  <si>
    <t>skip_52</t>
  </si>
  <si>
    <t>skip_53</t>
  </si>
  <si>
    <t>skip_54</t>
  </si>
  <si>
    <t>skip_6</t>
  </si>
  <si>
    <t>skip_7</t>
  </si>
  <si>
    <t>skip_8</t>
  </si>
  <si>
    <t>skip_9</t>
  </si>
  <si>
    <t>bin</t>
  </si>
  <si>
    <t>cover_Four_Square_Botany_Junction</t>
  </si>
  <si>
    <t>cover_Four_Square_Britomart</t>
  </si>
  <si>
    <t>cover_Four_Square_Cockle_Bay</t>
  </si>
  <si>
    <t>cover_Four_Square_Eden_Terrace</t>
  </si>
  <si>
    <t>cover_Four_Square_Ellerslie</t>
  </si>
  <si>
    <t>cover_Four_Square_Fair_Price_Henderson</t>
  </si>
  <si>
    <t>cover_Four_Square_Glen_Eden</t>
  </si>
  <si>
    <t>cover_Four_Square_Hobsonville</t>
  </si>
  <si>
    <t>cover_Four_Square_Lancaster</t>
  </si>
  <si>
    <t>cover_Four_Square_Onehunga</t>
  </si>
  <si>
    <t>cover_Four_Square_Pakuranga_Heights</t>
  </si>
  <si>
    <t>cover_Four_Square_Remuera</t>
  </si>
  <si>
    <t>cover_Four_Square_St_Heliers</t>
  </si>
  <si>
    <t>cover_Four_Square_Torbay</t>
  </si>
  <si>
    <t>cover_New_World_Albany</t>
  </si>
  <si>
    <t>cover_New_World_Birkenhead</t>
  </si>
  <si>
    <t>cover_New_World_Botany</t>
  </si>
  <si>
    <t>cover_New_World_Browns_Bay</t>
  </si>
  <si>
    <t>cover_New_World_Devonport</t>
  </si>
  <si>
    <t>cover_New_World_Eastridge</t>
  </si>
  <si>
    <t>cover_New_World_Green_Bay</t>
  </si>
  <si>
    <t>cover_New_World_Hobsonville</t>
  </si>
  <si>
    <t>cover_New_World_Howick</t>
  </si>
  <si>
    <t>cover_New_World_Long_Bay</t>
  </si>
  <si>
    <t>cover_New_World_Metro_Queen_St</t>
  </si>
  <si>
    <t>cover_New_World_Metro_Shore_City</t>
  </si>
  <si>
    <t>cover_New_World_Milford</t>
  </si>
  <si>
    <t>cover_New_World_Mt_Albert</t>
  </si>
  <si>
    <t>cover_New_World_Mt_Roskill</t>
  </si>
  <si>
    <t>cover_New_World_New_Lynn</t>
  </si>
  <si>
    <t>cover_New_World_Newmarket</t>
  </si>
  <si>
    <t>cover_New_World_Ormiston</t>
  </si>
  <si>
    <t>cover_New_World_Papakura</t>
  </si>
  <si>
    <t>cover_New_World_Papatoetoe</t>
  </si>
  <si>
    <t>cover_New_World_Point_Chevalier</t>
  </si>
  <si>
    <t>cover_New_World_Remuera</t>
  </si>
  <si>
    <t>cover_New_World_Southmall</t>
  </si>
  <si>
    <t>cover_New_World_Stonefields</t>
  </si>
  <si>
    <t>cover_New_World_Victoria_Park</t>
  </si>
  <si>
    <t>cover_Pak_'n_Save_Albany</t>
  </si>
  <si>
    <t>cover_Pak_'n_Save_Botany</t>
  </si>
  <si>
    <t>cover_Pak_'n_Save_Clendon</t>
  </si>
  <si>
    <t>cover_Pak_'n_Save_Glen_Innes</t>
  </si>
  <si>
    <t>cover_Pak_'n_Save_Henderson</t>
  </si>
  <si>
    <t>cover_Pak_'n_Save_Highland_Park</t>
  </si>
  <si>
    <t>cover_Pak_'n_Save_Lincoln_Road</t>
  </si>
  <si>
    <t>cover_Pak_'n_Save_Mangere</t>
  </si>
  <si>
    <t>cover_Pak_'n_Save_Manukau</t>
  </si>
  <si>
    <t>cover_Pak_'n_Save_Mt_Albert</t>
  </si>
  <si>
    <t>cover_Pak_'n_Save_Ormiston</t>
  </si>
  <si>
    <t>cover_Pak_'n_Save_Papakura</t>
  </si>
  <si>
    <t>cover_Pak_'n_Save_Royal_Oak</t>
  </si>
  <si>
    <t>cover_Pak_'n_Save_Sylvia_Park</t>
  </si>
  <si>
    <t>cover_Pak_'n_Save_Wairau_Road</t>
  </si>
  <si>
    <t>cover_Pak_'n_Save_Westgate</t>
  </si>
  <si>
    <t>fleet_capacity</t>
  </si>
  <si>
    <t>one_mode_Mon_00001</t>
  </si>
  <si>
    <t>one_mode_Mon_00002</t>
  </si>
  <si>
    <t>one_mode_Mon_00003</t>
  </si>
  <si>
    <t>one_mode_Mon_00004</t>
  </si>
  <si>
    <t>one_mode_Mon_00005</t>
  </si>
  <si>
    <t>one_mode_Mon_00006</t>
  </si>
  <si>
    <t>one_mode_Mon_00007</t>
  </si>
  <si>
    <t>one_mode_Mon_00008</t>
  </si>
  <si>
    <t>one_mode_Mon_00009</t>
  </si>
  <si>
    <t>one_mode_Mon_00010</t>
  </si>
  <si>
    <t>one_mode_Mon_00011</t>
  </si>
  <si>
    <t>one_mode_Mon_00012</t>
  </si>
  <si>
    <t>one_mode_Mon_00013</t>
  </si>
  <si>
    <t>one_mode_Mon_00014</t>
  </si>
  <si>
    <t>one_mode_Mon_00015</t>
  </si>
  <si>
    <t>one_mode_Mon_00016</t>
  </si>
  <si>
    <t>one_mode_Mon_00017</t>
  </si>
  <si>
    <t>one_mode_Mon_00018</t>
  </si>
  <si>
    <t>one_mode_Mon_00019</t>
  </si>
  <si>
    <t>one_mode_Mon_00020</t>
  </si>
  <si>
    <t>one_mode_Mon_00021</t>
  </si>
  <si>
    <t>one_mode_Mon_00022</t>
  </si>
  <si>
    <t>one_mode_Mon_00023</t>
  </si>
  <si>
    <t>one_mode_Mon_00024</t>
  </si>
  <si>
    <t>one_mode_Mon_00025</t>
  </si>
  <si>
    <t>one_mode_Mon_00026</t>
  </si>
  <si>
    <t>one_mode_Mon_00027</t>
  </si>
  <si>
    <t>one_mode_Mon_00028</t>
  </si>
  <si>
    <t>one_mode_Mon_00029</t>
  </si>
  <si>
    <t>one_mode_Mon_00030</t>
  </si>
  <si>
    <t>one_mode_Mon_00031</t>
  </si>
  <si>
    <t>one_mode_Mon_00032</t>
  </si>
  <si>
    <t>one_mode_Mon_00033</t>
  </si>
  <si>
    <t>one_mode_Mon_00034</t>
  </si>
  <si>
    <t>one_mode_Mon_00035</t>
  </si>
  <si>
    <t>one_mode_Mon_00036</t>
  </si>
  <si>
    <t>one_mode_Mon_00037</t>
  </si>
  <si>
    <t>one_mode_Mon_00038</t>
  </si>
  <si>
    <t>one_mode_Mon_00039</t>
  </si>
  <si>
    <t>one_mode_Mon_00040</t>
  </si>
  <si>
    <t>one_mode_Mon_00041</t>
  </si>
  <si>
    <t>one_mode_Mon_00042</t>
  </si>
  <si>
    <t>one_mode_Mon_00043</t>
  </si>
  <si>
    <t>one_mode_Mon_00044</t>
  </si>
  <si>
    <t>one_mode_Mon_00045</t>
  </si>
  <si>
    <t>one_mode_Mon_00046</t>
  </si>
  <si>
    <t>one_mode_Mon_00047</t>
  </si>
  <si>
    <t>one_mode_Mon_00048</t>
  </si>
  <si>
    <t>one_mode_Mon_00049</t>
  </si>
  <si>
    <t>one_mode_Mon_00050</t>
  </si>
  <si>
    <t>one_mode_Mon_00051</t>
  </si>
  <si>
    <t>one_mode_Mon_00052</t>
  </si>
  <si>
    <t>one_mode_Mon_00053</t>
  </si>
  <si>
    <t>one_mode_Mon_00054</t>
  </si>
  <si>
    <t>one_mode_Mon_00055</t>
  </si>
  <si>
    <t>one_mode_Mon_00056</t>
  </si>
  <si>
    <t>one_mode_Mon_00057</t>
  </si>
  <si>
    <t>one_mode_Mon_00058</t>
  </si>
  <si>
    <t>one_mode_Mon_00059</t>
  </si>
  <si>
    <t>one_mode_Mon_00060</t>
  </si>
  <si>
    <t>one_mode_Mon_00061</t>
  </si>
  <si>
    <t>one_mode_Mon_00062</t>
  </si>
  <si>
    <t>one_mode_Mon_00063</t>
  </si>
  <si>
    <t>one_mode_Mon_00064</t>
  </si>
  <si>
    <t>one_mode_Mon_00065</t>
  </si>
  <si>
    <t>one_mode_Mon_00066</t>
  </si>
  <si>
    <t>one_mode_Mon_00067</t>
  </si>
  <si>
    <t>one_mode_Mon_00068</t>
  </si>
  <si>
    <t>one_mode_Mon_00069</t>
  </si>
  <si>
    <t>one_mode_Mon_00070</t>
  </si>
  <si>
    <t>one_mode_Mon_00071</t>
  </si>
  <si>
    <t>one_mode_Mon_00072</t>
  </si>
  <si>
    <t>one_mode_Mon_00073</t>
  </si>
  <si>
    <t>one_mode_Mon_00074</t>
  </si>
  <si>
    <t>one_mode_Mon_00075</t>
  </si>
  <si>
    <t>one_mode_Mon_00076</t>
  </si>
  <si>
    <t>one_mode_Mon_00077</t>
  </si>
  <si>
    <t>one_mode_Mon_00078</t>
  </si>
  <si>
    <t>one_mode_Mon_00079</t>
  </si>
  <si>
    <t>one_mode_Mon_00080</t>
  </si>
  <si>
    <t>one_mode_Mon_00081</t>
  </si>
  <si>
    <t>one_mode_Mon_00082</t>
  </si>
  <si>
    <t>one_mode_Mon_00083</t>
  </si>
  <si>
    <t>one_mode_Mon_00084</t>
  </si>
  <si>
    <t>one_mode_Mon_00085</t>
  </si>
  <si>
    <t>one_mode_Mon_00086</t>
  </si>
  <si>
    <t>one_mode_Mon_00087</t>
  </si>
  <si>
    <t>one_mode_Mon_00088</t>
  </si>
  <si>
    <t>one_mode_Mon_00089</t>
  </si>
  <si>
    <t>one_mode_Mon_00090</t>
  </si>
  <si>
    <t>one_mode_Mon_00091</t>
  </si>
  <si>
    <t>one_mode_Mon_00092</t>
  </si>
  <si>
    <t>one_mode_Mon_00093</t>
  </si>
  <si>
    <t>one_mode_Mon_00094</t>
  </si>
  <si>
    <t>one_mode_Mon_00095</t>
  </si>
  <si>
    <t>one_mode_Mon_00096</t>
  </si>
  <si>
    <t>one_mode_Mon_00097</t>
  </si>
  <si>
    <t>one_mode_Mon_00098</t>
  </si>
  <si>
    <t>one_mode_Mon_00099</t>
  </si>
  <si>
    <t>one_mode_Mon_00100</t>
  </si>
  <si>
    <t>one_mode_Mon_00101</t>
  </si>
  <si>
    <t>one_mode_Mon_00102</t>
  </si>
  <si>
    <t>one_mode_Mon_00103</t>
  </si>
  <si>
    <t>one_mode_Mon_00104</t>
  </si>
  <si>
    <t>one_mode_Mon_00105</t>
  </si>
  <si>
    <t>one_mode_Mon_00106</t>
  </si>
  <si>
    <t>one_mode_Mon_00107</t>
  </si>
  <si>
    <t>one_mode_Mon_00108</t>
  </si>
  <si>
    <t>one_mode_Mon_00109</t>
  </si>
  <si>
    <t>one_mode_Mon_00110</t>
  </si>
  <si>
    <t>one_mode_Mon_00111</t>
  </si>
  <si>
    <t>one_mode_Mon_00112</t>
  </si>
  <si>
    <t>one_mode_Mon_00113</t>
  </si>
  <si>
    <t>one_mode_Mon_00114</t>
  </si>
  <si>
    <t>one_mode_Mon_00115</t>
  </si>
  <si>
    <t>one_mode_Mon_00116</t>
  </si>
  <si>
    <t>one_mode_Mon_00117</t>
  </si>
  <si>
    <t>one_mode_Mon_00118</t>
  </si>
  <si>
    <t>one_mode_Mon_00119</t>
  </si>
  <si>
    <t>one_mode_Mon_00120</t>
  </si>
  <si>
    <t>one_mode_Mon_00121</t>
  </si>
  <si>
    <t>one_mode_Mon_00122</t>
  </si>
  <si>
    <t>one_mode_Mon_00123</t>
  </si>
  <si>
    <t>one_mode_Mon_00124</t>
  </si>
  <si>
    <t>one_mode_Mon_00125</t>
  </si>
  <si>
    <t>one_mode_Mon_00126</t>
  </si>
  <si>
    <t>one_mode_Mon_00127</t>
  </si>
  <si>
    <t>one_mode_Mon_00128</t>
  </si>
  <si>
    <t>one_mode_Mon_00129</t>
  </si>
  <si>
    <t>one_mode_Mon_00130</t>
  </si>
  <si>
    <t>one_mode_Mon_00131</t>
  </si>
  <si>
    <t>one_mode_Mon_00132</t>
  </si>
  <si>
    <t>one_mode_Mon_00133</t>
  </si>
  <si>
    <t>one_mode_Mon_00134</t>
  </si>
  <si>
    <t>one_mode_Mon_00135</t>
  </si>
  <si>
    <t>one_mode_Mon_00136</t>
  </si>
  <si>
    <t>one_mode_Mon_00137</t>
  </si>
  <si>
    <t>one_mode_Mon_00138</t>
  </si>
  <si>
    <t>one_mode_Mon_00139</t>
  </si>
  <si>
    <t>one_mode_Mon_00140</t>
  </si>
  <si>
    <t>one_mode_Mon_00141</t>
  </si>
  <si>
    <t>one_mode_Mon_00142</t>
  </si>
  <si>
    <t>one_mode_Mon_00143</t>
  </si>
  <si>
    <t>one_mode_Mon_00144</t>
  </si>
  <si>
    <t>one_mode_Mon_00145</t>
  </si>
  <si>
    <t>one_mode_Mon_00146</t>
  </si>
  <si>
    <t>one_mode_Mon_00147</t>
  </si>
  <si>
    <t>one_mode_Mon_00148</t>
  </si>
  <si>
    <t>one_mode_Mon_00149</t>
  </si>
  <si>
    <t>one_mode_Mon_00150</t>
  </si>
  <si>
    <t>one_mode_Mon_00151</t>
  </si>
  <si>
    <t>one_mode_Mon_00152</t>
  </si>
  <si>
    <t>one_mode_Mon_00153</t>
  </si>
  <si>
    <t>one_mode_Mon_00154</t>
  </si>
  <si>
    <t>one_mode_Mon_00155</t>
  </si>
  <si>
    <t>one_mode_Mon_00156</t>
  </si>
  <si>
    <t>one_mode_Mon_00157</t>
  </si>
  <si>
    <t>one_mode_Mon_00158</t>
  </si>
  <si>
    <t>one_mode_Mon_00159</t>
  </si>
  <si>
    <t>one_mode_Mon_00160</t>
  </si>
  <si>
    <t>one_mode_Mon_00161</t>
  </si>
  <si>
    <t>one_mode_Mon_00162</t>
  </si>
  <si>
    <t>one_mode_Mon_00163</t>
  </si>
  <si>
    <t>one_mode_Mon_00164</t>
  </si>
  <si>
    <t>one_mode_Mon_00165</t>
  </si>
  <si>
    <t>one_mode_Mon_00166</t>
  </si>
  <si>
    <t>one_mode_Mon_00167</t>
  </si>
  <si>
    <t>one_mode_Mon_00168</t>
  </si>
  <si>
    <t>one_mode_Mon_00169</t>
  </si>
  <si>
    <t>one_mode_Mon_00170</t>
  </si>
  <si>
    <t>one_mode_Mon_00171</t>
  </si>
  <si>
    <t>one_mode_Mon_00172</t>
  </si>
  <si>
    <t>one_mode_Mon_00173</t>
  </si>
  <si>
    <t>one_mode_Mon_00174</t>
  </si>
  <si>
    <t>one_mode_Mon_00175</t>
  </si>
  <si>
    <t>one_mode_Mon_00176</t>
  </si>
  <si>
    <t>one_mode_Mon_00177</t>
  </si>
  <si>
    <t>one_mode_Mon_00178</t>
  </si>
  <si>
    <t>one_mode_Mon_00179</t>
  </si>
  <si>
    <t>one_mode_Mon_00180</t>
  </si>
  <si>
    <t>one_mode_Mon_00181</t>
  </si>
  <si>
    <t>one_mode_Mon_00182</t>
  </si>
  <si>
    <t>one_mode_Mon_00183</t>
  </si>
  <si>
    <t>one_mode_Mon_00184</t>
  </si>
  <si>
    <t>one_mode_Mon_00185</t>
  </si>
  <si>
    <t>one_mode_Mon_00186</t>
  </si>
  <si>
    <t>one_mode_Mon_00187</t>
  </si>
  <si>
    <t>one_mode_Mon_00188</t>
  </si>
  <si>
    <t>one_mode_Mon_00189</t>
  </si>
  <si>
    <t>one_mode_Mon_00190</t>
  </si>
  <si>
    <t>one_mode_Mon_00191</t>
  </si>
  <si>
    <t>one_mode_Mon_00192</t>
  </si>
  <si>
    <t>one_mode_Mon_00193</t>
  </si>
  <si>
    <t>one_mode_Mon_00194</t>
  </si>
  <si>
    <t>one_mode_Mon_00195</t>
  </si>
  <si>
    <t>one_mode_Mon_00196</t>
  </si>
  <si>
    <t>one_mode_Mon_00197</t>
  </si>
  <si>
    <t>one_mode_Mon_00198</t>
  </si>
  <si>
    <t>one_mode_Mon_00199</t>
  </si>
  <si>
    <t>one_mode_Mon_00200</t>
  </si>
  <si>
    <t>one_mode_Mon_00201</t>
  </si>
  <si>
    <t>one_mode_Mon_00202</t>
  </si>
  <si>
    <t>one_mode_Mon_00203</t>
  </si>
  <si>
    <t>one_mode_Mon_00204</t>
  </si>
  <si>
    <t>one_mode_Mon_00205</t>
  </si>
  <si>
    <t>one_mode_Mon_00206</t>
  </si>
  <si>
    <t>one_mode_Mon_00207</t>
  </si>
  <si>
    <t>one_mode_Mon_00208</t>
  </si>
  <si>
    <t>one_mode_Mon_00209</t>
  </si>
  <si>
    <t>one_mode_Mon_00210</t>
  </si>
  <si>
    <t>one_mode_Mon_00211</t>
  </si>
  <si>
    <t>one_mode_Mon_00212</t>
  </si>
  <si>
    <t>one_mode_Mon_00213</t>
  </si>
  <si>
    <t>one_mode_Mon_00214</t>
  </si>
  <si>
    <t>one_mode_Mon_00215</t>
  </si>
  <si>
    <t>one_mode_Mon_00216</t>
  </si>
  <si>
    <t>one_mode_Mon_00217</t>
  </si>
  <si>
    <t>one_mode_Mon_00218</t>
  </si>
  <si>
    <t>one_mode_Mon_00219</t>
  </si>
  <si>
    <t>one_mode_Mon_00220</t>
  </si>
  <si>
    <t>one_mode_Mon_00221</t>
  </si>
  <si>
    <t>one_mode_Mon_00222</t>
  </si>
  <si>
    <t>one_mode_Mon_00223</t>
  </si>
  <si>
    <t>one_mode_Mon_00224</t>
  </si>
  <si>
    <t>one_mode_Mon_00225</t>
  </si>
  <si>
    <t>one_mode_Mon_00226</t>
  </si>
  <si>
    <t>one_mode_Mon_00227</t>
  </si>
  <si>
    <t>one_mode_Mon_00228</t>
  </si>
  <si>
    <t>one_mode_Mon_00229</t>
  </si>
  <si>
    <t>one_mode_Mon_00230</t>
  </si>
  <si>
    <t>one_mode_Mon_00231</t>
  </si>
  <si>
    <t>one_mode_Mon_00232</t>
  </si>
  <si>
    <t>one_mode_Mon_00233</t>
  </si>
  <si>
    <t>one_mode_Mon_00234</t>
  </si>
  <si>
    <t>one_mode_Mon_00235</t>
  </si>
  <si>
    <t>one_mode_Mon_00236</t>
  </si>
  <si>
    <t>one_mode_Mon_00237</t>
  </si>
  <si>
    <t>one_mode_Mon_00238</t>
  </si>
  <si>
    <t>one_mode_Mon_00239</t>
  </si>
  <si>
    <t>one_mode_Mon_00240</t>
  </si>
  <si>
    <t>one_mode_Mon_00241</t>
  </si>
  <si>
    <t>one_mode_Mon_00242</t>
  </si>
  <si>
    <t>one_mode_Mon_00243</t>
  </si>
  <si>
    <t>one_mode_Mon_00244</t>
  </si>
  <si>
    <t>one_mode_Mon_00245</t>
  </si>
  <si>
    <t>one_mode_Mon_00246</t>
  </si>
  <si>
    <t>one_mode_Mon_00247</t>
  </si>
  <si>
    <t>one_mode_Mon_00248</t>
  </si>
  <si>
    <t>one_mode_Mon_00249</t>
  </si>
  <si>
    <t>one_mode_Mon_00250</t>
  </si>
  <si>
    <t>one_mode_Mon_00251</t>
  </si>
  <si>
    <t>one_mode_Mon_00252</t>
  </si>
  <si>
    <t>one_mode_Mon_00253</t>
  </si>
  <si>
    <t>one_mode_Mon_00254</t>
  </si>
  <si>
    <t>one_mode_Mon_00255</t>
  </si>
  <si>
    <t>one_mode_Mon_00256</t>
  </si>
  <si>
    <t>one_mode_Mon_00257</t>
  </si>
  <si>
    <t>one_mode_Mon_00258</t>
  </si>
  <si>
    <t>one_mode_Mon_00259</t>
  </si>
  <si>
    <t>one_mode_Mon_00260</t>
  </si>
  <si>
    <t>one_mode_Mon_00261</t>
  </si>
  <si>
    <t>one_mode_Mon_00262</t>
  </si>
  <si>
    <t>one_mode_Mon_00263</t>
  </si>
  <si>
    <t>one_mode_Mon_00264</t>
  </si>
  <si>
    <t>one_mode_Mon_00265</t>
  </si>
  <si>
    <t>one_mode_Mon_00266</t>
  </si>
  <si>
    <t>one_mode_Mon_00267</t>
  </si>
  <si>
    <t>one_mode_Mon_00268</t>
  </si>
  <si>
    <t>one_mode_Mon_00269</t>
  </si>
  <si>
    <t>one_mode_Mon_00270</t>
  </si>
  <si>
    <t>one_mode_Mon_00271</t>
  </si>
  <si>
    <t>one_mode_Mon_00272</t>
  </si>
  <si>
    <t>one_mode_Mon_00273</t>
  </si>
  <si>
    <t>one_mode_Mon_00274</t>
  </si>
  <si>
    <t>one_mode_Mon_00275</t>
  </si>
  <si>
    <t>one_mode_Mon_00276</t>
  </si>
  <si>
    <t>one_mode_Mon_00277</t>
  </si>
  <si>
    <t>one_mode_Mon_00278</t>
  </si>
  <si>
    <t>one_mode_Mon_00279</t>
  </si>
  <si>
    <t>one_mode_Mon_00280</t>
  </si>
  <si>
    <t>one_mode_Mon_00281</t>
  </si>
  <si>
    <t>one_mode_Mon_00282</t>
  </si>
  <si>
    <t>one_mode_Mon_00283</t>
  </si>
  <si>
    <t>one_mode_Mon_00284</t>
  </si>
  <si>
    <t>one_mode_Mon_00285</t>
  </si>
  <si>
    <t>one_mode_Mon_00286</t>
  </si>
  <si>
    <t>one_mode_Mon_00287</t>
  </si>
  <si>
    <t>one_mode_Mon_00288</t>
  </si>
  <si>
    <t>one_mode_Mon_00289</t>
  </si>
  <si>
    <t>one_mode_Mon_00290</t>
  </si>
  <si>
    <t>one_mode_Mon_00291</t>
  </si>
  <si>
    <t>one_mode_Mon_00292</t>
  </si>
  <si>
    <t>one_mode_Mon_00293</t>
  </si>
  <si>
    <t>one_mode_Mon_00294</t>
  </si>
  <si>
    <t>one_mode_Mon_00295</t>
  </si>
  <si>
    <t>one_mode_Mon_00296</t>
  </si>
  <si>
    <t>one_mode_Mon_00297</t>
  </si>
  <si>
    <t>one_mode_Mon_00298</t>
  </si>
  <si>
    <t>one_mode_Mon_00299</t>
  </si>
  <si>
    <t>one_mode_Mon_00300</t>
  </si>
  <si>
    <t>one_mode_Mon_00301</t>
  </si>
  <si>
    <t>one_mode_Mon_00302</t>
  </si>
  <si>
    <t>one_mode_Mon_00303</t>
  </si>
  <si>
    <t>one_mode_Mon_00304</t>
  </si>
  <si>
    <t>one_mode_Mon_00305</t>
  </si>
  <si>
    <t>one_mode_Mon_00306</t>
  </si>
  <si>
    <t>one_mode_Mon_00307</t>
  </si>
  <si>
    <t>one_mode_Mon_00308</t>
  </si>
  <si>
    <t>one_mode_Mon_00309</t>
  </si>
  <si>
    <t>one_mode_Mon_00310</t>
  </si>
  <si>
    <t>one_mode_Mon_00311</t>
  </si>
  <si>
    <t>one_mode_Mon_00312</t>
  </si>
  <si>
    <t>one_mode_Mon_00313</t>
  </si>
  <si>
    <t>one_mode_Mon_00314</t>
  </si>
  <si>
    <t>one_mode_Mon_00315</t>
  </si>
  <si>
    <t>one_mode_Mon_00316</t>
  </si>
  <si>
    <t>one_mode_Mon_00317</t>
  </si>
  <si>
    <t>one_mode_Mon_00318</t>
  </si>
  <si>
    <t>one_mode_Mon_00319</t>
  </si>
  <si>
    <t>one_mode_Mon_00320</t>
  </si>
  <si>
    <t>one_mode_Mon_00321</t>
  </si>
  <si>
    <t>one_mode_Mon_00322</t>
  </si>
  <si>
    <t>one_mode_Mon_00323</t>
  </si>
  <si>
    <t>one_mode_Mon_00324</t>
  </si>
  <si>
    <t>one_mode_Mon_00325</t>
  </si>
  <si>
    <t>one_mode_Mon_00326</t>
  </si>
  <si>
    <t>one_mode_Mon_00327</t>
  </si>
  <si>
    <t>one_mode_Mon_00328</t>
  </si>
  <si>
    <t>one_mode_Mon_00329</t>
  </si>
  <si>
    <t>one_mode_Mon_00330</t>
  </si>
  <si>
    <t>one_mode_Mon_00331</t>
  </si>
  <si>
    <t>one_mode_Mon_00332</t>
  </si>
  <si>
    <t>one_mode_Mon_00333</t>
  </si>
  <si>
    <t>one_mode_Mon_00334</t>
  </si>
  <si>
    <t>one_mode_Mon_00335</t>
  </si>
  <si>
    <t>one_mode_Mon_00336</t>
  </si>
  <si>
    <t>one_mode_Mon_00337</t>
  </si>
  <si>
    <t>one_mode_Mon_00338</t>
  </si>
  <si>
    <t>one_mode_Mon_00339</t>
  </si>
  <si>
    <t>one_mode_Mon_00340</t>
  </si>
  <si>
    <t>one_mode_Mon_00341</t>
  </si>
  <si>
    <t>one_mode_Mon_00342</t>
  </si>
  <si>
    <t>one_mode_Mon_00343</t>
  </si>
  <si>
    <t>one_mode_Mon_00344</t>
  </si>
  <si>
    <t>one_mode_Mon_00345</t>
  </si>
  <si>
    <t>one_mode_Mon_00346</t>
  </si>
  <si>
    <t>one_mode_Mon_00347</t>
  </si>
  <si>
    <t>one_mode_Mon_00348</t>
  </si>
  <si>
    <t>one_mode_Mon_00349</t>
  </si>
  <si>
    <t>one_mode_Mon_00350</t>
  </si>
  <si>
    <t>one_mode_Mon_00351</t>
  </si>
  <si>
    <t>one_mode_Mon_00352</t>
  </si>
  <si>
    <t>one_mode_Mon_00353</t>
  </si>
  <si>
    <t>one_mode_Mon_00354</t>
  </si>
  <si>
    <t>one_mode_Mon_00355</t>
  </si>
  <si>
    <t>one_mode_Mon_00356</t>
  </si>
  <si>
    <t>one_mode_Mon_00357</t>
  </si>
  <si>
    <t>one_mode_Mon_00358</t>
  </si>
  <si>
    <t>one_mode_Mon_00359</t>
  </si>
  <si>
    <t>one_mode_Mon_00360</t>
  </si>
  <si>
    <t>one_mode_Mon_00361</t>
  </si>
  <si>
    <t>one_mode_Mon_00362</t>
  </si>
  <si>
    <t>one_mode_Mon_00363</t>
  </si>
  <si>
    <t>one_mode_Mon_00364</t>
  </si>
  <si>
    <t>one_mode_Mon_00365</t>
  </si>
  <si>
    <t>one_mode_Mon_00366</t>
  </si>
  <si>
    <t>one_mode_Mon_00367</t>
  </si>
  <si>
    <t>one_mode_Mon_00368</t>
  </si>
  <si>
    <t>one_mode_Mon_00369</t>
  </si>
  <si>
    <t>one_mode_Mon_00370</t>
  </si>
  <si>
    <t>one_mode_Mon_00371</t>
  </si>
  <si>
    <t>one_mode_Mon_00372</t>
  </si>
  <si>
    <t>one_mode_Mon_00373</t>
  </si>
  <si>
    <t>one_mode_Mon_00374</t>
  </si>
  <si>
    <t>one_mode_Mon_00375</t>
  </si>
  <si>
    <t>one_mode_Mon_00376</t>
  </si>
  <si>
    <t>one_mode_Mon_00377</t>
  </si>
  <si>
    <t>one_mode_Mon_00378</t>
  </si>
  <si>
    <t>one_mode_Mon_00379</t>
  </si>
  <si>
    <t>one_mode_Mon_00380</t>
  </si>
  <si>
    <t>one_mode_Mon_00381</t>
  </si>
  <si>
    <t>one_mode_Mon_00382</t>
  </si>
  <si>
    <t>one_mode_Mon_00383</t>
  </si>
  <si>
    <t>one_mode_Mon_00384</t>
  </si>
  <si>
    <t>one_mode_Mon_00385</t>
  </si>
  <si>
    <t>one_mode_Mon_00386</t>
  </si>
  <si>
    <t>one_mode_Mon_00387</t>
  </si>
  <si>
    <t>one_mode_Mon_00388</t>
  </si>
  <si>
    <t>one_mode_Mon_00389</t>
  </si>
  <si>
    <t>one_mode_Mon_00390</t>
  </si>
  <si>
    <t>one_mode_Mon_00391</t>
  </si>
  <si>
    <t>one_mode_Mon_00392</t>
  </si>
  <si>
    <t>one_mode_Mon_00393</t>
  </si>
  <si>
    <t>one_mode_Mon_00394</t>
  </si>
  <si>
    <t>one_mode_Mon_00395</t>
  </si>
  <si>
    <t>one_mode_Mon_00396</t>
  </si>
  <si>
    <t>one_mode_Mon_00397</t>
  </si>
  <si>
    <t>one_mode_Mon_00398</t>
  </si>
  <si>
    <t>one_mode_Mon_00399</t>
  </si>
  <si>
    <t>one_mode_Mon_00400</t>
  </si>
  <si>
    <t>one_mode_Mon_00401</t>
  </si>
  <si>
    <t>one_mode_Mon_00402</t>
  </si>
  <si>
    <t>one_mode_Mon_00403</t>
  </si>
  <si>
    <t>one_mode_Mon_00404</t>
  </si>
  <si>
    <t>one_mode_Mon_00405</t>
  </si>
  <si>
    <t>one_mode_Mon_00406</t>
  </si>
  <si>
    <t>one_mode_Mon_00407</t>
  </si>
  <si>
    <t>one_mode_Mon_00408</t>
  </si>
  <si>
    <t>one_mode_Mon_00409</t>
  </si>
  <si>
    <t>one_mode_Mon_00410</t>
  </si>
  <si>
    <t>one_mode_Mon_00411</t>
  </si>
  <si>
    <t>one_mode_Mon_00412</t>
  </si>
  <si>
    <t>one_mode_Mon_00413</t>
  </si>
  <si>
    <t>one_mode_Mon_00414</t>
  </si>
  <si>
    <t>one_mode_Mon_00415</t>
  </si>
  <si>
    <t>one_mode_Mon_00416</t>
  </si>
  <si>
    <t>one_mode_Mon_00417</t>
  </si>
  <si>
    <t>one_mode_Mon_00418</t>
  </si>
  <si>
    <t>one_mode_Mon_00419</t>
  </si>
  <si>
    <t>one_mode_Mon_00420</t>
  </si>
  <si>
    <t>one_mode_Mon_00421</t>
  </si>
  <si>
    <t>one_mode_Mon_00422</t>
  </si>
  <si>
    <t>one_mode_Mon_00423</t>
  </si>
  <si>
    <t>one_mode_Mon_00424</t>
  </si>
  <si>
    <t>one_mode_Mon_00425</t>
  </si>
  <si>
    <t>one_mode_Mon_00426</t>
  </si>
  <si>
    <t>one_mode_Mon_00427</t>
  </si>
  <si>
    <t>one_mode_Mon_00428</t>
  </si>
  <si>
    <t>one_mode_Mon_00429</t>
  </si>
  <si>
    <t>one_mode_Mon_00430</t>
  </si>
  <si>
    <t>one_mode_Mon_00431</t>
  </si>
  <si>
    <t>one_mode_Mon_00432</t>
  </si>
  <si>
    <t>one_mode_Mon_00433</t>
  </si>
  <si>
    <t>one_mode_Mon_00434</t>
  </si>
  <si>
    <t>one_mode_Mon_00435</t>
  </si>
  <si>
    <t>one_mode_Mon_00436</t>
  </si>
  <si>
    <t>one_mode_Mon_00437</t>
  </si>
  <si>
    <t>one_mode_Mon_00438</t>
  </si>
  <si>
    <t>one_mode_Mon_00439</t>
  </si>
  <si>
    <t>one_mode_Mon_00440</t>
  </si>
  <si>
    <t>one_mode_Mon_00441</t>
  </si>
  <si>
    <t>one_mode_Mon_00442</t>
  </si>
  <si>
    <t>one_mode_Mon_00443</t>
  </si>
  <si>
    <t>one_mode_Mon_00444</t>
  </si>
  <si>
    <t>one_mode_Mon_00445</t>
  </si>
  <si>
    <t>one_mode_Mon_00446</t>
  </si>
  <si>
    <t>one_mode_Mon_00447</t>
  </si>
  <si>
    <t>one_mode_Mon_00448</t>
  </si>
  <si>
    <t>one_mode_Mon_00449</t>
  </si>
  <si>
    <t>one_mode_Mon_00450</t>
  </si>
  <si>
    <t>one_mode_Mon_00451</t>
  </si>
  <si>
    <t>one_mode_Mon_00452</t>
  </si>
  <si>
    <t>one_mode_Mon_00453</t>
  </si>
  <si>
    <t>one_mode_Mon_00454</t>
  </si>
  <si>
    <t>one_mode_Mon_00455</t>
  </si>
  <si>
    <t>one_mode_Mon_00456</t>
  </si>
  <si>
    <t>one_mode_Mon_00457</t>
  </si>
  <si>
    <t>one_mode_Mon_00458</t>
  </si>
  <si>
    <t>one_mode_Mon_00459</t>
  </si>
  <si>
    <t>one_mode_Mon_00460</t>
  </si>
  <si>
    <t>one_mode_Mon_00461</t>
  </si>
  <si>
    <t>one_mode_Mon_00462</t>
  </si>
  <si>
    <t>one_mode_Mon_00463</t>
  </si>
  <si>
    <t>one_mode_Mon_00464</t>
  </si>
  <si>
    <t>one_mode_Mon_00465</t>
  </si>
  <si>
    <t>one_mode_Mon_00466</t>
  </si>
  <si>
    <t>one_mode_Mon_00467</t>
  </si>
  <si>
    <t>one_mode_Mon_00468</t>
  </si>
  <si>
    <t>one_mode_Mon_00469</t>
  </si>
  <si>
    <t>one_mode_Mon_00470</t>
  </si>
  <si>
    <t>one_mode_Mon_00471</t>
  </si>
  <si>
    <t>one_mode_Mon_00472</t>
  </si>
  <si>
    <t>one_mode_Mon_00473</t>
  </si>
  <si>
    <t>one_mode_Mon_00474</t>
  </si>
  <si>
    <t>one_mode_Mon_00475</t>
  </si>
  <si>
    <t>one_mode_Mon_00476</t>
  </si>
  <si>
    <t>one_mode_Mon_00477</t>
  </si>
  <si>
    <t>one_mode_Mon_00478</t>
  </si>
  <si>
    <t>one_mode_Mon_00479</t>
  </si>
  <si>
    <t>one_mode_Mon_00480</t>
  </si>
  <si>
    <t>one_mode_Mon_00481</t>
  </si>
  <si>
    <t>one_mode_Mon_00482</t>
  </si>
  <si>
    <t>one_mode_Mon_00483</t>
  </si>
  <si>
    <t>one_mode_Mon_00484</t>
  </si>
  <si>
    <t>one_mode_Mon_00485</t>
  </si>
  <si>
    <t>one_mode_Mon_00486</t>
  </si>
  <si>
    <t>one_mode_Mon_00487</t>
  </si>
  <si>
    <t>one_mode_Mon_00488</t>
  </si>
  <si>
    <t>one_mode_Mon_00489</t>
  </si>
  <si>
    <t>one_mode_Mon_00490</t>
  </si>
  <si>
    <t>one_mode_Mon_00491</t>
  </si>
  <si>
    <t>one_mode_Mon_00492</t>
  </si>
  <si>
    <t>one_mode_Mon_00493</t>
  </si>
  <si>
    <t>one_mode_Mon_00494</t>
  </si>
  <si>
    <t>one_mode_Mon_00495</t>
  </si>
  <si>
    <t>one_mode_Mon_00496</t>
  </si>
  <si>
    <t>one_mode_Mon_00497</t>
  </si>
  <si>
    <t>one_mode_Mon_00498</t>
  </si>
  <si>
    <t>one_mode_Mon_00499</t>
  </si>
  <si>
    <t>one_mode_Mon_00500</t>
  </si>
  <si>
    <t>one_mode_Mon_00501</t>
  </si>
  <si>
    <t>one_mode_Mon_00502</t>
  </si>
  <si>
    <t>one_mode_Mon_00503</t>
  </si>
  <si>
    <t>one_mode_Mon_00504</t>
  </si>
  <si>
    <t>one_mode_Mon_00505</t>
  </si>
  <si>
    <t>one_mode_Mon_00506</t>
  </si>
  <si>
    <t>one_mode_Mon_00507</t>
  </si>
  <si>
    <t>one_mode_Mon_00508</t>
  </si>
  <si>
    <t>one_mode_Mon_00509</t>
  </si>
  <si>
    <t>one_mode_Mon_00510</t>
  </si>
  <si>
    <t>one_mode_Mon_00511</t>
  </si>
  <si>
    <t>one_mode_Mon_00512</t>
  </si>
  <si>
    <t>one_mode_Mon_00513</t>
  </si>
  <si>
    <t>one_mode_Mon_00514</t>
  </si>
  <si>
    <t>one_mode_Mon_00515</t>
  </si>
  <si>
    <t>one_mode_Mon_00516</t>
  </si>
  <si>
    <t>one_mode_Mon_00517</t>
  </si>
  <si>
    <t>one_mode_Mon_00518</t>
  </si>
  <si>
    <t>one_mode_Mon_00519</t>
  </si>
  <si>
    <t>one_mode_Mon_00520</t>
  </si>
  <si>
    <t>one_mode_Mon_00521</t>
  </si>
  <si>
    <t>one_mode_Mon_00522</t>
  </si>
  <si>
    <t>one_mode_Mon_00523</t>
  </si>
  <si>
    <t>one_mode_Mon_00524</t>
  </si>
  <si>
    <t>one_mode_Mon_00525</t>
  </si>
  <si>
    <t>one_mode_Mon_00526</t>
  </si>
  <si>
    <t>one_mode_Mon_00527</t>
  </si>
  <si>
    <t>one_mode_Mon_00528</t>
  </si>
  <si>
    <t>one_mode_Mon_00529</t>
  </si>
  <si>
    <t>one_mode_Mon_00530</t>
  </si>
  <si>
    <t>one_mode_Mon_00531</t>
  </si>
  <si>
    <t>one_mode_Mon_00532</t>
  </si>
  <si>
    <t>one_mode_Mon_00533</t>
  </si>
  <si>
    <t>one_mode_Mon_00534</t>
  </si>
  <si>
    <t>one_mode_Mon_00535</t>
  </si>
  <si>
    <t>one_mode_Mon_00536</t>
  </si>
  <si>
    <t>one_mode_Mon_00537</t>
  </si>
  <si>
    <t>one_mode_Mon_00538</t>
  </si>
  <si>
    <t>one_mode_Mon_00539</t>
  </si>
  <si>
    <t>one_mode_Mon_00540</t>
  </si>
  <si>
    <t>one_mode_Mon_00541</t>
  </si>
  <si>
    <t>one_mode_Mon_00542</t>
  </si>
  <si>
    <t>one_mode_Mon_00543</t>
  </si>
  <si>
    <t>one_mode_Mon_00544</t>
  </si>
  <si>
    <t>one_mode_Mon_00545</t>
  </si>
  <si>
    <t>one_mode_Mon_00546</t>
  </si>
  <si>
    <t>one_mode_Mon_00547</t>
  </si>
  <si>
    <t>one_mode_Mon_00548</t>
  </si>
  <si>
    <t>one_mode_Mon_00549</t>
  </si>
  <si>
    <t>one_mode_Mon_00550</t>
  </si>
  <si>
    <t>one_mode_Mon_00551</t>
  </si>
  <si>
    <t>one_mode_Mon_00552</t>
  </si>
  <si>
    <t>one_mode_Mon_00553</t>
  </si>
  <si>
    <t>one_mode_Mon_00554</t>
  </si>
  <si>
    <t>one_mode_Mon_00555</t>
  </si>
  <si>
    <t>one_mode_Mon_00556</t>
  </si>
  <si>
    <t>one_mode_Mon_00557</t>
  </si>
  <si>
    <t>one_mode_Mon_00558</t>
  </si>
  <si>
    <t>one_mode_Mon_00559</t>
  </si>
  <si>
    <t>one_mode_Mon_00560</t>
  </si>
  <si>
    <t>one_mode_Mon_00561</t>
  </si>
  <si>
    <t>one_mode_Mon_00562</t>
  </si>
  <si>
    <t>one_mode_Mon_00563</t>
  </si>
  <si>
    <t>one_mode_Mon_00564</t>
  </si>
  <si>
    <t>one_mode_Mon_00565</t>
  </si>
  <si>
    <t>one_mode_Mon_00566</t>
  </si>
  <si>
    <t>one_mode_Mon_00567</t>
  </si>
  <si>
    <t>one_mode_Mon_00568</t>
  </si>
  <si>
    <t>one_mode_Mon_00569</t>
  </si>
  <si>
    <t>one_mode_Mon_00570</t>
  </si>
  <si>
    <t>one_mode_Mon_00571</t>
  </si>
  <si>
    <t>one_mode_Mon_00572</t>
  </si>
  <si>
    <t>one_mode_Mon_00573</t>
  </si>
  <si>
    <t>one_mode_Mon_00574</t>
  </si>
  <si>
    <t>one_mode_Mon_00575</t>
  </si>
  <si>
    <t>one_mode_Mon_00576</t>
  </si>
  <si>
    <t>one_mode_Mon_00577</t>
  </si>
  <si>
    <t>one_mode_Mon_00578</t>
  </si>
  <si>
    <t>one_mode_Mon_00579</t>
  </si>
  <si>
    <t>one_mode_Mon_00580</t>
  </si>
  <si>
    <t>one_mode_Mon_00581</t>
  </si>
  <si>
    <t>one_mode_Mon_00582</t>
  </si>
  <si>
    <t>one_mode_Mon_00583</t>
  </si>
  <si>
    <t>one_mode_Mon_00584</t>
  </si>
  <si>
    <t>one_mode_Mon_00585</t>
  </si>
  <si>
    <t>one_mode_Mon_00586</t>
  </si>
  <si>
    <t>one_mode_Mon_00587</t>
  </si>
  <si>
    <t>one_mode_Mon_00588</t>
  </si>
  <si>
    <t>one_mode_Mon_00589</t>
  </si>
  <si>
    <t>one_mode_Mon_00590</t>
  </si>
  <si>
    <t>one_mode_Mon_00591</t>
  </si>
  <si>
    <t>one_mode_Mon_00592</t>
  </si>
  <si>
    <t>one_mode_Mon_00593</t>
  </si>
  <si>
    <t>one_mode_Mon_00594</t>
  </si>
  <si>
    <t>one_mode_Mon_00595</t>
  </si>
  <si>
    <t>one_mode_Mon_00596</t>
  </si>
  <si>
    <t>one_mode_Mon_00597</t>
  </si>
  <si>
    <t>one_mode_Mon_00598</t>
  </si>
  <si>
    <t>one_mode_Mon_00599</t>
  </si>
  <si>
    <t>one_mode_Mon_00600</t>
  </si>
  <si>
    <t>one_mode_Mon_00601</t>
  </si>
  <si>
    <t>one_mode_Mon_00602</t>
  </si>
  <si>
    <t>one_mode_Mon_00603</t>
  </si>
  <si>
    <t>one_mode_Mon_00604</t>
  </si>
  <si>
    <t>one_mode_Mon_00605</t>
  </si>
  <si>
    <t>one_mode_Mon_00606</t>
  </si>
  <si>
    <t>one_mode_Mon_00607</t>
  </si>
  <si>
    <t>one_mode_Mon_00608</t>
  </si>
  <si>
    <t>one_mode_Mon_00609</t>
  </si>
  <si>
    <t>one_mode_Mon_00610</t>
  </si>
  <si>
    <t>one_mode_Mon_00611</t>
  </si>
  <si>
    <t>one_mode_Mon_00612</t>
  </si>
  <si>
    <t>one_mode_Mon_00613</t>
  </si>
  <si>
    <t>one_mode_Mon_00614</t>
  </si>
  <si>
    <t>one_mode_Mon_00615</t>
  </si>
  <si>
    <t>one_mode_Mon_00616</t>
  </si>
  <si>
    <t>one_mode_Mon_00617</t>
  </si>
  <si>
    <t>one_mode_Mon_00618</t>
  </si>
  <si>
    <t>one_mode_Mon_00619</t>
  </si>
  <si>
    <t>one_mode_Mon_00620</t>
  </si>
  <si>
    <t>one_mode_Mon_00621</t>
  </si>
  <si>
    <t>one_mode_Mon_00622</t>
  </si>
  <si>
    <t>one_mode_Mon_00623</t>
  </si>
  <si>
    <t>one_mode_Mon_00624</t>
  </si>
  <si>
    <t>one_mode_Mon_00625</t>
  </si>
  <si>
    <t>one_mode_Mon_00626</t>
  </si>
  <si>
    <t>one_mode_Mon_00627</t>
  </si>
  <si>
    <t>one_mode_Mon_00628</t>
  </si>
  <si>
    <t>one_mode_Mon_00629</t>
  </si>
  <si>
    <t>one_mode_Mon_00630</t>
  </si>
  <si>
    <t>one_mode_Mon_00631</t>
  </si>
  <si>
    <t>one_mode_Mon_00632</t>
  </si>
  <si>
    <t>one_mode_Mon_00633</t>
  </si>
  <si>
    <t>one_mode_Mon_00634</t>
  </si>
  <si>
    <t>one_mode_Mon_00635</t>
  </si>
  <si>
    <t>one_mode_Mon_00636</t>
  </si>
  <si>
    <t>one_mode_Mon_00637</t>
  </si>
  <si>
    <t>one_mode_Mon_00638</t>
  </si>
  <si>
    <t>one_mode_Mon_00639</t>
  </si>
  <si>
    <t>one_mode_Mon_00640</t>
  </si>
  <si>
    <t>one_mode_Mon_00641</t>
  </si>
  <si>
    <t>one_mode_Mon_00642</t>
  </si>
  <si>
    <t>one_mode_Mon_00643</t>
  </si>
  <si>
    <t>one_mode_Mon_00644</t>
  </si>
  <si>
    <t>one_mode_Mon_00645</t>
  </si>
  <si>
    <t>one_mode_Mon_00646</t>
  </si>
  <si>
    <t>one_mode_Mon_00647</t>
  </si>
  <si>
    <t>one_mode_Mon_00648</t>
  </si>
  <si>
    <t>one_mode_Mon_00649</t>
  </si>
  <si>
    <t>one_mode_Mon_00650</t>
  </si>
  <si>
    <t>one_mode_Mon_00651</t>
  </si>
  <si>
    <t>one_mode_Mon_00652</t>
  </si>
  <si>
    <t>one_mode_Mon_00653</t>
  </si>
  <si>
    <t>one_mode_Mon_00654</t>
  </si>
  <si>
    <t>one_mode_Mon_00655</t>
  </si>
  <si>
    <t>one_mode_Mon_00656</t>
  </si>
  <si>
    <t>one_mode_Mon_00657</t>
  </si>
  <si>
    <t>one_mode_Mon_00658</t>
  </si>
  <si>
    <t>one_mode_Mon_00659</t>
  </si>
  <si>
    <t>one_mode_Mon_00660</t>
  </si>
  <si>
    <t>one_mode_Mon_00661</t>
  </si>
  <si>
    <t>one_mode_Mon_00662</t>
  </si>
  <si>
    <t>one_mode_Mon_00663</t>
  </si>
  <si>
    <t>one_mode_Mon_00664</t>
  </si>
  <si>
    <t>one_mode_Mon_00665</t>
  </si>
  <si>
    <t>one_mode_Mon_00666</t>
  </si>
  <si>
    <t>one_mode_Mon_00667</t>
  </si>
  <si>
    <t>one_mode_Mon_00668</t>
  </si>
  <si>
    <t>one_mode_Mon_00669</t>
  </si>
  <si>
    <t>one_mode_Mon_00670</t>
  </si>
  <si>
    <t>one_mode_Mon_00671</t>
  </si>
  <si>
    <t>one_mode_Mon_00672</t>
  </si>
  <si>
    <t>one_mode_Mon_00673</t>
  </si>
  <si>
    <t>one_mode_Mon_00674</t>
  </si>
  <si>
    <t>one_mode_Mon_00675</t>
  </si>
  <si>
    <t>one_mode_Mon_00676</t>
  </si>
  <si>
    <t>one_mode_Mon_00677</t>
  </si>
  <si>
    <t>one_mode_Mon_00678</t>
  </si>
  <si>
    <t>one_mode_Mon_00679</t>
  </si>
  <si>
    <t>one_mode_Mon_00680</t>
  </si>
  <si>
    <t>one_mode_Mon_00681</t>
  </si>
  <si>
    <t>one_mode_Mon_00682</t>
  </si>
  <si>
    <t>one_mode_Mon_00683</t>
  </si>
  <si>
    <t>one_mode_Mon_00684</t>
  </si>
  <si>
    <t>one_mode_Mon_00685</t>
  </si>
  <si>
    <t>one_mode_Mon_00686</t>
  </si>
  <si>
    <t>one_mode_Mon_00687</t>
  </si>
  <si>
    <t>one_mode_Mon_00688</t>
  </si>
  <si>
    <t>one_mode_Mon_00689</t>
  </si>
  <si>
    <t>one_mode_Mon_00690</t>
  </si>
  <si>
    <t>one_mode_Mon_00691</t>
  </si>
  <si>
    <t>one_mode_Mon_00692</t>
  </si>
  <si>
    <t>one_mode_Mon_00693</t>
  </si>
  <si>
    <t>one_mode_Mon_00694</t>
  </si>
  <si>
    <t>one_mode_Mon_00695</t>
  </si>
  <si>
    <t>one_mode_Mon_00696</t>
  </si>
  <si>
    <t>one_mode_Mon_00697</t>
  </si>
  <si>
    <t>one_mode_Mon_00698</t>
  </si>
  <si>
    <t>one_mode_Mon_00699</t>
  </si>
  <si>
    <t>one_mode_Mon_00700</t>
  </si>
  <si>
    <t>one_mode_Mon_00701</t>
  </si>
  <si>
    <t>one_mode_Mon_00702</t>
  </si>
  <si>
    <t>one_mode_Mon_00703</t>
  </si>
  <si>
    <t>one_mode_Mon_00704</t>
  </si>
  <si>
    <t>one_mode_Mon_00705</t>
  </si>
  <si>
    <t>one_mode_Mon_00706</t>
  </si>
  <si>
    <t>one_mode_Mon_00707</t>
  </si>
  <si>
    <t>one_mode_Mon_00708</t>
  </si>
  <si>
    <t>one_mode_Mon_00709</t>
  </si>
  <si>
    <t>one_mode_Mon_00710</t>
  </si>
  <si>
    <t>one_mode_Mon_00711</t>
  </si>
  <si>
    <t>one_mode_Mon_00712</t>
  </si>
  <si>
    <t>one_mode_Mon_00713</t>
  </si>
  <si>
    <t>one_mode_Mon_00714</t>
  </si>
  <si>
    <t>one_mode_Mon_00715</t>
  </si>
  <si>
    <t>one_mode_Mon_00716</t>
  </si>
  <si>
    <t>one_mode_Mon_00717</t>
  </si>
  <si>
    <t>one_mode_Mon_00718</t>
  </si>
  <si>
    <t>one_mode_Mon_00719</t>
  </si>
  <si>
    <t>one_mode_Mon_00720</t>
  </si>
  <si>
    <t>one_mode_Mon_00721</t>
  </si>
  <si>
    <t>one_mode_Mon_00722</t>
  </si>
  <si>
    <t>one_mode_Mon_00723</t>
  </si>
  <si>
    <t>one_mode_Mon_00724</t>
  </si>
  <si>
    <t>one_mode_Mon_00725</t>
  </si>
  <si>
    <t>one_mode_Mon_00726</t>
  </si>
  <si>
    <t>one_mode_Mon_00727</t>
  </si>
  <si>
    <t>one_mode_Mon_00728</t>
  </si>
  <si>
    <t>one_mode_Mon_00729</t>
  </si>
  <si>
    <t>one_mode_Mon_00730</t>
  </si>
  <si>
    <t>one_mode_Mon_00731</t>
  </si>
  <si>
    <t>one_mode_Mon_00732</t>
  </si>
  <si>
    <t>one_mode_Mon_00733</t>
  </si>
  <si>
    <t>one_mode_Mon_00734</t>
  </si>
  <si>
    <t>one_mode_Mon_00735</t>
  </si>
  <si>
    <t>one_mode_Mon_00736</t>
  </si>
  <si>
    <t>one_mode_Mon_00737</t>
  </si>
  <si>
    <t>one_mode_Mon_00738</t>
  </si>
  <si>
    <t>one_mode_Mon_00739</t>
  </si>
  <si>
    <t>one_mode_Mon_00740</t>
  </si>
  <si>
    <t>one_mode_Mon_00741</t>
  </si>
  <si>
    <t>one_mode_Mon_00742</t>
  </si>
  <si>
    <t>one_mode_Mon_00743</t>
  </si>
  <si>
    <t>one_mode_Mon_00744</t>
  </si>
  <si>
    <t>one_mode_Mon_00745</t>
  </si>
  <si>
    <t>one_mode_Mon_00746</t>
  </si>
  <si>
    <t>one_mode_Mon_00747</t>
  </si>
  <si>
    <t>one_mode_Mon_00748</t>
  </si>
  <si>
    <t>one_mode_Mon_00749</t>
  </si>
  <si>
    <t>one_mode_Mon_00750</t>
  </si>
  <si>
    <t>one_mode_Mon_00751</t>
  </si>
  <si>
    <t>one_mode_Mon_00752</t>
  </si>
  <si>
    <t>one_mode_Mon_00753</t>
  </si>
  <si>
    <t>one_mode_Mon_00754</t>
  </si>
  <si>
    <t>one_mode_Mon_00755</t>
  </si>
  <si>
    <t>one_mode_Mon_00756</t>
  </si>
  <si>
    <t>one_mode_Mon_00757</t>
  </si>
  <si>
    <t>one_mode_Mon_00758</t>
  </si>
  <si>
    <t>one_mode_Mon_00759</t>
  </si>
  <si>
    <t>one_mode_Mon_00760</t>
  </si>
  <si>
    <t>one_mode_Mon_00761</t>
  </si>
  <si>
    <t>one_mode_Mon_00762</t>
  </si>
  <si>
    <t>one_mode_Mon_00763</t>
  </si>
  <si>
    <t>one_mode_Mon_00764</t>
  </si>
  <si>
    <t>one_mode_Mon_00765</t>
  </si>
  <si>
    <t>one_mode_Mon_00766</t>
  </si>
  <si>
    <t>one_mode_Mon_00767</t>
  </si>
  <si>
    <t>one_mode_Mon_00768</t>
  </si>
  <si>
    <t>one_mode_Mon_00769</t>
  </si>
  <si>
    <t>one_mode_Mon_00770</t>
  </si>
  <si>
    <t>one_mode_Mon_00771</t>
  </si>
  <si>
    <t>one_mode_Mon_00772</t>
  </si>
  <si>
    <t>one_mode_Mon_00773</t>
  </si>
  <si>
    <t>one_mode_Mon_00774</t>
  </si>
  <si>
    <t>one_mode_Mon_00775</t>
  </si>
  <si>
    <t>one_mode_Mon_00776</t>
  </si>
  <si>
    <t>one_mode_Mon_00777</t>
  </si>
  <si>
    <t>one_mode_Mon_00778</t>
  </si>
  <si>
    <t>one_mode_Mon_00779</t>
  </si>
  <si>
    <t>one_mode_Mon_00780</t>
  </si>
  <si>
    <t>one_mode_Mon_00781</t>
  </si>
  <si>
    <t>one_mode_Mon_00782</t>
  </si>
  <si>
    <t>one_mode_Mon_00783</t>
  </si>
  <si>
    <t>one_mode_Mon_00784</t>
  </si>
  <si>
    <t>one_mode_Mon_00785</t>
  </si>
  <si>
    <t>one_mode_Mon_00786</t>
  </si>
  <si>
    <t>one_mode_Mon_00787</t>
  </si>
  <si>
    <t>one_mode_Mon_00788</t>
  </si>
  <si>
    <t>one_mode_Mon_00789</t>
  </si>
  <si>
    <t>one_mode_Mon_00790</t>
  </si>
  <si>
    <t>one_mode_Mon_00791</t>
  </si>
  <si>
    <t>one_mode_Mon_00792</t>
  </si>
  <si>
    <t>one_mode_Mon_00793</t>
  </si>
  <si>
    <t>one_mode_Mon_00794</t>
  </si>
  <si>
    <t>one_mode_Mon_00795</t>
  </si>
  <si>
    <t>one_mode_Mon_00796</t>
  </si>
  <si>
    <t>one_mode_Mon_00797</t>
  </si>
  <si>
    <t>one_mode_Mon_00798</t>
  </si>
  <si>
    <t>one_mode_Mon_00799</t>
  </si>
  <si>
    <t>one_mode_Mon_00800</t>
  </si>
  <si>
    <t>one_mode_Mon_00801</t>
  </si>
  <si>
    <t>one_mode_Mon_00802</t>
  </si>
  <si>
    <t>one_mode_Mon_00803</t>
  </si>
  <si>
    <t>one_mode_Mon_00804</t>
  </si>
  <si>
    <t>one_mode_Mon_00805</t>
  </si>
  <si>
    <t>one_mode_Mon_00806</t>
  </si>
  <si>
    <t>one_mode_Mon_00807</t>
  </si>
  <si>
    <t>one_mode_Mon_00808</t>
  </si>
  <si>
    <t>one_mode_Mon_00809</t>
  </si>
  <si>
    <t>one_mode_Mon_00810</t>
  </si>
  <si>
    <t>one_mode_Mon_00811</t>
  </si>
  <si>
    <t>one_mode_Mon_00812</t>
  </si>
  <si>
    <t>one_mode_Mon_00813</t>
  </si>
  <si>
    <t>one_mode_Mon_00814</t>
  </si>
  <si>
    <t>one_mode_Mon_00815</t>
  </si>
  <si>
    <t>one_mode_Mon_00816</t>
  </si>
  <si>
    <t>one_mode_Mon_00817</t>
  </si>
  <si>
    <t>one_mode_Mon_00818</t>
  </si>
  <si>
    <t>one_mode_Mon_00819</t>
  </si>
  <si>
    <t>one_mode_Mon_00820</t>
  </si>
  <si>
    <t>one_mode_Mon_00821</t>
  </si>
  <si>
    <t>one_mode_Mon_00822</t>
  </si>
  <si>
    <t>one_mode_Mon_00823</t>
  </si>
  <si>
    <t>one_mode_Mon_00824</t>
  </si>
  <si>
    <t>one_mode_Mon_00825</t>
  </si>
  <si>
    <t>one_mode_Mon_00826</t>
  </si>
  <si>
    <t>one_mode_Mon_00827</t>
  </si>
  <si>
    <t>one_mode_Mon_00828</t>
  </si>
  <si>
    <t>one_mode_Mon_00829</t>
  </si>
  <si>
    <t>one_mode_Mon_00830</t>
  </si>
  <si>
    <t>one_mode_Mon_00831</t>
  </si>
  <si>
    <t>one_mode_Mon_00832</t>
  </si>
  <si>
    <t>one_mode_Mon_00833</t>
  </si>
  <si>
    <t>one_mode_Mon_00834</t>
  </si>
  <si>
    <t>one_mode_Mon_00835</t>
  </si>
  <si>
    <t>one_mode_Mon_00836</t>
  </si>
  <si>
    <t>one_mode_Mon_00837</t>
  </si>
  <si>
    <t>one_mode_Mon_00838</t>
  </si>
  <si>
    <t>one_mode_Mon_00839</t>
  </si>
  <si>
    <t>one_mode_Mon_00840</t>
  </si>
  <si>
    <t>one_mode_Mon_00841</t>
  </si>
  <si>
    <t>one_mode_Mon_00842</t>
  </si>
  <si>
    <t>one_mode_Mon_00843</t>
  </si>
  <si>
    <t>one_mode_Mon_00844</t>
  </si>
  <si>
    <t>one_mode_Mon_00845</t>
  </si>
  <si>
    <t>one_mode_Mon_00846</t>
  </si>
  <si>
    <t>one_mode_Mon_00847</t>
  </si>
  <si>
    <t>one_mode_Mon_00848</t>
  </si>
  <si>
    <t>one_mode_Mon_00849</t>
  </si>
  <si>
    <t>one_mode_Mon_00850</t>
  </si>
  <si>
    <t>one_mode_Mon_00851</t>
  </si>
  <si>
    <t>one_mode_Mon_00852</t>
  </si>
  <si>
    <t>one_mode_Mon_00853</t>
  </si>
  <si>
    <t>one_mode_Mon_00854</t>
  </si>
  <si>
    <t>one_mode_Mon_00855</t>
  </si>
  <si>
    <t>one_mode_Mon_00856</t>
  </si>
  <si>
    <t>one_mode_Mon_00857</t>
  </si>
  <si>
    <t>one_mode_Mon_00858</t>
  </si>
  <si>
    <t>one_mode_Mon_00859</t>
  </si>
  <si>
    <t>one_mode_Mon_00860</t>
  </si>
  <si>
    <t>one_mode_Mon_00861</t>
  </si>
  <si>
    <t>one_mode_Mon_00862</t>
  </si>
  <si>
    <t>one_mode_Mon_00863</t>
  </si>
  <si>
    <t>one_mode_Mon_00864</t>
  </si>
  <si>
    <t>one_mode_Mon_00865</t>
  </si>
  <si>
    <t>one_mode_Mon_00866</t>
  </si>
  <si>
    <t>one_mode_Mon_00867</t>
  </si>
  <si>
    <t>one_mode_Mon_00868</t>
  </si>
  <si>
    <t>one_mode_Mon_00869</t>
  </si>
  <si>
    <t>one_mode_Mon_00870</t>
  </si>
  <si>
    <t>one_mode_Mon_00871</t>
  </si>
  <si>
    <t>one_mode_Mon_00872</t>
  </si>
  <si>
    <t>one_mode_Mon_00873</t>
  </si>
  <si>
    <t>one_mode_Mon_00874</t>
  </si>
  <si>
    <t>one_mode_Mon_00875</t>
  </si>
  <si>
    <t>one_mode_Mon_00876</t>
  </si>
  <si>
    <t>one_mode_Mon_00877</t>
  </si>
  <si>
    <t>one_mode_Mon_00878</t>
  </si>
  <si>
    <t>one_mode_Mon_00879</t>
  </si>
  <si>
    <t>one_mode_Mon_00880</t>
  </si>
  <si>
    <t>one_mode_Mon_00881</t>
  </si>
  <si>
    <t>one_mode_Mon_00882</t>
  </si>
  <si>
    <t>one_mode_Mon_00883</t>
  </si>
  <si>
    <t>one_mode_Mon_00884</t>
  </si>
  <si>
    <t>one_mode_Mon_00885</t>
  </si>
  <si>
    <t>one_mode_Mon_00886</t>
  </si>
  <si>
    <t>one_mode_Mon_00887</t>
  </si>
  <si>
    <t>one_mode_Mon_00888</t>
  </si>
  <si>
    <t>one_mode_Mon_00889</t>
  </si>
  <si>
    <t>one_mode_Mon_00890</t>
  </si>
  <si>
    <t>one_mode_Mon_00891</t>
  </si>
  <si>
    <t>one_mode_Mon_00892</t>
  </si>
  <si>
    <t>one_mode_Mon_00893</t>
  </si>
  <si>
    <t>one_mode_Mon_00894</t>
  </si>
  <si>
    <t>one_mode_Mon_00895</t>
  </si>
  <si>
    <t>one_mode_Mon_00896</t>
  </si>
  <si>
    <t>one_mode_Mon_00897</t>
  </si>
  <si>
    <t>one_mode_Mon_00898</t>
  </si>
  <si>
    <t>one_mode_Mon_00899</t>
  </si>
  <si>
    <t>one_mode_Mon_00900</t>
  </si>
  <si>
    <t>one_mode_Mon_00901</t>
  </si>
  <si>
    <t>one_mode_Mon_00902</t>
  </si>
  <si>
    <t>one_mode_Mon_00903</t>
  </si>
  <si>
    <t>one_mode_Mon_00904</t>
  </si>
  <si>
    <t>one_mode_Mon_00905</t>
  </si>
  <si>
    <t>one_mode_Mon_00906</t>
  </si>
  <si>
    <t>one_mode_Mon_00907</t>
  </si>
  <si>
    <t>one_mode_Mon_00908</t>
  </si>
  <si>
    <t>one_mode_Mon_00909</t>
  </si>
  <si>
    <t>one_mode_Mon_00910</t>
  </si>
  <si>
    <t>one_mode_Mon_00911</t>
  </si>
  <si>
    <t>one_mode_Mon_00912</t>
  </si>
  <si>
    <t>one_mode_Mon_00913</t>
  </si>
  <si>
    <t>one_mode_Mon_00914</t>
  </si>
  <si>
    <t>one_mode_Mon_00915</t>
  </si>
  <si>
    <t>one_mode_Mon_00916</t>
  </si>
  <si>
    <t>one_mode_Mon_00917</t>
  </si>
  <si>
    <t>one_mode_Mon_00918</t>
  </si>
  <si>
    <t>one_mode_Mon_00919</t>
  </si>
  <si>
    <t>one_mode_Mon_00920</t>
  </si>
  <si>
    <t>one_mode_Mon_00921</t>
  </si>
  <si>
    <t>one_mode_Mon_00922</t>
  </si>
  <si>
    <t>one_mode_Mon_00923</t>
  </si>
  <si>
    <t>one_mode_Mon_00924</t>
  </si>
  <si>
    <t>one_mode_Mon_00925</t>
  </si>
  <si>
    <t>one_mode_Mon_00926</t>
  </si>
  <si>
    <t>one_mode_Mon_00927</t>
  </si>
  <si>
    <t>one_mode_Mon_00928</t>
  </si>
  <si>
    <t>one_mode_Mon_00929</t>
  </si>
  <si>
    <t>one_mode_Mon_00930</t>
  </si>
  <si>
    <t>one_mode_Mon_00931</t>
  </si>
  <si>
    <t>one_mode_Mon_00932</t>
  </si>
  <si>
    <t>one_mode_Mon_00933</t>
  </si>
  <si>
    <t>one_mode_Mon_00934</t>
  </si>
  <si>
    <t>one_mode_Mon_00935</t>
  </si>
  <si>
    <t>one_mode_Mon_00936</t>
  </si>
  <si>
    <t>one_mode_Mon_00937</t>
  </si>
  <si>
    <t>one_mode_Mon_00938</t>
  </si>
  <si>
    <t>one_mode_Mon_00939</t>
  </si>
  <si>
    <t>one_mode_Mon_00940</t>
  </si>
  <si>
    <t>one_mode_Mon_00941</t>
  </si>
  <si>
    <t>one_mode_Mon_00942</t>
  </si>
  <si>
    <t>one_mode_Mon_00943</t>
  </si>
  <si>
    <t>one_mode_Mon_00944</t>
  </si>
  <si>
    <t>one_mode_Mon_00945</t>
  </si>
  <si>
    <t>one_mode_Mon_00946</t>
  </si>
  <si>
    <t>one_mode_Mon_00947</t>
  </si>
  <si>
    <t>one_mode_Mon_00948</t>
  </si>
  <si>
    <t>one_mode_Mon_00949</t>
  </si>
  <si>
    <t>one_mode_Mon_00950</t>
  </si>
  <si>
    <t>one_mode_Mon_00951</t>
  </si>
  <si>
    <t>one_mode_Mon_00952</t>
  </si>
  <si>
    <t>one_mode_Mon_00953</t>
  </si>
  <si>
    <t>one_mode_Mon_00954</t>
  </si>
  <si>
    <t>one_mode_Mon_00955</t>
  </si>
  <si>
    <t>one_mode_Mon_00956</t>
  </si>
  <si>
    <t>one_mode_Mon_00957</t>
  </si>
  <si>
    <t>one_mode_Mon_00958</t>
  </si>
  <si>
    <t>one_mode_Mon_00959</t>
  </si>
  <si>
    <t>one_mode_Mon_00960</t>
  </si>
  <si>
    <t>one_mode_Mon_00961</t>
  </si>
  <si>
    <t>one_mode_Mon_00962</t>
  </si>
  <si>
    <t>one_mode_Mon_00963</t>
  </si>
  <si>
    <t>one_mode_Mon_00964</t>
  </si>
  <si>
    <t>one_mode_Mon_00965</t>
  </si>
  <si>
    <t>one_mode_Mon_00966</t>
  </si>
  <si>
    <t>one_mode_Mon_00967</t>
  </si>
  <si>
    <t>one_mode_Mon_00968</t>
  </si>
  <si>
    <t>one_mode_Mon_00969</t>
  </si>
  <si>
    <t>one_mode_Mon_00970</t>
  </si>
  <si>
    <t>one_mode_Mon_00971</t>
  </si>
  <si>
    <t>one_mode_Mon_00972</t>
  </si>
  <si>
    <t>one_mode_Mon_00973</t>
  </si>
  <si>
    <t>one_mode_Mon_00974</t>
  </si>
  <si>
    <t>one_mode_Mon_00975</t>
  </si>
  <si>
    <t>one_mode_Mon_00976</t>
  </si>
  <si>
    <t>one_mode_Mon_00977</t>
  </si>
  <si>
    <t>one_mode_Mon_00978</t>
  </si>
  <si>
    <t>one_mode_Mon_00979</t>
  </si>
  <si>
    <t>one_mode_Mon_00980</t>
  </si>
  <si>
    <t>one_mode_Mon_00981</t>
  </si>
  <si>
    <t>one_mode_Mon_00982</t>
  </si>
  <si>
    <t>one_mode_Mon_00983</t>
  </si>
  <si>
    <t>one_mode_Mon_00984</t>
  </si>
  <si>
    <t>one_mode_Mon_00985</t>
  </si>
  <si>
    <t>one_mode_Mon_00986</t>
  </si>
  <si>
    <t>one_mode_Mon_00987</t>
  </si>
  <si>
    <t>one_mode_Mon_00988</t>
  </si>
  <si>
    <t>one_mode_Mon_00989</t>
  </si>
  <si>
    <t>one_mode_Mon_00990</t>
  </si>
  <si>
    <t>one_mode_Mon_00991</t>
  </si>
  <si>
    <t>one_mode_Mon_00992</t>
  </si>
  <si>
    <t>one_mode_Mon_00993</t>
  </si>
  <si>
    <t>one_mode_Mon_00994</t>
  </si>
  <si>
    <t>one_mode_Mon_00995</t>
  </si>
  <si>
    <t>one_mode_Mon_00996</t>
  </si>
  <si>
    <t>one_mode_Mon_00997</t>
  </si>
  <si>
    <t>one_mode_Mon_00998</t>
  </si>
  <si>
    <t>one_mode_Mon_00999</t>
  </si>
  <si>
    <t>one_mode_Mon_01000</t>
  </si>
  <si>
    <t>one_mode_Mon_01001</t>
  </si>
  <si>
    <t>one_mode_Mon_01002</t>
  </si>
  <si>
    <t>one_mode_Mon_01003</t>
  </si>
  <si>
    <t>one_mode_Mon_01004</t>
  </si>
  <si>
    <t>one_mode_Mon_01005</t>
  </si>
  <si>
    <t>one_mode_Mon_01006</t>
  </si>
  <si>
    <t>one_mode_Mon_01007</t>
  </si>
  <si>
    <t>one_mode_Mon_01008</t>
  </si>
  <si>
    <t>one_mode_Mon_01009</t>
  </si>
  <si>
    <t>one_mode_Mon_01010</t>
  </si>
  <si>
    <t>one_mode_Mon_01011</t>
  </si>
  <si>
    <t>one_mode_Mon_01012</t>
  </si>
  <si>
    <t>one_mode_Mon_01013</t>
  </si>
  <si>
    <t>one_mode_Mon_01014</t>
  </si>
  <si>
    <t>one_mode_Mon_01015</t>
  </si>
  <si>
    <t>one_mode_Mon_01016</t>
  </si>
  <si>
    <t>one_mode_Mon_01017</t>
  </si>
  <si>
    <t>one_mode_Mon_01018</t>
  </si>
  <si>
    <t>one_mode_Mon_01019</t>
  </si>
  <si>
    <t>one_mode_Mon_01020</t>
  </si>
  <si>
    <t>one_mode_Mon_01021</t>
  </si>
  <si>
    <t>one_mode_Mon_01022</t>
  </si>
  <si>
    <t>one_mode_Mon_01023</t>
  </si>
  <si>
    <t>one_mode_Mon_01024</t>
  </si>
  <si>
    <t>one_mode_Mon_01025</t>
  </si>
  <si>
    <t>one_mode_Mon_01026</t>
  </si>
  <si>
    <t>one_mode_Mon_01027</t>
  </si>
  <si>
    <t>one_mode_Mon_01028</t>
  </si>
  <si>
    <t>one_mode_Mon_01029</t>
  </si>
  <si>
    <t>one_mode_Mon_01030</t>
  </si>
  <si>
    <t>one_mode_Mon_01031</t>
  </si>
  <si>
    <t>one_mode_Mon_01032</t>
  </si>
  <si>
    <t>one_mode_Mon_01033</t>
  </si>
  <si>
    <t>one_mode_Mon_01034</t>
  </si>
  <si>
    <t>one_mode_Mon_01035</t>
  </si>
  <si>
    <t>one_mode_Mon_01036</t>
  </si>
  <si>
    <t>one_mode_Mon_01037</t>
  </si>
  <si>
    <t>one_mode_Mon_01038</t>
  </si>
  <si>
    <t>one_mode_Mon_01039</t>
  </si>
  <si>
    <t>one_mode_Mon_01040</t>
  </si>
  <si>
    <t>one_mode_Mon_01041</t>
  </si>
  <si>
    <t>one_mode_Mon_01042</t>
  </si>
  <si>
    <t>one_mode_Mon_01043</t>
  </si>
  <si>
    <t>one_mode_Mon_01044</t>
  </si>
  <si>
    <t>one_mode_Mon_01045</t>
  </si>
  <si>
    <t>one_mode_Mon_01046</t>
  </si>
  <si>
    <t>one_mode_Mon_01047</t>
  </si>
  <si>
    <t>one_mode_Mon_01048</t>
  </si>
  <si>
    <t>one_mode_Mon_01049</t>
  </si>
  <si>
    <t>one_mode_Mon_01050</t>
  </si>
  <si>
    <t>one_mode_Mon_01051</t>
  </si>
  <si>
    <t>one_mode_Mon_01052</t>
  </si>
  <si>
    <t>one_mode_Mon_01053</t>
  </si>
  <si>
    <t>one_mode_Mon_01054</t>
  </si>
  <si>
    <t>one_mode_Mon_01055</t>
  </si>
  <si>
    <t>one_mode_Mon_01056</t>
  </si>
  <si>
    <t>one_mode_Mon_01057</t>
  </si>
  <si>
    <t>one_mode_Mon_01058</t>
  </si>
  <si>
    <t>one_mode_Mon_01059</t>
  </si>
  <si>
    <t>one_mode_Mon_01060</t>
  </si>
  <si>
    <t>one_mode_Mon_01061</t>
  </si>
  <si>
    <t>one_mode_Mon_01062</t>
  </si>
  <si>
    <t>one_mode_Mon_01063</t>
  </si>
  <si>
    <t>one_mode_Mon_01064</t>
  </si>
  <si>
    <t>one_mode_Mon_01065</t>
  </si>
  <si>
    <t>one_mode_Mon_01066</t>
  </si>
  <si>
    <t>one_mode_Mon_01067</t>
  </si>
  <si>
    <t>one_mode_Mon_01068</t>
  </si>
  <si>
    <t>one_mode_Mon_01069</t>
  </si>
  <si>
    <t>one_mode_Mon_01070</t>
  </si>
  <si>
    <t>one_mode_Mon_01071</t>
  </si>
  <si>
    <t>one_mode_Mon_01072</t>
  </si>
  <si>
    <t>one_mode_Mon_01073</t>
  </si>
  <si>
    <t>one_mode_Mon_01074</t>
  </si>
  <si>
    <t>one_mode_Mon_01075</t>
  </si>
  <si>
    <t>one_mode_Mon_01076</t>
  </si>
  <si>
    <t>one_mode_Mon_01077</t>
  </si>
  <si>
    <t>one_mode_Mon_01078</t>
  </si>
  <si>
    <t>one_mode_Mon_01079</t>
  </si>
  <si>
    <t>one_mode_Mon_01080</t>
  </si>
  <si>
    <t>one_mode_Mon_01081</t>
  </si>
  <si>
    <t>one_mode_Mon_01082</t>
  </si>
  <si>
    <t>one_mode_Mon_01083</t>
  </si>
  <si>
    <t>one_mode_Mon_01084</t>
  </si>
  <si>
    <t>one_mode_Mon_01085</t>
  </si>
  <si>
    <t>one_mode_Mon_01086</t>
  </si>
  <si>
    <t>one_mode_Mon_01087</t>
  </si>
  <si>
    <t>one_mode_Mon_01088</t>
  </si>
  <si>
    <t>one_mode_Mon_01089</t>
  </si>
  <si>
    <t>one_mode_Mon_01090</t>
  </si>
  <si>
    <t>one_mode_Mon_01091</t>
  </si>
  <si>
    <t>one_mode_Mon_01092</t>
  </si>
  <si>
    <t>one_mode_Mon_01093</t>
  </si>
  <si>
    <t>one_mode_Mon_01094</t>
  </si>
  <si>
    <t>one_mode_Mon_01095</t>
  </si>
  <si>
    <t>one_mode_Mon_01096</t>
  </si>
  <si>
    <t>one_mode_Mon_01097</t>
  </si>
  <si>
    <t>one_mode_Mon_01098</t>
  </si>
  <si>
    <t>one_mode_Mon_01099</t>
  </si>
  <si>
    <t>one_mode_Mon_01100</t>
  </si>
  <si>
    <t>one_mode_Mon_01101</t>
  </si>
  <si>
    <t>one_mode_Mon_01102</t>
  </si>
  <si>
    <t>one_mode_Mon_01103</t>
  </si>
  <si>
    <t>one_mode_Mon_01104</t>
  </si>
  <si>
    <t>one_mode_Mon_01105</t>
  </si>
  <si>
    <t>one_mode_Mon_01106</t>
  </si>
  <si>
    <t>one_mode_Mon_01107</t>
  </si>
  <si>
    <t>one_mode_Mon_01108</t>
  </si>
  <si>
    <t>one_mode_Mon_01109</t>
  </si>
  <si>
    <t>one_mode_Mon_01110</t>
  </si>
  <si>
    <t>one_mode_Mon_01111</t>
  </si>
  <si>
    <t>one_mode_Mon_01112</t>
  </si>
  <si>
    <t>one_mode_Mon_01113</t>
  </si>
  <si>
    <t>one_mode_Mon_01114</t>
  </si>
  <si>
    <t>one_mode_Mon_01115</t>
  </si>
  <si>
    <t>one_mode_Mon_01116</t>
  </si>
  <si>
    <t>one_mode_Mon_01117</t>
  </si>
  <si>
    <t>one_mode_Mon_01118</t>
  </si>
  <si>
    <t>one_mode_Mon_01119</t>
  </si>
  <si>
    <t>one_mode_Mon_01120</t>
  </si>
  <si>
    <t>one_mode_Mon_01121</t>
  </si>
  <si>
    <t>one_mode_Mon_01122</t>
  </si>
  <si>
    <t>one_mode_Mon_01123</t>
  </si>
  <si>
    <t>one_mode_Mon_01124</t>
  </si>
  <si>
    <t>one_mode_Mon_01125</t>
  </si>
  <si>
    <t>one_mode_Mon_01126</t>
  </si>
  <si>
    <t>one_mode_Mon_01127</t>
  </si>
  <si>
    <t>one_mode_Mon_01128</t>
  </si>
  <si>
    <t>one_mode_Mon_01129</t>
  </si>
  <si>
    <t>one_mode_Mon_01130</t>
  </si>
  <si>
    <t>one_mode_Mon_01131</t>
  </si>
  <si>
    <t>one_mode_Mon_01132</t>
  </si>
  <si>
    <t>one_mode_Mon_01133</t>
  </si>
  <si>
    <t>one_mode_Mon_01134</t>
  </si>
  <si>
    <t>one_mode_Mon_01135</t>
  </si>
  <si>
    <t>one_mode_Mon_01136</t>
  </si>
  <si>
    <t>one_mode_Mon_01137</t>
  </si>
  <si>
    <t>one_mode_Mon_01138</t>
  </si>
  <si>
    <t>one_mode_Mon_01139</t>
  </si>
  <si>
    <t>one_mode_Mon_01140</t>
  </si>
  <si>
    <t>one_mode_Mon_01141</t>
  </si>
  <si>
    <t>one_mode_Mon_01142</t>
  </si>
  <si>
    <t>one_mode_Mon_01143</t>
  </si>
  <si>
    <t>one_mode_Mon_01144</t>
  </si>
  <si>
    <t>one_mode_Mon_01145</t>
  </si>
  <si>
    <t>one_mode_Mon_01146</t>
  </si>
  <si>
    <t>one_mode_Mon_01147</t>
  </si>
  <si>
    <t>one_mode_Mon_01148</t>
  </si>
  <si>
    <t>one_mode_Mon_01149</t>
  </si>
  <si>
    <t>one_mode_Mon_01150</t>
  </si>
  <si>
    <t>one_mode_Mon_01151</t>
  </si>
  <si>
    <t>one_mode_Mon_01152</t>
  </si>
  <si>
    <t>one_mode_Mon_01153</t>
  </si>
  <si>
    <t>one_mode_Mon_01154</t>
  </si>
  <si>
    <t>one_mode_Mon_01155</t>
  </si>
  <si>
    <t>one_mode_Mon_01156</t>
  </si>
  <si>
    <t>one_mode_Mon_01157</t>
  </si>
  <si>
    <t>one_mode_Mon_01158</t>
  </si>
  <si>
    <t>one_mode_Mon_01159</t>
  </si>
  <si>
    <t>one_mode_Mon_01160</t>
  </si>
  <si>
    <t>one_mode_Mon_01161</t>
  </si>
  <si>
    <t>one_mode_Mon_01162</t>
  </si>
  <si>
    <t>one_mode_Mon_01163</t>
  </si>
  <si>
    <t>one_mode_Mon_01164</t>
  </si>
  <si>
    <t>one_mode_Mon_01165</t>
  </si>
  <si>
    <t>one_mode_Mon_01166</t>
  </si>
  <si>
    <t>one_mode_Mon_01167</t>
  </si>
  <si>
    <t>one_mode_Mon_01168</t>
  </si>
  <si>
    <t>one_mode_Mon_01169</t>
  </si>
  <si>
    <t>one_mode_Mon_01170</t>
  </si>
  <si>
    <t>one_mode_Mon_01171</t>
  </si>
  <si>
    <t>one_mode_Mon_01172</t>
  </si>
  <si>
    <t>one_mode_Mon_01173</t>
  </si>
  <si>
    <t>one_mode_Mon_01174</t>
  </si>
  <si>
    <t>one_mode_Mon_01175</t>
  </si>
  <si>
    <t>one_mode_Mon_01176</t>
  </si>
  <si>
    <t>one_mode_Mon_01177</t>
  </si>
  <si>
    <t>one_mode_Mon_01178</t>
  </si>
  <si>
    <t>one_mode_Mon_01179</t>
  </si>
  <si>
    <t>one_mode_Mon_01180</t>
  </si>
  <si>
    <t>one_mode_Mon_01181</t>
  </si>
  <si>
    <t>one_mode_Mon_01182</t>
  </si>
  <si>
    <t>one_mode_Mon_01183</t>
  </si>
  <si>
    <t>one_mode_Mon_01184</t>
  </si>
  <si>
    <t>one_mode_Mon_01185</t>
  </si>
  <si>
    <t>one_mode_Mon_01186</t>
  </si>
  <si>
    <t>one_mode_Mon_01187</t>
  </si>
  <si>
    <t>one_mode_Mon_01188</t>
  </si>
  <si>
    <t>one_mode_Mon_01189</t>
  </si>
  <si>
    <t>one_mode_Mon_01190</t>
  </si>
  <si>
    <t>one_mode_Mon_01191</t>
  </si>
  <si>
    <t>one_mode_Mon_01192</t>
  </si>
  <si>
    <t>one_mode_Mon_01193</t>
  </si>
  <si>
    <t>one_mode_Mon_01194</t>
  </si>
  <si>
    <t>one_mode_Mon_01195</t>
  </si>
  <si>
    <t>one_mode_Mon_01196</t>
  </si>
  <si>
    <t>one_mode_Mon_01197</t>
  </si>
  <si>
    <t>one_mode_Mon_01198</t>
  </si>
  <si>
    <t>one_mode_Mon_01199</t>
  </si>
  <si>
    <t>one_mode_Mon_01200</t>
  </si>
  <si>
    <t>one_mode_Mon_01201</t>
  </si>
  <si>
    <t>one_mode_Mon_01202</t>
  </si>
  <si>
    <t>one_mode_Mon_01203</t>
  </si>
  <si>
    <t>one_mode_Mon_01204</t>
  </si>
  <si>
    <t>one_mode_Mon_01205</t>
  </si>
  <si>
    <t>one_mode_Mon_01206</t>
  </si>
  <si>
    <t>one_mode_Mon_01207</t>
  </si>
  <si>
    <t>one_mode_Mon_01208</t>
  </si>
  <si>
    <t>one_mode_Mon_01209</t>
  </si>
  <si>
    <t>one_mode_Mon_01210</t>
  </si>
  <si>
    <t>one_mode_Mon_01211</t>
  </si>
  <si>
    <t>one_mode_Mon_01212</t>
  </si>
  <si>
    <t>one_mode_Mon_01213</t>
  </si>
  <si>
    <t>one_mode_Mon_01214</t>
  </si>
  <si>
    <t>one_mode_Mon_01215</t>
  </si>
  <si>
    <t>one_mode_Mon_01216</t>
  </si>
  <si>
    <t>one_mode_Mon_01217</t>
  </si>
  <si>
    <t>one_mode_Mon_01218</t>
  </si>
  <si>
    <t>one_mode_Mon_01219</t>
  </si>
  <si>
    <t>one_mode_Mon_01220</t>
  </si>
  <si>
    <t>one_mode_Mon_01221</t>
  </si>
  <si>
    <t>one_mode_Mon_01222</t>
  </si>
  <si>
    <t>one_mode_Mon_01223</t>
  </si>
  <si>
    <t>one_mode_Mon_01224</t>
  </si>
  <si>
    <t>one_mode_Mon_01225</t>
  </si>
  <si>
    <t>one_mode_Mon_01226</t>
  </si>
  <si>
    <t>one_mode_Mon_01227</t>
  </si>
  <si>
    <t>one_mode_Mon_01228</t>
  </si>
  <si>
    <t>one_mode_Mon_01229</t>
  </si>
  <si>
    <t>one_mode_Mon_01230</t>
  </si>
  <si>
    <t>one_mode_Mon_01231</t>
  </si>
  <si>
    <t>one_mode_Mon_01232</t>
  </si>
  <si>
    <t>one_mode_Mon_01233</t>
  </si>
  <si>
    <t>one_mode_Mon_01234</t>
  </si>
  <si>
    <t>one_mode_Mon_01235</t>
  </si>
  <si>
    <t>one_mode_Mon_01236</t>
  </si>
  <si>
    <t>one_mode_Mon_01237</t>
  </si>
  <si>
    <t>one_mode_Mon_01238</t>
  </si>
  <si>
    <t>one_mode_Mon_01239</t>
  </si>
  <si>
    <t>one_mode_Mon_01240</t>
  </si>
  <si>
    <t>one_mode_Mon_01241</t>
  </si>
  <si>
    <t>one_mode_Mon_01242</t>
  </si>
  <si>
    <t>one_mode_Mon_01243</t>
  </si>
  <si>
    <t>one_mode_Mon_01244</t>
  </si>
  <si>
    <t>one_mode_Mon_01245</t>
  </si>
  <si>
    <t>one_mode_Mon_01246</t>
  </si>
  <si>
    <t>one_mode_Mon_01247</t>
  </si>
  <si>
    <t>one_mode_Mon_01248</t>
  </si>
  <si>
    <t>one_mode_Mon_01249</t>
  </si>
  <si>
    <t>one_mode_Mon_01250</t>
  </si>
  <si>
    <t>one_mode_Mon_01251</t>
  </si>
  <si>
    <t>one_mode_Mon_01252</t>
  </si>
  <si>
    <t>one_mode_Mon_01253</t>
  </si>
  <si>
    <t>one_mode_Mon_01254</t>
  </si>
  <si>
    <t>one_mode_Mon_01255</t>
  </si>
  <si>
    <t>one_mode_Mon_01256</t>
  </si>
  <si>
    <t>one_mode_Mon_01257</t>
  </si>
  <si>
    <t>one_mode_Mon_01258</t>
  </si>
  <si>
    <t>one_mode_Mon_01259</t>
  </si>
  <si>
    <t>one_mode_Mon_01260</t>
  </si>
  <si>
    <t>one_mode_Mon_01261</t>
  </si>
  <si>
    <t>one_mode_Mon_01262</t>
  </si>
  <si>
    <t>one_mode_Mon_01263</t>
  </si>
  <si>
    <t>one_mode_Mon_01264</t>
  </si>
  <si>
    <t>one_mode_Mon_01265</t>
  </si>
  <si>
    <t>one_mode_Mon_01266</t>
  </si>
  <si>
    <t>one_mode_Mon_01267</t>
  </si>
  <si>
    <t>one_mode_Mon_01268</t>
  </si>
  <si>
    <t>one_mode_Mon_01269</t>
  </si>
  <si>
    <t>one_mode_Mon_01270</t>
  </si>
  <si>
    <t>one_mode_Mon_01271</t>
  </si>
  <si>
    <t>one_mode_Mon_01272</t>
  </si>
  <si>
    <t>one_mode_Mon_01273</t>
  </si>
  <si>
    <t>one_mode_Mon_01274</t>
  </si>
  <si>
    <t>one_mode_Mon_01275</t>
  </si>
  <si>
    <t>one_mode_Mon_01276</t>
  </si>
  <si>
    <t>one_mode_Mon_01277</t>
  </si>
  <si>
    <t>one_mode_Mon_01278</t>
  </si>
  <si>
    <t>one_mode_Mon_01279</t>
  </si>
  <si>
    <t>one_mode_Mon_01280</t>
  </si>
  <si>
    <t>one_mode_Mon_01281</t>
  </si>
  <si>
    <t>one_mode_Mon_01282</t>
  </si>
  <si>
    <t>one_mode_Mon_01283</t>
  </si>
  <si>
    <t>one_mode_Mon_01284</t>
  </si>
  <si>
    <t>one_mode_Mon_01285</t>
  </si>
  <si>
    <t>one_mode_Mon_01286</t>
  </si>
  <si>
    <t>one_mode_Mon_01287</t>
  </si>
  <si>
    <t>one_mode_Mon_01288</t>
  </si>
  <si>
    <t>one_mode_Mon_01289</t>
  </si>
  <si>
    <t>one_mode_Mon_01290</t>
  </si>
  <si>
    <t>one_mode_Mon_01291</t>
  </si>
  <si>
    <t>one_mode_Mon_01292</t>
  </si>
  <si>
    <t>one_mode_Mon_01293</t>
  </si>
  <si>
    <t>one_mode_Mon_01294</t>
  </si>
  <si>
    <t>one_mode_Mon_01295</t>
  </si>
  <si>
    <t>one_mode_Mon_01296</t>
  </si>
  <si>
    <t>one_mode_Mon_01297</t>
  </si>
  <si>
    <t>one_mode_Mon_01298</t>
  </si>
  <si>
    <t>one_mode_Mon_01299</t>
  </si>
  <si>
    <t>one_mode_Mon_01300</t>
  </si>
  <si>
    <t>one_mode_Mon_01301</t>
  </si>
  <si>
    <t>one_mode_Mon_01302</t>
  </si>
  <si>
    <t>one_mode_Mon_01303</t>
  </si>
  <si>
    <t>one_mode_Mon_01304</t>
  </si>
  <si>
    <t>one_mode_Mon_01305</t>
  </si>
  <si>
    <t>one_mode_Mon_01306</t>
  </si>
  <si>
    <t>one_mode_Mon_01307</t>
  </si>
  <si>
    <t>one_mode_Mon_01308</t>
  </si>
  <si>
    <t>one_mode_Mon_01309</t>
  </si>
  <si>
    <t>one_mode_Mon_01310</t>
  </si>
  <si>
    <t>one_mode_Mon_01311</t>
  </si>
  <si>
    <t>one_mode_Mon_01312</t>
  </si>
  <si>
    <t>one_mode_Mon_01313</t>
  </si>
  <si>
    <t>one_mode_Mon_01314</t>
  </si>
  <si>
    <t>one_mode_Mon_01315</t>
  </si>
  <si>
    <t>one_mode_Mon_01316</t>
  </si>
  <si>
    <t>one_mode_Mon_01317</t>
  </si>
  <si>
    <t>one_mode_Mon_01318</t>
  </si>
  <si>
    <t>one_mode_Mon_01319</t>
  </si>
  <si>
    <t>one_mode_Mon_01320</t>
  </si>
  <si>
    <t>one_mode_Mon_01321</t>
  </si>
  <si>
    <t>one_mode_Mon_01322</t>
  </si>
  <si>
    <t>one_mode_Mon_01323</t>
  </si>
  <si>
    <t>one_mode_Mon_01324</t>
  </si>
  <si>
    <t>one_mode_Mon_01325</t>
  </si>
  <si>
    <t>one_mode_Mon_01326</t>
  </si>
  <si>
    <t>one_mode_Mon_01327</t>
  </si>
  <si>
    <t>one_mode_Mon_01328</t>
  </si>
  <si>
    <t>one_mode_Mon_01329</t>
  </si>
  <si>
    <t>one_mode_Mon_01330</t>
  </si>
  <si>
    <t>one_mode_Mon_01331</t>
  </si>
  <si>
    <t>one_mode_Mon_01332</t>
  </si>
  <si>
    <t>one_mode_Mon_01333</t>
  </si>
  <si>
    <t>one_mode_Mon_01334</t>
  </si>
  <si>
    <t>one_mode_Mon_01335</t>
  </si>
  <si>
    <t>one_mode_Mon_01336</t>
  </si>
  <si>
    <t>one_mode_Mon_01337</t>
  </si>
  <si>
    <t>one_mode_Mon_01338</t>
  </si>
  <si>
    <t>one_mode_Mon_01339</t>
  </si>
  <si>
    <t>one_mode_Mon_01340</t>
  </si>
  <si>
    <t>one_mode_Mon_01341</t>
  </si>
  <si>
    <t>one_mode_Mon_01342</t>
  </si>
  <si>
    <t>one_mode_Mon_01343</t>
  </si>
  <si>
    <t>one_mode_Mon_01344</t>
  </si>
  <si>
    <t>one_mode_Mon_01345</t>
  </si>
  <si>
    <t>one_mode_Mon_01346</t>
  </si>
  <si>
    <t>one_mode_Mon_01347</t>
  </si>
  <si>
    <t>one_mode_Mon_01348</t>
  </si>
  <si>
    <t>one_mode_Mon_01349</t>
  </si>
  <si>
    <t>one_mode_Mon_01350</t>
  </si>
  <si>
    <t>one_mode_Mon_01351</t>
  </si>
  <si>
    <t>one_mode_Mon_01352</t>
  </si>
  <si>
    <t>one_mode_Mon_01353</t>
  </si>
  <si>
    <t>one_mode_Mon_01354</t>
  </si>
  <si>
    <t>one_mode_Mon_01355</t>
  </si>
  <si>
    <t>one_mode_Mon_01356</t>
  </si>
  <si>
    <t>one_mode_Mon_01357</t>
  </si>
  <si>
    <t>one_mode_Mon_01358</t>
  </si>
  <si>
    <t>one_mode_Mon_01359</t>
  </si>
  <si>
    <t>one_mode_Mon_01360</t>
  </si>
  <si>
    <t>one_mode_Mon_01361</t>
  </si>
  <si>
    <t>one_mode_Mon_01362</t>
  </si>
  <si>
    <t>one_mode_Mon_01363</t>
  </si>
  <si>
    <t>one_mode_Mon_01364</t>
  </si>
  <si>
    <t>one_mode_Mon_01365</t>
  </si>
  <si>
    <t>one_mode_Mon_01366</t>
  </si>
  <si>
    <t>one_mode_Mon_01367</t>
  </si>
  <si>
    <t>one_mode_Mon_01368</t>
  </si>
  <si>
    <t>one_mode_Mon_01369</t>
  </si>
  <si>
    <t>one_mode_Mon_01370</t>
  </si>
  <si>
    <t>one_mode_Mon_01371</t>
  </si>
  <si>
    <t>one_mode_Mon_01372</t>
  </si>
  <si>
    <t>one_mode_Mon_01373</t>
  </si>
  <si>
    <t>one_mode_Mon_01374</t>
  </si>
  <si>
    <t>one_mode_Mon_01375</t>
  </si>
  <si>
    <t>one_mode_Mon_01376</t>
  </si>
  <si>
    <t>one_mode_Mon_01377</t>
  </si>
  <si>
    <t>one_mode_Mon_01378</t>
  </si>
  <si>
    <t>one_mode_Mon_01379</t>
  </si>
  <si>
    <t>one_mode_Mon_01380</t>
  </si>
  <si>
    <t>one_mode_Mon_01381</t>
  </si>
  <si>
    <t>one_mode_Mon_01382</t>
  </si>
  <si>
    <t>one_mode_Mon_01383</t>
  </si>
  <si>
    <t>one_mode_Mon_01384</t>
  </si>
  <si>
    <t>one_mode_Mon_01385</t>
  </si>
  <si>
    <t>one_mode_Mon_01386</t>
  </si>
  <si>
    <t>one_mode_Mon_01387</t>
  </si>
  <si>
    <t>one_mode_Mon_01388</t>
  </si>
  <si>
    <t>one_mode_Mon_01389</t>
  </si>
  <si>
    <t>one_mode_Mon_01390</t>
  </si>
  <si>
    <t>one_mode_Mon_01391</t>
  </si>
  <si>
    <t>one_mode_Mon_01392</t>
  </si>
  <si>
    <t>one_mode_Mon_01393</t>
  </si>
  <si>
    <t>one_mode_Mon_01394</t>
  </si>
  <si>
    <t>one_mode_Mon_01395</t>
  </si>
  <si>
    <t>one_mode_Mon_01396</t>
  </si>
  <si>
    <t>one_mode_Mon_01397</t>
  </si>
  <si>
    <t>one_mode_Mon_01398</t>
  </si>
  <si>
    <t>one_mode_Mon_01399</t>
  </si>
  <si>
    <t>one_mode_Mon_01400</t>
  </si>
  <si>
    <t>one_mode_Mon_01401</t>
  </si>
  <si>
    <t>one_mode_Mon_01402</t>
  </si>
  <si>
    <t>one_mode_Mon_01403</t>
  </si>
  <si>
    <t>one_mode_Mon_01404</t>
  </si>
  <si>
    <t>one_mode_Mon_01405</t>
  </si>
  <si>
    <t>one_mode_Mon_01406</t>
  </si>
  <si>
    <t>one_mode_Mon_01407</t>
  </si>
  <si>
    <t>one_mode_Mon_01408</t>
  </si>
  <si>
    <t>one_mode_Mon_01409</t>
  </si>
  <si>
    <t>one_mode_Mon_01410</t>
  </si>
  <si>
    <t>one_mode_Mon_01411</t>
  </si>
  <si>
    <t>one_mode_Mon_01412</t>
  </si>
  <si>
    <t>one_mode_Mon_01413</t>
  </si>
  <si>
    <t>one_mode_Mon_01414</t>
  </si>
  <si>
    <t>one_mode_Mon_01415</t>
  </si>
  <si>
    <t>one_mode_Mon_01416</t>
  </si>
  <si>
    <t>one_mode_Mon_01417</t>
  </si>
  <si>
    <t>one_mode_Mon_01418</t>
  </si>
  <si>
    <t>one_mode_Mon_01419</t>
  </si>
  <si>
    <t>one_mode_Mon_01420</t>
  </si>
  <si>
    <t>one_mode_Mon_01421</t>
  </si>
  <si>
    <t>one_mode_Mon_01422</t>
  </si>
  <si>
    <t>one_mode_Mon_01423</t>
  </si>
  <si>
    <t>one_mode_Mon_01424</t>
  </si>
  <si>
    <t>one_mode_Mon_01425</t>
  </si>
  <si>
    <t>one_mode_Mon_01426</t>
  </si>
  <si>
    <t>one_mode_Mon_01427</t>
  </si>
  <si>
    <t>one_mode_Mon_01428</t>
  </si>
  <si>
    <t>one_mode_Mon_01429</t>
  </si>
  <si>
    <t>one_mode_Mon_01430</t>
  </si>
  <si>
    <t>one_mode_Mon_01431</t>
  </si>
  <si>
    <t>one_mode_Mon_01432</t>
  </si>
  <si>
    <t>one_mode_Mon_01433</t>
  </si>
  <si>
    <t>one_mode_Mon_01434</t>
  </si>
  <si>
    <t>one_mode_Mon_01435</t>
  </si>
  <si>
    <t>one_mode_Mon_01436</t>
  </si>
  <si>
    <t>one_mode_Mon_01437</t>
  </si>
  <si>
    <t>one_mode_Mon_01438</t>
  </si>
  <si>
    <t>one_mode_Mon_01439</t>
  </si>
  <si>
    <t>one_mode_Mon_01440</t>
  </si>
  <si>
    <t>one_mode_Mon_01441</t>
  </si>
  <si>
    <t>one_mode_Mon_01442</t>
  </si>
  <si>
    <t>one_mode_Mon_01443</t>
  </si>
  <si>
    <t>one_mode_Mon_01444</t>
  </si>
  <si>
    <t>one_mode_Mon_01445</t>
  </si>
  <si>
    <t>one_mode_Mon_01446</t>
  </si>
  <si>
    <t>one_mode_Mon_01447</t>
  </si>
  <si>
    <t>one_mode_Mon_01448</t>
  </si>
  <si>
    <t>one_mode_Mon_01449</t>
  </si>
  <si>
    <t>one_mode_Mon_01450</t>
  </si>
  <si>
    <t>one_mode_Mon_01451</t>
  </si>
  <si>
    <t>one_mode_Mon_01452</t>
  </si>
  <si>
    <t>one_mode_Mon_01453</t>
  </si>
  <si>
    <t>one_mode_Mon_01454</t>
  </si>
  <si>
    <t>one_mode_Mon_01455</t>
  </si>
  <si>
    <t>one_mode_Mon_01456</t>
  </si>
  <si>
    <t>one_mode_Mon_01457</t>
  </si>
  <si>
    <t>one_mode_Mon_01458</t>
  </si>
  <si>
    <t>one_mode_Mon_01459</t>
  </si>
  <si>
    <t>one_mode_Mon_01460</t>
  </si>
  <si>
    <t>one_mode_Mon_01461</t>
  </si>
  <si>
    <t>one_mode_Mon_01462</t>
  </si>
  <si>
    <t>one_mode_Mon_01463</t>
  </si>
  <si>
    <t>one_mode_Mon_01464</t>
  </si>
  <si>
    <t>one_mode_Mon_01465</t>
  </si>
  <si>
    <t>one_mode_Mon_01466</t>
  </si>
  <si>
    <t>one_mode_Mon_01467</t>
  </si>
  <si>
    <t>one_mode_Mon_01468</t>
  </si>
  <si>
    <t>one_mode_Mon_01469</t>
  </si>
  <si>
    <t>one_mode_Mon_01470</t>
  </si>
  <si>
    <t>one_mode_Mon_01471</t>
  </si>
  <si>
    <t>one_mode_Mon_01472</t>
  </si>
  <si>
    <t>one_mode_Mon_01473</t>
  </si>
  <si>
    <t>one_mode_Mon_01474</t>
  </si>
  <si>
    <t>one_mode_Mon_01475</t>
  </si>
  <si>
    <t>one_mode_Mon_01476</t>
  </si>
  <si>
    <t>one_mode_Mon_01477</t>
  </si>
  <si>
    <t>one_mode_Mon_01478</t>
  </si>
  <si>
    <t>one_mode_Mon_01479</t>
  </si>
  <si>
    <t>one_mode_Mon_01480</t>
  </si>
  <si>
    <t>one_mode_Mon_01481</t>
  </si>
  <si>
    <t>one_mode_Mon_01482</t>
  </si>
  <si>
    <t>one_mode_Mon_01483</t>
  </si>
  <si>
    <t>one_mode_Mon_01484</t>
  </si>
  <si>
    <t>one_mode_Mon_01485</t>
  </si>
  <si>
    <t>one_mode_Mon_01486</t>
  </si>
  <si>
    <t>one_mode_Mon_01487</t>
  </si>
  <si>
    <t>one_mode_Mon_01488</t>
  </si>
  <si>
    <t>one_mode_Mon_01489</t>
  </si>
  <si>
    <t>one_mode_Mon_01490</t>
  </si>
  <si>
    <t>one_mode_Mon_01491</t>
  </si>
  <si>
    <t>one_mode_Mon_01492</t>
  </si>
  <si>
    <t>one_mode_Mon_01493</t>
  </si>
  <si>
    <t>one_mode_Mon_01494</t>
  </si>
  <si>
    <t>one_mode_Mon_01495</t>
  </si>
  <si>
    <t>one_mode_Mon_01496</t>
  </si>
  <si>
    <t>one_mode_Mon_01497</t>
  </si>
  <si>
    <t>one_mode_Mon_01498</t>
  </si>
  <si>
    <t>one_mode_Mon_01499</t>
  </si>
  <si>
    <t>one_mode_Mon_01500</t>
  </si>
  <si>
    <t>one_mode_Mon_01501</t>
  </si>
  <si>
    <t>one_mode_Mon_01502</t>
  </si>
  <si>
    <t>one_mode_Mon_01503</t>
  </si>
  <si>
    <t>one_mode_Mon_01504</t>
  </si>
  <si>
    <t>one_mode_Mon_01505</t>
  </si>
  <si>
    <t>one_mode_Mon_01506</t>
  </si>
  <si>
    <t>one_mode_Mon_01507</t>
  </si>
  <si>
    <t>one_mode_Mon_01508</t>
  </si>
  <si>
    <t>one_mode_Mon_01509</t>
  </si>
  <si>
    <t>one_mode_Mon_01510</t>
  </si>
  <si>
    <t>one_mode_Mon_01511</t>
  </si>
  <si>
    <t>one_mode_Mon_01512</t>
  </si>
  <si>
    <t>one_mode_Mon_01513</t>
  </si>
  <si>
    <t>one_mode_Mon_01514</t>
  </si>
  <si>
    <t>one_mode_Mon_01515</t>
  </si>
  <si>
    <t>one_mode_Mon_01516</t>
  </si>
  <si>
    <t>one_mode_Mon_01517</t>
  </si>
  <si>
    <t>one_mode_Mon_01518</t>
  </si>
  <si>
    <t>one_mode_Mon_01519</t>
  </si>
  <si>
    <t>one_mode_Mon_01520</t>
  </si>
  <si>
    <t>one_mode_Mon_01521</t>
  </si>
  <si>
    <t>one_mode_Mon_01522</t>
  </si>
  <si>
    <t>one_mode_Mon_01523</t>
  </si>
  <si>
    <t>one_mode_Mon_01524</t>
  </si>
  <si>
    <t>one_mode_Mon_01525</t>
  </si>
  <si>
    <t>one_mode_Mon_01526</t>
  </si>
  <si>
    <t>one_mode_Mon_01527</t>
  </si>
  <si>
    <t>one_mode_Mon_01528</t>
  </si>
  <si>
    <t>one_mode_Mon_01529</t>
  </si>
  <si>
    <t>one_mode_Mon_01530</t>
  </si>
  <si>
    <t>one_mode_Mon_01531</t>
  </si>
  <si>
    <t>one_mode_Mon_01532</t>
  </si>
  <si>
    <t>one_mode_Mon_01533</t>
  </si>
  <si>
    <t>one_mode_Mon_01534</t>
  </si>
  <si>
    <t>one_mode_Mon_01535</t>
  </si>
  <si>
    <t>one_mode_Mon_01536</t>
  </si>
  <si>
    <t>one_mode_Mon_01537</t>
  </si>
  <si>
    <t>one_mode_Mon_01538</t>
  </si>
  <si>
    <t>one_mode_Mon_01539</t>
  </si>
  <si>
    <t>one_mode_Mon_01540</t>
  </si>
  <si>
    <t>one_mode_Mon_01541</t>
  </si>
  <si>
    <t>one_mode_Mon_01542</t>
  </si>
  <si>
    <t>one_mode_Mon_01543</t>
  </si>
  <si>
    <t>one_mode_Mon_01544</t>
  </si>
  <si>
    <t>one_mode_Mon_01545</t>
  </si>
  <si>
    <t>one_mode_Mon_01546</t>
  </si>
  <si>
    <t>one_mode_Mon_01547</t>
  </si>
  <si>
    <t>one_mode_Mon_01548</t>
  </si>
  <si>
    <t>one_mode_Mon_01549</t>
  </si>
  <si>
    <t>one_mode_Mon_01550</t>
  </si>
  <si>
    <t>one_mode_Mon_01551</t>
  </si>
  <si>
    <t>one_mode_Mon_01552</t>
  </si>
  <si>
    <t>one_mode_Mon_01553</t>
  </si>
  <si>
    <t>one_mode_Mon_01554</t>
  </si>
  <si>
    <t>one_mode_Mon_01555</t>
  </si>
  <si>
    <t>one_mode_Mon_01556</t>
  </si>
  <si>
    <t>one_mode_Mon_01557</t>
  </si>
  <si>
    <t>one_mode_Mon_01558</t>
  </si>
  <si>
    <t>one_mode_Mon_01559</t>
  </si>
  <si>
    <t>one_mode_Mon_01560</t>
  </si>
  <si>
    <t>one_mode_Mon_01561</t>
  </si>
  <si>
    <t>one_mode_Mon_01562</t>
  </si>
  <si>
    <t>one_mode_Mon_01563</t>
  </si>
  <si>
    <t>one_mode_Mon_01564</t>
  </si>
  <si>
    <t>one_mode_Mon_01565</t>
  </si>
  <si>
    <t>one_mode_Mon_01566</t>
  </si>
  <si>
    <t>one_mode_Mon_01567</t>
  </si>
  <si>
    <t>one_mode_Mon_01568</t>
  </si>
  <si>
    <t>one_mode_Mon_01569</t>
  </si>
  <si>
    <t>one_mode_Mon_01570</t>
  </si>
  <si>
    <t>one_mode_Mon_01571</t>
  </si>
  <si>
    <t>one_mode_Mon_01572</t>
  </si>
  <si>
    <t>one_mode_Mon_01573</t>
  </si>
  <si>
    <t>one_mode_Mon_01574</t>
  </si>
  <si>
    <t>one_mode_Mon_01575</t>
  </si>
  <si>
    <t>one_mode_Mon_01576</t>
  </si>
  <si>
    <t>one_mode_Mon_01577</t>
  </si>
  <si>
    <t>one_mode_Mon_01578</t>
  </si>
  <si>
    <t>one_mode_Mon_01579</t>
  </si>
  <si>
    <t>one_mode_Mon_01580</t>
  </si>
  <si>
    <t>one_mode_Mon_01581</t>
  </si>
  <si>
    <t>one_mode_Mon_01582</t>
  </si>
  <si>
    <t>one_mode_Mon_01583</t>
  </si>
  <si>
    <t>one_mode_Mon_01584</t>
  </si>
  <si>
    <t>one_mode_Mon_01585</t>
  </si>
  <si>
    <t>one_mode_Mon_01586</t>
  </si>
  <si>
    <t>one_mode_Mon_01587</t>
  </si>
  <si>
    <t>one_mode_Mon_01588</t>
  </si>
  <si>
    <t>one_mode_Mon_01589</t>
  </si>
  <si>
    <t>one_mode_Mon_01590</t>
  </si>
  <si>
    <t>one_mode_Mon_01591</t>
  </si>
  <si>
    <t>one_mode_Mon_01592</t>
  </si>
  <si>
    <t>one_mode_Mon_01593</t>
  </si>
  <si>
    <t>one_mode_Mon_01594</t>
  </si>
  <si>
    <t>one_mode_Mon_01595</t>
  </si>
  <si>
    <t>one_mode_Mon_01596</t>
  </si>
  <si>
    <t>one_mode_Mon_01597</t>
  </si>
  <si>
    <t>one_mode_Mon_01598</t>
  </si>
  <si>
    <t>one_mode_Mon_01599</t>
  </si>
  <si>
    <t>one_mode_Mon_01600</t>
  </si>
  <si>
    <t>one_mode_Mon_01601</t>
  </si>
  <si>
    <t>one_mode_Mon_01602</t>
  </si>
  <si>
    <t>one_mode_Mon_01603</t>
  </si>
  <si>
    <t>one_mode_Mon_01604</t>
  </si>
  <si>
    <t>one_mode_Mon_01605</t>
  </si>
  <si>
    <t>one_mode_Mon_01606</t>
  </si>
  <si>
    <t>one_mode_Mon_01607</t>
  </si>
  <si>
    <t>one_mode_Mon_01608</t>
  </si>
  <si>
    <t>one_mode_Mon_01609</t>
  </si>
  <si>
    <t>one_mode_Mon_01610</t>
  </si>
  <si>
    <t>one_mode_Mon_01611</t>
  </si>
  <si>
    <t>one_mode_Mon_01612</t>
  </si>
  <si>
    <t>one_mode_Mon_01613</t>
  </si>
  <si>
    <t>one_mode_Mon_01614</t>
  </si>
  <si>
    <t>one_mode_Mon_01615</t>
  </si>
  <si>
    <t>one_mode_Mon_01616</t>
  </si>
  <si>
    <t>one_mode_Mon_01617</t>
  </si>
  <si>
    <t>one_mode_Mon_01618</t>
  </si>
  <si>
    <t>one_mode_Mon_01619</t>
  </si>
  <si>
    <t>one_mode_Mon_01620</t>
  </si>
  <si>
    <t>one_mode_Mon_01621</t>
  </si>
  <si>
    <t>one_mode_Mon_01622</t>
  </si>
  <si>
    <t>one_mode_Mon_01623</t>
  </si>
  <si>
    <t>one_mode_Mon_01624</t>
  </si>
  <si>
    <t>one_mode_Mon_01625</t>
  </si>
  <si>
    <t>one_mode_Mon_01626</t>
  </si>
  <si>
    <t>one_mode_Mon_01627</t>
  </si>
  <si>
    <t>one_mode_Mon_01628</t>
  </si>
  <si>
    <t>one_mode_Mon_01629</t>
  </si>
  <si>
    <t>one_mode_Mon_01630</t>
  </si>
  <si>
    <t>one_mode_Mon_01631</t>
  </si>
  <si>
    <t>one_mode_Mon_01632</t>
  </si>
  <si>
    <t>one_mode_Mon_01633</t>
  </si>
  <si>
    <t>one_mode_Mon_01634</t>
  </si>
  <si>
    <t>one_mode_Mon_01635</t>
  </si>
  <si>
    <t>one_mode_Mon_01636</t>
  </si>
  <si>
    <t>one_mode_Mon_01637</t>
  </si>
  <si>
    <t>one_mode_Mon_01638</t>
  </si>
  <si>
    <t>one_mode_Mon_01639</t>
  </si>
  <si>
    <t>one_mode_Mon_01640</t>
  </si>
  <si>
    <t>one_mode_Mon_01641</t>
  </si>
  <si>
    <t>one_mode_Mon_01642</t>
  </si>
  <si>
    <t>one_mode_Mon_01643</t>
  </si>
  <si>
    <t>one_mode_Mon_01644</t>
  </si>
  <si>
    <t>one_mode_Mon_01645</t>
  </si>
  <si>
    <t>one_mode_Mon_01646</t>
  </si>
  <si>
    <t>one_mode_Mon_01647</t>
  </si>
  <si>
    <t>one_mode_Mon_01648</t>
  </si>
  <si>
    <t>one_mode_Mon_01649</t>
  </si>
  <si>
    <t>one_mode_Mon_01650</t>
  </si>
  <si>
    <t>one_mode_Mon_01651</t>
  </si>
  <si>
    <t>one_mode_Mon_01652</t>
  </si>
  <si>
    <t>one_mode_Mon_01653</t>
  </si>
  <si>
    <t>one_mode_Mon_01654</t>
  </si>
  <si>
    <t>one_mode_Mon_01655</t>
  </si>
  <si>
    <t>one_mode_Mon_01656</t>
  </si>
  <si>
    <t>one_mode_Mon_01657</t>
  </si>
  <si>
    <t>one_mode_Mon_01658</t>
  </si>
  <si>
    <t>one_mode_Mon_01659</t>
  </si>
  <si>
    <t>one_mode_Mon_01660</t>
  </si>
  <si>
    <t>one_mode_Mon_01661</t>
  </si>
  <si>
    <t>one_mode_Mon_01662</t>
  </si>
  <si>
    <t>one_mode_Mon_01663</t>
  </si>
  <si>
    <t>one_mode_Mon_01664</t>
  </si>
  <si>
    <t>one_mode_Mon_01665</t>
  </si>
  <si>
    <t>one_mode_Mon_01666</t>
  </si>
  <si>
    <t>one_mode_Mon_01667</t>
  </si>
  <si>
    <t>one_mode_Mon_01668</t>
  </si>
  <si>
    <t>one_mode_Mon_01669</t>
  </si>
  <si>
    <t>one_mode_Mon_01670</t>
  </si>
  <si>
    <t>one_mode_Mon_01671</t>
  </si>
  <si>
    <t>one_mode_Mon_01672</t>
  </si>
  <si>
    <t>one_mode_Mon_01673</t>
  </si>
  <si>
    <t>one_mode_Mon_01674</t>
  </si>
  <si>
    <t>one_mode_Mon_01675</t>
  </si>
  <si>
    <t>one_mode_Mon_01676</t>
  </si>
  <si>
    <t>one_mode_Mon_01677</t>
  </si>
  <si>
    <t>one_mode_Mon_01678</t>
  </si>
  <si>
    <t>one_mode_Mon_01679</t>
  </si>
  <si>
    <t>one_mode_Mon_01680</t>
  </si>
  <si>
    <t>one_mode_Mon_01681</t>
  </si>
  <si>
    <t>one_mode_Mon_01682</t>
  </si>
  <si>
    <t>one_mode_Mon_01683</t>
  </si>
  <si>
    <t>one_mode_Mon_01684</t>
  </si>
  <si>
    <t>one_mode_Mon_01685</t>
  </si>
  <si>
    <t>one_mode_Mon_01686</t>
  </si>
  <si>
    <t>one_mode_Mon_01687</t>
  </si>
  <si>
    <t>one_mode_Mon_01688</t>
  </si>
  <si>
    <t>one_mode_Mon_01689</t>
  </si>
  <si>
    <t>one_mode_Mon_01690</t>
  </si>
  <si>
    <t>one_mode_Mon_01691</t>
  </si>
  <si>
    <t>one_mode_Mon_01692</t>
  </si>
  <si>
    <t>one_mode_Mon_01693</t>
  </si>
  <si>
    <t>one_mode_Mon_01694</t>
  </si>
  <si>
    <t>one_mode_Mon_01695</t>
  </si>
  <si>
    <t>one_mode_Mon_01696</t>
  </si>
  <si>
    <t>one_mode_Mon_01697</t>
  </si>
  <si>
    <t>one_mode_Mon_01698</t>
  </si>
  <si>
    <t>one_mode_Mon_01699</t>
  </si>
  <si>
    <t>one_mode_Mon_01700</t>
  </si>
  <si>
    <t>one_mode_Mon_01701</t>
  </si>
  <si>
    <t>one_mode_Mon_01702</t>
  </si>
  <si>
    <t>one_mode_Mon_01703</t>
  </si>
  <si>
    <t>one_mode_Mon_01704</t>
  </si>
  <si>
    <t>one_mode_Mon_01705</t>
  </si>
  <si>
    <t>one_mode_Mon_01706</t>
  </si>
  <si>
    <t>one_mode_Mon_01707</t>
  </si>
  <si>
    <t>one_mode_Mon_01708</t>
  </si>
  <si>
    <t>one_mode_Mon_01709</t>
  </si>
  <si>
    <t>one_mode_Mon_01710</t>
  </si>
  <si>
    <t>one_mode_Mon_01711</t>
  </si>
  <si>
    <t>one_mode_Mon_01712</t>
  </si>
  <si>
    <t>one_mode_Mon_01713</t>
  </si>
  <si>
    <t>one_mode_Mon_01714</t>
  </si>
  <si>
    <t>one_mode_Mon_01715</t>
  </si>
  <si>
    <t>one_mode_Mon_01716</t>
  </si>
  <si>
    <t>skip_cap</t>
  </si>
  <si>
    <t>=</t>
  </si>
  <si>
    <t>&lt;=</t>
  </si>
  <si>
    <t>Minimise:</t>
  </si>
  <si>
    <t>OBJ</t>
  </si>
  <si>
    <t>Subject to:</t>
  </si>
  <si>
    <t xml:space="preserve">Variable bounds: </t>
  </si>
  <si>
    <t>&gt;=</t>
  </si>
  <si>
    <t xml:space="preserve">Variable type: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</si>
</sst>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2579</xdr:col>
      <xdr:colOff>236299</xdr:colOff>
      <xdr:row>2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AA5E9EE9-036F-CF51-C0FE-20D80A6E2674}"/>
            </a:ext>
          </a:extLst>
        </xdr:cNvPr>
        <xdr:cNvSpPr/>
      </xdr:nvSpPr>
      <xdr:spPr>
        <a:xfrm>
          <a:off x="3459480" y="182880"/>
          <a:ext cx="1905000079" cy="18288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2579</xdr:col>
      <xdr:colOff>236299</xdr:colOff>
      <xdr:row>1</xdr:row>
      <xdr:rowOff>0</xdr:rowOff>
    </xdr:from>
    <xdr:to>
      <xdr:col>3489</xdr:col>
      <xdr:colOff>159</xdr:colOff>
      <xdr:row>2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2505F9DE-6C04-6E8B-584C-2E99C8B58971}"/>
            </a:ext>
          </a:extLst>
        </xdr:cNvPr>
        <xdr:cNvSpPr/>
      </xdr:nvSpPr>
      <xdr:spPr>
        <a:xfrm>
          <a:off x="1908459559" y="182880"/>
          <a:ext cx="672381260" cy="18288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3490</xdr:col>
      <xdr:colOff>0</xdr:colOff>
      <xdr:row>3</xdr:row>
      <xdr:rowOff>0</xdr:rowOff>
    </xdr:from>
    <xdr:to>
      <xdr:col>3491</xdr:col>
      <xdr:colOff>40</xdr:colOff>
      <xdr:row>4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8578AF61-5041-204A-319C-5DCDEC5A3653}"/>
            </a:ext>
          </a:extLst>
        </xdr:cNvPr>
        <xdr:cNvSpPr/>
      </xdr:nvSpPr>
      <xdr:spPr>
        <a:xfrm>
          <a:off x="2581579800" y="548640"/>
          <a:ext cx="739180" cy="1828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3489</xdr:col>
      <xdr:colOff>726440</xdr:colOff>
      <xdr:row>2</xdr:row>
      <xdr:rowOff>104140</xdr:rowOff>
    </xdr:from>
    <xdr:to>
      <xdr:col>3490</xdr:col>
      <xdr:colOff>209412</xdr:colOff>
      <xdr:row>3</xdr:row>
      <xdr:rowOff>48260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483765B8-444A-2E86-1D52-C7E6A7B18079}"/>
            </a:ext>
          </a:extLst>
        </xdr:cNvPr>
        <xdr:cNvSpPr/>
      </xdr:nvSpPr>
      <xdr:spPr>
        <a:xfrm>
          <a:off x="2581567100" y="4699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NZ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3490</xdr:col>
      <xdr:colOff>0</xdr:colOff>
      <xdr:row>5</xdr:row>
      <xdr:rowOff>0</xdr:rowOff>
    </xdr:from>
    <xdr:to>
      <xdr:col>3491</xdr:col>
      <xdr:colOff>40</xdr:colOff>
      <xdr:row>60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D94B7C4C-A8D5-7666-7F9B-E202D930F734}"/>
            </a:ext>
          </a:extLst>
        </xdr:cNvPr>
        <xdr:cNvSpPr/>
      </xdr:nvSpPr>
      <xdr:spPr>
        <a:xfrm>
          <a:off x="2581579800" y="914400"/>
          <a:ext cx="739180" cy="100584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NZ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3492</xdr:col>
      <xdr:colOff>79</xdr:colOff>
      <xdr:row>5</xdr:row>
      <xdr:rowOff>0</xdr:rowOff>
    </xdr:from>
    <xdr:to>
      <xdr:col>3493</xdr:col>
      <xdr:colOff>119</xdr:colOff>
      <xdr:row>60</xdr:row>
      <xdr:rowOff>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7C616736-F493-8173-19F7-4AF8139CDA53}"/>
            </a:ext>
          </a:extLst>
        </xdr:cNvPr>
        <xdr:cNvSpPr/>
      </xdr:nvSpPr>
      <xdr:spPr>
        <a:xfrm>
          <a:off x="2583058159" y="914400"/>
          <a:ext cx="739180" cy="100584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0000FF"/>
              </a:solidFill>
            </a:rPr>
            <a:t>=</a:t>
          </a:r>
        </a:p>
      </xdr:txBody>
    </xdr:sp>
    <xdr:clientData/>
  </xdr:twoCellAnchor>
  <xdr:twoCellAnchor>
    <xdr:from>
      <xdr:col>3491</xdr:col>
      <xdr:colOff>40</xdr:colOff>
      <xdr:row>32</xdr:row>
      <xdr:rowOff>91440</xdr:rowOff>
    </xdr:from>
    <xdr:to>
      <xdr:col>3492</xdr:col>
      <xdr:colOff>79</xdr:colOff>
      <xdr:row>32</xdr:row>
      <xdr:rowOff>91440</xdr:rowOff>
    </xdr:to>
    <xdr:cxnSp macro="">
      <xdr:nvCxnSpPr>
        <xdr:cNvPr id="8" name="OpenSolver7">
          <a:extLst>
            <a:ext uri="{FF2B5EF4-FFF2-40B4-BE49-F238E27FC236}">
              <a16:creationId xmlns:a16="http://schemas.microsoft.com/office/drawing/2014/main" id="{DC358DFA-3FD4-EDE2-FBE8-3E4D4C4D4A1B}"/>
            </a:ext>
          </a:extLst>
        </xdr:cNvPr>
        <xdr:cNvCxnSpPr>
          <a:stCxn id="6" idx="3"/>
          <a:endCxn id="7" idx="1"/>
        </xdr:cNvCxnSpPr>
      </xdr:nvCxnSpPr>
      <xdr:spPr>
        <a:xfrm>
          <a:off x="2582318980" y="5943600"/>
          <a:ext cx="739179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3491</xdr:col>
      <xdr:colOff>179229</xdr:colOff>
      <xdr:row>31</xdr:row>
      <xdr:rowOff>147320</xdr:rowOff>
    </xdr:from>
    <xdr:to>
      <xdr:col>3491</xdr:col>
      <xdr:colOff>560229</xdr:colOff>
      <xdr:row>33</xdr:row>
      <xdr:rowOff>35560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F6DA0CBA-0720-A1A3-DA81-A59FFCFD7216}"/>
            </a:ext>
          </a:extLst>
        </xdr:cNvPr>
        <xdr:cNvSpPr/>
      </xdr:nvSpPr>
      <xdr:spPr>
        <a:xfrm>
          <a:off x="2582498169" y="58166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3490</xdr:col>
      <xdr:colOff>0</xdr:colOff>
      <xdr:row>60</xdr:row>
      <xdr:rowOff>0</xdr:rowOff>
    </xdr:from>
    <xdr:to>
      <xdr:col>3491</xdr:col>
      <xdr:colOff>40</xdr:colOff>
      <xdr:row>685</xdr:row>
      <xdr:rowOff>0</xdr:rowOff>
    </xdr:to>
    <xdr:sp macro="" textlink="">
      <xdr:nvSpPr>
        <xdr:cNvPr id="10" name="OpenSolver9">
          <a:extLst>
            <a:ext uri="{FF2B5EF4-FFF2-40B4-BE49-F238E27FC236}">
              <a16:creationId xmlns:a16="http://schemas.microsoft.com/office/drawing/2014/main" id="{6906D76B-3D89-5A85-A909-EF40DFF2C1D5}"/>
            </a:ext>
          </a:extLst>
        </xdr:cNvPr>
        <xdr:cNvSpPr/>
      </xdr:nvSpPr>
      <xdr:spPr>
        <a:xfrm>
          <a:off x="2581579800" y="10972800"/>
          <a:ext cx="739180" cy="114300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NZ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3490</xdr:col>
      <xdr:colOff>0</xdr:colOff>
      <xdr:row>685</xdr:row>
      <xdr:rowOff>0</xdr:rowOff>
    </xdr:from>
    <xdr:to>
      <xdr:col>3491</xdr:col>
      <xdr:colOff>40</xdr:colOff>
      <xdr:row>1777</xdr:row>
      <xdr:rowOff>182870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10D34566-9960-E3E6-B9AD-D6484AA58698}"/>
            </a:ext>
          </a:extLst>
        </xdr:cNvPr>
        <xdr:cNvSpPr/>
      </xdr:nvSpPr>
      <xdr:spPr>
        <a:xfrm>
          <a:off x="2581579800" y="125272800"/>
          <a:ext cx="739180" cy="19988783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NZ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3492</xdr:col>
      <xdr:colOff>79</xdr:colOff>
      <xdr:row>60</xdr:row>
      <xdr:rowOff>0</xdr:rowOff>
    </xdr:from>
    <xdr:to>
      <xdr:col>3493</xdr:col>
      <xdr:colOff>119</xdr:colOff>
      <xdr:row>685</xdr:row>
      <xdr:rowOff>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555D90F9-93EA-152D-5A44-C5A0F1743A6C}"/>
            </a:ext>
          </a:extLst>
        </xdr:cNvPr>
        <xdr:cNvSpPr/>
      </xdr:nvSpPr>
      <xdr:spPr>
        <a:xfrm>
          <a:off x="2583058159" y="10972800"/>
          <a:ext cx="739180" cy="114300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3492</xdr:col>
      <xdr:colOff>79</xdr:colOff>
      <xdr:row>685</xdr:row>
      <xdr:rowOff>0</xdr:rowOff>
    </xdr:from>
    <xdr:to>
      <xdr:col>3493</xdr:col>
      <xdr:colOff>119</xdr:colOff>
      <xdr:row>1777</xdr:row>
      <xdr:rowOff>182870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E4AAB07C-0387-D8EA-646E-B949B56D653F}"/>
            </a:ext>
          </a:extLst>
        </xdr:cNvPr>
        <xdr:cNvSpPr/>
      </xdr:nvSpPr>
      <xdr:spPr>
        <a:xfrm>
          <a:off x="2583058159" y="125272800"/>
          <a:ext cx="739180" cy="19988783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3491</xdr:col>
      <xdr:colOff>40</xdr:colOff>
      <xdr:row>372</xdr:row>
      <xdr:rowOff>91440</xdr:rowOff>
    </xdr:from>
    <xdr:to>
      <xdr:col>3492</xdr:col>
      <xdr:colOff>79</xdr:colOff>
      <xdr:row>372</xdr:row>
      <xdr:rowOff>91440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457DA4EC-9674-0319-C55A-3E95A6354764}"/>
            </a:ext>
          </a:extLst>
        </xdr:cNvPr>
        <xdr:cNvCxnSpPr>
          <a:stCxn id="10" idx="3"/>
          <a:endCxn id="12" idx="1"/>
        </xdr:cNvCxnSpPr>
      </xdr:nvCxnSpPr>
      <xdr:spPr>
        <a:xfrm>
          <a:off x="2582318980" y="68122800"/>
          <a:ext cx="739179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3491</xdr:col>
      <xdr:colOff>179229</xdr:colOff>
      <xdr:row>371</xdr:row>
      <xdr:rowOff>147320</xdr:rowOff>
    </xdr:from>
    <xdr:to>
      <xdr:col>3491</xdr:col>
      <xdr:colOff>560229</xdr:colOff>
      <xdr:row>373</xdr:row>
      <xdr:rowOff>35560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A9346D4A-350D-8045-9D65-3C3E7BC72A64}"/>
            </a:ext>
          </a:extLst>
        </xdr:cNvPr>
        <xdr:cNvSpPr/>
      </xdr:nvSpPr>
      <xdr:spPr>
        <a:xfrm>
          <a:off x="2582498169" y="679958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2</xdr:col>
      <xdr:colOff>12700</xdr:colOff>
      <xdr:row>1</xdr:row>
      <xdr:rowOff>12700</xdr:rowOff>
    </xdr:from>
    <xdr:to>
      <xdr:col>2579</xdr:col>
      <xdr:colOff>248999</xdr:colOff>
      <xdr:row>2</xdr:row>
      <xdr:rowOff>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C82E239A-8D23-F9C1-8E7C-8BF65C49920C}"/>
            </a:ext>
          </a:extLst>
        </xdr:cNvPr>
        <xdr:cNvSpPr/>
      </xdr:nvSpPr>
      <xdr:spPr>
        <a:xfrm>
          <a:off x="3472180" y="195580"/>
          <a:ext cx="1905000079" cy="17018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2579</xdr:col>
      <xdr:colOff>248999</xdr:colOff>
      <xdr:row>1</xdr:row>
      <xdr:rowOff>12700</xdr:rowOff>
    </xdr:from>
    <xdr:to>
      <xdr:col>3489</xdr:col>
      <xdr:colOff>159</xdr:colOff>
      <xdr:row>2</xdr:row>
      <xdr:rowOff>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2A03688F-5463-8736-C9EA-544E78EDFB3C}"/>
            </a:ext>
          </a:extLst>
        </xdr:cNvPr>
        <xdr:cNvSpPr/>
      </xdr:nvSpPr>
      <xdr:spPr>
        <a:xfrm>
          <a:off x="1908472259" y="195580"/>
          <a:ext cx="672368560" cy="17018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</xdr:col>
      <xdr:colOff>0</xdr:colOff>
      <xdr:row>1778</xdr:row>
      <xdr:rowOff>182875</xdr:rowOff>
    </xdr:from>
    <xdr:to>
      <xdr:col>2579</xdr:col>
      <xdr:colOff>236299</xdr:colOff>
      <xdr:row>1780</xdr:row>
      <xdr:rowOff>0</xdr:rowOff>
    </xdr:to>
    <xdr:sp macro="" textlink="">
      <xdr:nvSpPr>
        <xdr:cNvPr id="18" name="OpenSolver17">
          <a:extLst>
            <a:ext uri="{FF2B5EF4-FFF2-40B4-BE49-F238E27FC236}">
              <a16:creationId xmlns:a16="http://schemas.microsoft.com/office/drawing/2014/main" id="{12B25C29-A780-0CC5-6B1B-99A52E04A408}"/>
            </a:ext>
          </a:extLst>
        </xdr:cNvPr>
        <xdr:cNvSpPr/>
      </xdr:nvSpPr>
      <xdr:spPr>
        <a:xfrm>
          <a:off x="3459480" y="325343515"/>
          <a:ext cx="1905000079" cy="182885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2579</xdr:col>
      <xdr:colOff>236299</xdr:colOff>
      <xdr:row>1778</xdr:row>
      <xdr:rowOff>182875</xdr:rowOff>
    </xdr:from>
    <xdr:to>
      <xdr:col>3489</xdr:col>
      <xdr:colOff>159</xdr:colOff>
      <xdr:row>1780</xdr:row>
      <xdr:rowOff>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9C52DD87-5F0F-7649-4FB3-17EE5C347BEF}"/>
            </a:ext>
          </a:extLst>
        </xdr:cNvPr>
        <xdr:cNvSpPr/>
      </xdr:nvSpPr>
      <xdr:spPr>
        <a:xfrm>
          <a:off x="1908459559" y="325343515"/>
          <a:ext cx="672381260" cy="182885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1290</xdr:col>
      <xdr:colOff>487720</xdr:colOff>
      <xdr:row>2</xdr:row>
      <xdr:rowOff>0</xdr:rowOff>
    </xdr:from>
    <xdr:to>
      <xdr:col>1290</xdr:col>
      <xdr:colOff>500420</xdr:colOff>
      <xdr:row>1778</xdr:row>
      <xdr:rowOff>182875</xdr:rowOff>
    </xdr:to>
    <xdr:cxnSp macro="">
      <xdr:nvCxnSpPr>
        <xdr:cNvPr id="20" name="OpenSolver19">
          <a:extLst>
            <a:ext uri="{FF2B5EF4-FFF2-40B4-BE49-F238E27FC236}">
              <a16:creationId xmlns:a16="http://schemas.microsoft.com/office/drawing/2014/main" id="{88D76339-1BAF-1BB1-DD13-8A7A5D94E947}"/>
            </a:ext>
          </a:extLst>
        </xdr:cNvPr>
        <xdr:cNvCxnSpPr>
          <a:stCxn id="16" idx="2"/>
          <a:endCxn id="18" idx="0"/>
        </xdr:cNvCxnSpPr>
      </xdr:nvCxnSpPr>
      <xdr:spPr>
        <a:xfrm flipH="1">
          <a:off x="955959520" y="365760"/>
          <a:ext cx="12700" cy="324977755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1290</xdr:col>
      <xdr:colOff>303609</xdr:colOff>
      <xdr:row>889</xdr:row>
      <xdr:rowOff>147322</xdr:rowOff>
    </xdr:from>
    <xdr:to>
      <xdr:col>1290</xdr:col>
      <xdr:colOff>684609</xdr:colOff>
      <xdr:row>891</xdr:row>
      <xdr:rowOff>35562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706668D0-7A0A-3760-7933-5EBC027BFB5E}"/>
            </a:ext>
          </a:extLst>
        </xdr:cNvPr>
        <xdr:cNvSpPr/>
      </xdr:nvSpPr>
      <xdr:spPr>
        <a:xfrm>
          <a:off x="955775409" y="162727642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2</xdr:col>
      <xdr:colOff>25400</xdr:colOff>
      <xdr:row>1</xdr:row>
      <xdr:rowOff>25400</xdr:rowOff>
    </xdr:from>
    <xdr:to>
      <xdr:col>2579</xdr:col>
      <xdr:colOff>261699</xdr:colOff>
      <xdr:row>2</xdr:row>
      <xdr:rowOff>0</xdr:rowOff>
    </xdr:to>
    <xdr:sp macro="" textlink="">
      <xdr:nvSpPr>
        <xdr:cNvPr id="22" name="OpenSolver21">
          <a:extLst>
            <a:ext uri="{FF2B5EF4-FFF2-40B4-BE49-F238E27FC236}">
              <a16:creationId xmlns:a16="http://schemas.microsoft.com/office/drawing/2014/main" id="{551678CA-3808-3674-390D-C58D3EEC7B11}"/>
            </a:ext>
          </a:extLst>
        </xdr:cNvPr>
        <xdr:cNvSpPr/>
      </xdr:nvSpPr>
      <xdr:spPr>
        <a:xfrm>
          <a:off x="3484880" y="208280"/>
          <a:ext cx="1905000079" cy="15748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2579</xdr:col>
      <xdr:colOff>261699</xdr:colOff>
      <xdr:row>1</xdr:row>
      <xdr:rowOff>25400</xdr:rowOff>
    </xdr:from>
    <xdr:to>
      <xdr:col>3489</xdr:col>
      <xdr:colOff>159</xdr:colOff>
      <xdr:row>2</xdr:row>
      <xdr:rowOff>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F6DB9C89-6477-817B-D3B2-9C291995673E}"/>
            </a:ext>
          </a:extLst>
        </xdr:cNvPr>
        <xdr:cNvSpPr/>
      </xdr:nvSpPr>
      <xdr:spPr>
        <a:xfrm>
          <a:off x="1908484959" y="208280"/>
          <a:ext cx="672355860" cy="15748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</xdr:col>
      <xdr:colOff>0</xdr:colOff>
      <xdr:row>1780</xdr:row>
      <xdr:rowOff>0</xdr:rowOff>
    </xdr:from>
    <xdr:to>
      <xdr:col>2579</xdr:col>
      <xdr:colOff>236299</xdr:colOff>
      <xdr:row>1781</xdr:row>
      <xdr:rowOff>5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DB4B3976-0ACB-F936-C333-3B2AF6FF4B38}"/>
            </a:ext>
          </a:extLst>
        </xdr:cNvPr>
        <xdr:cNvSpPr/>
      </xdr:nvSpPr>
      <xdr:spPr>
        <a:xfrm>
          <a:off x="3459480" y="325526400"/>
          <a:ext cx="1905000079" cy="182885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2579</xdr:col>
      <xdr:colOff>236299</xdr:colOff>
      <xdr:row>1780</xdr:row>
      <xdr:rowOff>0</xdr:rowOff>
    </xdr:from>
    <xdr:to>
      <xdr:col>3489</xdr:col>
      <xdr:colOff>159</xdr:colOff>
      <xdr:row>1781</xdr:row>
      <xdr:rowOff>5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D2657380-86A1-AE87-C00E-FC0DA920D5F0}"/>
            </a:ext>
          </a:extLst>
        </xdr:cNvPr>
        <xdr:cNvSpPr/>
      </xdr:nvSpPr>
      <xdr:spPr>
        <a:xfrm>
          <a:off x="1908459559" y="325526400"/>
          <a:ext cx="672381260" cy="182885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NZ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1290</xdr:col>
      <xdr:colOff>487720</xdr:colOff>
      <xdr:row>2</xdr:row>
      <xdr:rowOff>0</xdr:rowOff>
    </xdr:from>
    <xdr:to>
      <xdr:col>1290</xdr:col>
      <xdr:colOff>513120</xdr:colOff>
      <xdr:row>1780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9931E41D-C8C4-1BED-61F0-CDA21EE0BD6D}"/>
            </a:ext>
          </a:extLst>
        </xdr:cNvPr>
        <xdr:cNvCxnSpPr>
          <a:stCxn id="22" idx="2"/>
          <a:endCxn id="24" idx="0"/>
        </xdr:cNvCxnSpPr>
      </xdr:nvCxnSpPr>
      <xdr:spPr>
        <a:xfrm flipH="1">
          <a:off x="955959520" y="365760"/>
          <a:ext cx="25400" cy="32516064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1290</xdr:col>
      <xdr:colOff>309959</xdr:colOff>
      <xdr:row>890</xdr:row>
      <xdr:rowOff>55873</xdr:rowOff>
    </xdr:from>
    <xdr:to>
      <xdr:col>1290</xdr:col>
      <xdr:colOff>690959</xdr:colOff>
      <xdr:row>891</xdr:row>
      <xdr:rowOff>126993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6B4003CE-B044-E4E7-B0D4-D4470530E688}"/>
            </a:ext>
          </a:extLst>
        </xdr:cNvPr>
        <xdr:cNvSpPr/>
      </xdr:nvSpPr>
      <xdr:spPr>
        <a:xfrm>
          <a:off x="955781759" y="162819073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2</xdr:col>
      <xdr:colOff>38100</xdr:colOff>
      <xdr:row>1</xdr:row>
      <xdr:rowOff>38100</xdr:rowOff>
    </xdr:from>
    <xdr:to>
      <xdr:col>2579</xdr:col>
      <xdr:colOff>274399</xdr:colOff>
      <xdr:row>2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F7C88117-5769-A168-1CAA-C640D7C80432}"/>
            </a:ext>
          </a:extLst>
        </xdr:cNvPr>
        <xdr:cNvSpPr/>
      </xdr:nvSpPr>
      <xdr:spPr>
        <a:xfrm>
          <a:off x="3497580" y="220980"/>
          <a:ext cx="1905000079" cy="1447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2579</xdr:col>
      <xdr:colOff>274399</xdr:colOff>
      <xdr:row>1</xdr:row>
      <xdr:rowOff>38100</xdr:rowOff>
    </xdr:from>
    <xdr:to>
      <xdr:col>3489</xdr:col>
      <xdr:colOff>159</xdr:colOff>
      <xdr:row>2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C583D092-5455-E74A-5E3C-F154415838B8}"/>
            </a:ext>
          </a:extLst>
        </xdr:cNvPr>
        <xdr:cNvSpPr/>
      </xdr:nvSpPr>
      <xdr:spPr>
        <a:xfrm>
          <a:off x="1908497659" y="220980"/>
          <a:ext cx="672343160" cy="1447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NZ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20320</xdr:colOff>
      <xdr:row>0</xdr:row>
      <xdr:rowOff>139700</xdr:rowOff>
    </xdr:from>
    <xdr:to>
      <xdr:col>2</xdr:col>
      <xdr:colOff>329251</xdr:colOff>
      <xdr:row>1</xdr:row>
      <xdr:rowOff>83820</xdr:rowOff>
    </xdr:to>
    <xdr:sp macro="" textlink="">
      <xdr:nvSpPr>
        <xdr:cNvPr id="30" name="OpenSolver29">
          <a:extLst>
            <a:ext uri="{FF2B5EF4-FFF2-40B4-BE49-F238E27FC236}">
              <a16:creationId xmlns:a16="http://schemas.microsoft.com/office/drawing/2014/main" id="{2B844136-1DD6-5AC7-D85C-9709A03CD82E}"/>
            </a:ext>
          </a:extLst>
        </xdr:cNvPr>
        <xdr:cNvSpPr/>
      </xdr:nvSpPr>
      <xdr:spPr>
        <a:xfrm>
          <a:off x="3479800" y="139700"/>
          <a:ext cx="308931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NZ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1312-4927-418C-89A7-DFEE79C313A4}">
  <sheetPr codeName="Sheet1"/>
  <dimension ref="A1:EDI1782"/>
  <sheetViews>
    <sheetView tabSelected="1" topLeftCell="EDB1" zoomScale="147" workbookViewId="0">
      <selection activeCell="EDG4" sqref="EDG4"/>
    </sheetView>
  </sheetViews>
  <sheetFormatPr defaultColWidth="10.77734375" defaultRowHeight="14.4" x14ac:dyDescent="0.3"/>
  <cols>
    <col min="1" max="1" width="14.88671875" style="2" bestFit="1" customWidth="1"/>
    <col min="2" max="2" width="35.5546875" bestFit="1" customWidth="1"/>
  </cols>
  <sheetData>
    <row r="1" spans="1:3493" s="2" customFormat="1" x14ac:dyDescent="0.3">
      <c r="A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139</v>
      </c>
      <c r="EJ1" s="2" t="s">
        <v>140</v>
      </c>
      <c r="EK1" s="2" t="s">
        <v>141</v>
      </c>
      <c r="EL1" s="2" t="s">
        <v>142</v>
      </c>
      <c r="EM1" s="2" t="s">
        <v>143</v>
      </c>
      <c r="EN1" s="2" t="s">
        <v>144</v>
      </c>
      <c r="EO1" s="2" t="s">
        <v>145</v>
      </c>
      <c r="EP1" s="2" t="s">
        <v>146</v>
      </c>
      <c r="EQ1" s="2" t="s">
        <v>147</v>
      </c>
      <c r="ER1" s="2" t="s">
        <v>148</v>
      </c>
      <c r="ES1" s="2" t="s">
        <v>149</v>
      </c>
      <c r="ET1" s="2" t="s">
        <v>150</v>
      </c>
      <c r="EU1" s="2" t="s">
        <v>151</v>
      </c>
      <c r="EV1" s="2" t="s">
        <v>152</v>
      </c>
      <c r="EW1" s="2" t="s">
        <v>153</v>
      </c>
      <c r="EX1" s="2" t="s">
        <v>154</v>
      </c>
      <c r="EY1" s="2" t="s">
        <v>155</v>
      </c>
      <c r="EZ1" s="2" t="s">
        <v>156</v>
      </c>
      <c r="FA1" s="2" t="s">
        <v>157</v>
      </c>
      <c r="FB1" s="2" t="s">
        <v>158</v>
      </c>
      <c r="FC1" s="2" t="s">
        <v>159</v>
      </c>
      <c r="FD1" s="2" t="s">
        <v>160</v>
      </c>
      <c r="FE1" s="2" t="s">
        <v>161</v>
      </c>
      <c r="FF1" s="2" t="s">
        <v>162</v>
      </c>
      <c r="FG1" s="2" t="s">
        <v>163</v>
      </c>
      <c r="FH1" s="2" t="s">
        <v>164</v>
      </c>
      <c r="FI1" s="2" t="s">
        <v>165</v>
      </c>
      <c r="FJ1" s="2" t="s">
        <v>166</v>
      </c>
      <c r="FK1" s="2" t="s">
        <v>167</v>
      </c>
      <c r="FL1" s="2" t="s">
        <v>168</v>
      </c>
      <c r="FM1" s="2" t="s">
        <v>169</v>
      </c>
      <c r="FN1" s="2" t="s">
        <v>170</v>
      </c>
      <c r="FO1" s="2" t="s">
        <v>171</v>
      </c>
      <c r="FP1" s="2" t="s">
        <v>172</v>
      </c>
      <c r="FQ1" s="2" t="s">
        <v>173</v>
      </c>
      <c r="FR1" s="2" t="s">
        <v>174</v>
      </c>
      <c r="FS1" s="2" t="s">
        <v>175</v>
      </c>
      <c r="FT1" s="2" t="s">
        <v>176</v>
      </c>
      <c r="FU1" s="2" t="s">
        <v>177</v>
      </c>
      <c r="FV1" s="2" t="s">
        <v>178</v>
      </c>
      <c r="FW1" s="2" t="s">
        <v>179</v>
      </c>
      <c r="FX1" s="2" t="s">
        <v>180</v>
      </c>
      <c r="FY1" s="2" t="s">
        <v>181</v>
      </c>
      <c r="FZ1" s="2" t="s">
        <v>182</v>
      </c>
      <c r="GA1" s="2" t="s">
        <v>183</v>
      </c>
      <c r="GB1" s="2" t="s">
        <v>184</v>
      </c>
      <c r="GC1" s="2" t="s">
        <v>185</v>
      </c>
      <c r="GD1" s="2" t="s">
        <v>186</v>
      </c>
      <c r="GE1" s="2" t="s">
        <v>187</v>
      </c>
      <c r="GF1" s="2" t="s">
        <v>188</v>
      </c>
      <c r="GG1" s="2" t="s">
        <v>189</v>
      </c>
      <c r="GH1" s="2" t="s">
        <v>190</v>
      </c>
      <c r="GI1" s="2" t="s">
        <v>191</v>
      </c>
      <c r="GJ1" s="2" t="s">
        <v>192</v>
      </c>
      <c r="GK1" s="2" t="s">
        <v>193</v>
      </c>
      <c r="GL1" s="2" t="s">
        <v>194</v>
      </c>
      <c r="GM1" s="2" t="s">
        <v>195</v>
      </c>
      <c r="GN1" s="2" t="s">
        <v>196</v>
      </c>
      <c r="GO1" s="2" t="s">
        <v>197</v>
      </c>
      <c r="GP1" s="2" t="s">
        <v>198</v>
      </c>
      <c r="GQ1" s="2" t="s">
        <v>199</v>
      </c>
      <c r="GR1" s="2" t="s">
        <v>200</v>
      </c>
      <c r="GS1" s="2" t="s">
        <v>201</v>
      </c>
      <c r="GT1" s="2" t="s">
        <v>202</v>
      </c>
      <c r="GU1" s="2" t="s">
        <v>203</v>
      </c>
      <c r="GV1" s="2" t="s">
        <v>204</v>
      </c>
      <c r="GW1" s="2" t="s">
        <v>205</v>
      </c>
      <c r="GX1" s="2" t="s">
        <v>206</v>
      </c>
      <c r="GY1" s="2" t="s">
        <v>207</v>
      </c>
      <c r="GZ1" s="2" t="s">
        <v>208</v>
      </c>
      <c r="HA1" s="2" t="s">
        <v>209</v>
      </c>
      <c r="HB1" s="2" t="s">
        <v>210</v>
      </c>
      <c r="HC1" s="2" t="s">
        <v>211</v>
      </c>
      <c r="HD1" s="2" t="s">
        <v>212</v>
      </c>
      <c r="HE1" s="2" t="s">
        <v>213</v>
      </c>
      <c r="HF1" s="2" t="s">
        <v>214</v>
      </c>
      <c r="HG1" s="2" t="s">
        <v>215</v>
      </c>
      <c r="HH1" s="2" t="s">
        <v>216</v>
      </c>
      <c r="HI1" s="2" t="s">
        <v>217</v>
      </c>
      <c r="HJ1" s="2" t="s">
        <v>218</v>
      </c>
      <c r="HK1" s="2" t="s">
        <v>219</v>
      </c>
      <c r="HL1" s="2" t="s">
        <v>220</v>
      </c>
      <c r="HM1" s="2" t="s">
        <v>221</v>
      </c>
      <c r="HN1" s="2" t="s">
        <v>222</v>
      </c>
      <c r="HO1" s="2" t="s">
        <v>223</v>
      </c>
      <c r="HP1" s="2" t="s">
        <v>224</v>
      </c>
      <c r="HQ1" s="2" t="s">
        <v>225</v>
      </c>
      <c r="HR1" s="2" t="s">
        <v>226</v>
      </c>
      <c r="HS1" s="2" t="s">
        <v>227</v>
      </c>
      <c r="HT1" s="2" t="s">
        <v>228</v>
      </c>
      <c r="HU1" s="2" t="s">
        <v>229</v>
      </c>
      <c r="HV1" s="2" t="s">
        <v>230</v>
      </c>
      <c r="HW1" s="2" t="s">
        <v>231</v>
      </c>
      <c r="HX1" s="2" t="s">
        <v>232</v>
      </c>
      <c r="HY1" s="2" t="s">
        <v>233</v>
      </c>
      <c r="HZ1" s="2" t="s">
        <v>234</v>
      </c>
      <c r="IA1" s="2" t="s">
        <v>235</v>
      </c>
      <c r="IB1" s="2" t="s">
        <v>236</v>
      </c>
      <c r="IC1" s="2" t="s">
        <v>237</v>
      </c>
      <c r="ID1" s="2" t="s">
        <v>238</v>
      </c>
      <c r="IE1" s="2" t="s">
        <v>239</v>
      </c>
      <c r="IF1" s="2" t="s">
        <v>240</v>
      </c>
      <c r="IG1" s="2" t="s">
        <v>241</v>
      </c>
      <c r="IH1" s="2" t="s">
        <v>242</v>
      </c>
      <c r="II1" s="2" t="s">
        <v>243</v>
      </c>
      <c r="IJ1" s="2" t="s">
        <v>244</v>
      </c>
      <c r="IK1" s="2" t="s">
        <v>245</v>
      </c>
      <c r="IL1" s="2" t="s">
        <v>246</v>
      </c>
      <c r="IM1" s="2" t="s">
        <v>247</v>
      </c>
      <c r="IN1" s="2" t="s">
        <v>248</v>
      </c>
      <c r="IO1" s="2" t="s">
        <v>249</v>
      </c>
      <c r="IP1" s="2" t="s">
        <v>250</v>
      </c>
      <c r="IQ1" s="2" t="s">
        <v>251</v>
      </c>
      <c r="IR1" s="2" t="s">
        <v>252</v>
      </c>
      <c r="IS1" s="2" t="s">
        <v>253</v>
      </c>
      <c r="IT1" s="2" t="s">
        <v>254</v>
      </c>
      <c r="IU1" s="2" t="s">
        <v>255</v>
      </c>
      <c r="IV1" s="2" t="s">
        <v>256</v>
      </c>
      <c r="IW1" s="2" t="s">
        <v>257</v>
      </c>
      <c r="IX1" s="2" t="s">
        <v>258</v>
      </c>
      <c r="IY1" s="2" t="s">
        <v>259</v>
      </c>
      <c r="IZ1" s="2" t="s">
        <v>260</v>
      </c>
      <c r="JA1" s="2" t="s">
        <v>261</v>
      </c>
      <c r="JB1" s="2" t="s">
        <v>262</v>
      </c>
      <c r="JC1" s="2" t="s">
        <v>263</v>
      </c>
      <c r="JD1" s="2" t="s">
        <v>264</v>
      </c>
      <c r="JE1" s="2" t="s">
        <v>265</v>
      </c>
      <c r="JF1" s="2" t="s">
        <v>266</v>
      </c>
      <c r="JG1" s="2" t="s">
        <v>267</v>
      </c>
      <c r="JH1" s="2" t="s">
        <v>268</v>
      </c>
      <c r="JI1" s="2" t="s">
        <v>269</v>
      </c>
      <c r="JJ1" s="2" t="s">
        <v>270</v>
      </c>
      <c r="JK1" s="2" t="s">
        <v>271</v>
      </c>
      <c r="JL1" s="2" t="s">
        <v>272</v>
      </c>
      <c r="JM1" s="2" t="s">
        <v>273</v>
      </c>
      <c r="JN1" s="2" t="s">
        <v>274</v>
      </c>
      <c r="JO1" s="2" t="s">
        <v>275</v>
      </c>
      <c r="JP1" s="2" t="s">
        <v>276</v>
      </c>
      <c r="JQ1" s="2" t="s">
        <v>277</v>
      </c>
      <c r="JR1" s="2" t="s">
        <v>278</v>
      </c>
      <c r="JS1" s="2" t="s">
        <v>279</v>
      </c>
      <c r="JT1" s="2" t="s">
        <v>280</v>
      </c>
      <c r="JU1" s="2" t="s">
        <v>281</v>
      </c>
      <c r="JV1" s="2" t="s">
        <v>282</v>
      </c>
      <c r="JW1" s="2" t="s">
        <v>283</v>
      </c>
      <c r="JX1" s="2" t="s">
        <v>284</v>
      </c>
      <c r="JY1" s="2" t="s">
        <v>285</v>
      </c>
      <c r="JZ1" s="2" t="s">
        <v>286</v>
      </c>
      <c r="KA1" s="2" t="s">
        <v>287</v>
      </c>
      <c r="KB1" s="2" t="s">
        <v>288</v>
      </c>
      <c r="KC1" s="2" t="s">
        <v>289</v>
      </c>
      <c r="KD1" s="2" t="s">
        <v>290</v>
      </c>
      <c r="KE1" s="2" t="s">
        <v>291</v>
      </c>
      <c r="KF1" s="2" t="s">
        <v>292</v>
      </c>
      <c r="KG1" s="2" t="s">
        <v>293</v>
      </c>
      <c r="KH1" s="2" t="s">
        <v>294</v>
      </c>
      <c r="KI1" s="2" t="s">
        <v>295</v>
      </c>
      <c r="KJ1" s="2" t="s">
        <v>296</v>
      </c>
      <c r="KK1" s="2" t="s">
        <v>297</v>
      </c>
      <c r="KL1" s="2" t="s">
        <v>298</v>
      </c>
      <c r="KM1" s="2" t="s">
        <v>299</v>
      </c>
      <c r="KN1" s="2" t="s">
        <v>300</v>
      </c>
      <c r="KO1" s="2" t="s">
        <v>301</v>
      </c>
      <c r="KP1" s="2" t="s">
        <v>302</v>
      </c>
      <c r="KQ1" s="2" t="s">
        <v>303</v>
      </c>
      <c r="KR1" s="2" t="s">
        <v>304</v>
      </c>
      <c r="KS1" s="2" t="s">
        <v>305</v>
      </c>
      <c r="KT1" s="2" t="s">
        <v>306</v>
      </c>
      <c r="KU1" s="2" t="s">
        <v>307</v>
      </c>
      <c r="KV1" s="2" t="s">
        <v>308</v>
      </c>
      <c r="KW1" s="2" t="s">
        <v>309</v>
      </c>
      <c r="KX1" s="2" t="s">
        <v>310</v>
      </c>
      <c r="KY1" s="2" t="s">
        <v>311</v>
      </c>
      <c r="KZ1" s="2" t="s">
        <v>312</v>
      </c>
      <c r="LA1" s="2" t="s">
        <v>313</v>
      </c>
      <c r="LB1" s="2" t="s">
        <v>314</v>
      </c>
      <c r="LC1" s="2" t="s">
        <v>315</v>
      </c>
      <c r="LD1" s="2" t="s">
        <v>316</v>
      </c>
      <c r="LE1" s="2" t="s">
        <v>317</v>
      </c>
      <c r="LF1" s="2" t="s">
        <v>318</v>
      </c>
      <c r="LG1" s="2" t="s">
        <v>319</v>
      </c>
      <c r="LH1" s="2" t="s">
        <v>320</v>
      </c>
      <c r="LI1" s="2" t="s">
        <v>321</v>
      </c>
      <c r="LJ1" s="2" t="s">
        <v>322</v>
      </c>
      <c r="LK1" s="2" t="s">
        <v>323</v>
      </c>
      <c r="LL1" s="2" t="s">
        <v>324</v>
      </c>
      <c r="LM1" s="2" t="s">
        <v>325</v>
      </c>
      <c r="LN1" s="2" t="s">
        <v>326</v>
      </c>
      <c r="LO1" s="2" t="s">
        <v>327</v>
      </c>
      <c r="LP1" s="2" t="s">
        <v>328</v>
      </c>
      <c r="LQ1" s="2" t="s">
        <v>329</v>
      </c>
      <c r="LR1" s="2" t="s">
        <v>330</v>
      </c>
      <c r="LS1" s="2" t="s">
        <v>331</v>
      </c>
      <c r="LT1" s="2" t="s">
        <v>332</v>
      </c>
      <c r="LU1" s="2" t="s">
        <v>333</v>
      </c>
      <c r="LV1" s="2" t="s">
        <v>334</v>
      </c>
      <c r="LW1" s="2" t="s">
        <v>335</v>
      </c>
      <c r="LX1" s="2" t="s">
        <v>336</v>
      </c>
      <c r="LY1" s="2" t="s">
        <v>337</v>
      </c>
      <c r="LZ1" s="2" t="s">
        <v>338</v>
      </c>
      <c r="MA1" s="2" t="s">
        <v>339</v>
      </c>
      <c r="MB1" s="2" t="s">
        <v>340</v>
      </c>
      <c r="MC1" s="2" t="s">
        <v>341</v>
      </c>
      <c r="MD1" s="2" t="s">
        <v>342</v>
      </c>
      <c r="ME1" s="2" t="s">
        <v>343</v>
      </c>
      <c r="MF1" s="2" t="s">
        <v>344</v>
      </c>
      <c r="MG1" s="2" t="s">
        <v>345</v>
      </c>
      <c r="MH1" s="2" t="s">
        <v>346</v>
      </c>
      <c r="MI1" s="2" t="s">
        <v>347</v>
      </c>
      <c r="MJ1" s="2" t="s">
        <v>348</v>
      </c>
      <c r="MK1" s="2" t="s">
        <v>349</v>
      </c>
      <c r="ML1" s="2" t="s">
        <v>350</v>
      </c>
      <c r="MM1" s="2" t="s">
        <v>351</v>
      </c>
      <c r="MN1" s="2" t="s">
        <v>352</v>
      </c>
      <c r="MO1" s="2" t="s">
        <v>353</v>
      </c>
      <c r="MP1" s="2" t="s">
        <v>354</v>
      </c>
      <c r="MQ1" s="2" t="s">
        <v>355</v>
      </c>
      <c r="MR1" s="2" t="s">
        <v>356</v>
      </c>
      <c r="MS1" s="2" t="s">
        <v>357</v>
      </c>
      <c r="MT1" s="2" t="s">
        <v>358</v>
      </c>
      <c r="MU1" s="2" t="s">
        <v>359</v>
      </c>
      <c r="MV1" s="2" t="s">
        <v>360</v>
      </c>
      <c r="MW1" s="2" t="s">
        <v>361</v>
      </c>
      <c r="MX1" s="2" t="s">
        <v>362</v>
      </c>
      <c r="MY1" s="2" t="s">
        <v>363</v>
      </c>
      <c r="MZ1" s="2" t="s">
        <v>364</v>
      </c>
      <c r="NA1" s="2" t="s">
        <v>365</v>
      </c>
      <c r="NB1" s="2" t="s">
        <v>366</v>
      </c>
      <c r="NC1" s="2" t="s">
        <v>367</v>
      </c>
      <c r="ND1" s="2" t="s">
        <v>368</v>
      </c>
      <c r="NE1" s="2" t="s">
        <v>369</v>
      </c>
      <c r="NF1" s="2" t="s">
        <v>370</v>
      </c>
      <c r="NG1" s="2" t="s">
        <v>371</v>
      </c>
      <c r="NH1" s="2" t="s">
        <v>372</v>
      </c>
      <c r="NI1" s="2" t="s">
        <v>373</v>
      </c>
      <c r="NJ1" s="2" t="s">
        <v>374</v>
      </c>
      <c r="NK1" s="2" t="s">
        <v>375</v>
      </c>
      <c r="NL1" s="2" t="s">
        <v>376</v>
      </c>
      <c r="NM1" s="2" t="s">
        <v>377</v>
      </c>
      <c r="NN1" s="2" t="s">
        <v>378</v>
      </c>
      <c r="NO1" s="2" t="s">
        <v>379</v>
      </c>
      <c r="NP1" s="2" t="s">
        <v>380</v>
      </c>
      <c r="NQ1" s="2" t="s">
        <v>381</v>
      </c>
      <c r="NR1" s="2" t="s">
        <v>382</v>
      </c>
      <c r="NS1" s="2" t="s">
        <v>383</v>
      </c>
      <c r="NT1" s="2" t="s">
        <v>384</v>
      </c>
      <c r="NU1" s="2" t="s">
        <v>385</v>
      </c>
      <c r="NV1" s="2" t="s">
        <v>386</v>
      </c>
      <c r="NW1" s="2" t="s">
        <v>387</v>
      </c>
      <c r="NX1" s="2" t="s">
        <v>388</v>
      </c>
      <c r="NY1" s="2" t="s">
        <v>389</v>
      </c>
      <c r="NZ1" s="2" t="s">
        <v>390</v>
      </c>
      <c r="OA1" s="2" t="s">
        <v>391</v>
      </c>
      <c r="OB1" s="2" t="s">
        <v>392</v>
      </c>
      <c r="OC1" s="2" t="s">
        <v>393</v>
      </c>
      <c r="OD1" s="2" t="s">
        <v>394</v>
      </c>
      <c r="OE1" s="2" t="s">
        <v>395</v>
      </c>
      <c r="OF1" s="2" t="s">
        <v>396</v>
      </c>
      <c r="OG1" s="2" t="s">
        <v>397</v>
      </c>
      <c r="OH1" s="2" t="s">
        <v>398</v>
      </c>
      <c r="OI1" s="2" t="s">
        <v>399</v>
      </c>
      <c r="OJ1" s="2" t="s">
        <v>400</v>
      </c>
      <c r="OK1" s="2" t="s">
        <v>401</v>
      </c>
      <c r="OL1" s="2" t="s">
        <v>402</v>
      </c>
      <c r="OM1" s="2" t="s">
        <v>403</v>
      </c>
      <c r="ON1" s="2" t="s">
        <v>404</v>
      </c>
      <c r="OO1" s="2" t="s">
        <v>405</v>
      </c>
      <c r="OP1" s="2" t="s">
        <v>406</v>
      </c>
      <c r="OQ1" s="2" t="s">
        <v>407</v>
      </c>
      <c r="OR1" s="2" t="s">
        <v>408</v>
      </c>
      <c r="OS1" s="2" t="s">
        <v>409</v>
      </c>
      <c r="OT1" s="2" t="s">
        <v>410</v>
      </c>
      <c r="OU1" s="2" t="s">
        <v>411</v>
      </c>
      <c r="OV1" s="2" t="s">
        <v>412</v>
      </c>
      <c r="OW1" s="2" t="s">
        <v>413</v>
      </c>
      <c r="OX1" s="2" t="s">
        <v>414</v>
      </c>
      <c r="OY1" s="2" t="s">
        <v>415</v>
      </c>
      <c r="OZ1" s="2" t="s">
        <v>416</v>
      </c>
      <c r="PA1" s="2" t="s">
        <v>417</v>
      </c>
      <c r="PB1" s="2" t="s">
        <v>418</v>
      </c>
      <c r="PC1" s="2" t="s">
        <v>419</v>
      </c>
      <c r="PD1" s="2" t="s">
        <v>420</v>
      </c>
      <c r="PE1" s="2" t="s">
        <v>421</v>
      </c>
      <c r="PF1" s="2" t="s">
        <v>422</v>
      </c>
      <c r="PG1" s="2" t="s">
        <v>423</v>
      </c>
      <c r="PH1" s="2" t="s">
        <v>424</v>
      </c>
      <c r="PI1" s="2" t="s">
        <v>425</v>
      </c>
      <c r="PJ1" s="2" t="s">
        <v>426</v>
      </c>
      <c r="PK1" s="2" t="s">
        <v>427</v>
      </c>
      <c r="PL1" s="2" t="s">
        <v>428</v>
      </c>
      <c r="PM1" s="2" t="s">
        <v>429</v>
      </c>
      <c r="PN1" s="2" t="s">
        <v>430</v>
      </c>
      <c r="PO1" s="2" t="s">
        <v>431</v>
      </c>
      <c r="PP1" s="2" t="s">
        <v>432</v>
      </c>
      <c r="PQ1" s="2" t="s">
        <v>433</v>
      </c>
      <c r="PR1" s="2" t="s">
        <v>434</v>
      </c>
      <c r="PS1" s="2" t="s">
        <v>435</v>
      </c>
      <c r="PT1" s="2" t="s">
        <v>436</v>
      </c>
      <c r="PU1" s="2" t="s">
        <v>437</v>
      </c>
      <c r="PV1" s="2" t="s">
        <v>438</v>
      </c>
      <c r="PW1" s="2" t="s">
        <v>439</v>
      </c>
      <c r="PX1" s="2" t="s">
        <v>440</v>
      </c>
      <c r="PY1" s="2" t="s">
        <v>441</v>
      </c>
      <c r="PZ1" s="2" t="s">
        <v>442</v>
      </c>
      <c r="QA1" s="2" t="s">
        <v>443</v>
      </c>
      <c r="QB1" s="2" t="s">
        <v>444</v>
      </c>
      <c r="QC1" s="2" t="s">
        <v>445</v>
      </c>
      <c r="QD1" s="2" t="s">
        <v>446</v>
      </c>
      <c r="QE1" s="2" t="s">
        <v>447</v>
      </c>
      <c r="QF1" s="2" t="s">
        <v>448</v>
      </c>
      <c r="QG1" s="2" t="s">
        <v>449</v>
      </c>
      <c r="QH1" s="2" t="s">
        <v>450</v>
      </c>
      <c r="QI1" s="2" t="s">
        <v>451</v>
      </c>
      <c r="QJ1" s="2" t="s">
        <v>452</v>
      </c>
      <c r="QK1" s="2" t="s">
        <v>453</v>
      </c>
      <c r="QL1" s="2" t="s">
        <v>454</v>
      </c>
      <c r="QM1" s="2" t="s">
        <v>455</v>
      </c>
      <c r="QN1" s="2" t="s">
        <v>456</v>
      </c>
      <c r="QO1" s="2" t="s">
        <v>457</v>
      </c>
      <c r="QP1" s="2" t="s">
        <v>458</v>
      </c>
      <c r="QQ1" s="2" t="s">
        <v>459</v>
      </c>
      <c r="QR1" s="2" t="s">
        <v>460</v>
      </c>
      <c r="QS1" s="2" t="s">
        <v>461</v>
      </c>
      <c r="QT1" s="2" t="s">
        <v>462</v>
      </c>
      <c r="QU1" s="2" t="s">
        <v>463</v>
      </c>
      <c r="QV1" s="2" t="s">
        <v>464</v>
      </c>
      <c r="QW1" s="2" t="s">
        <v>465</v>
      </c>
      <c r="QX1" s="2" t="s">
        <v>466</v>
      </c>
      <c r="QY1" s="2" t="s">
        <v>467</v>
      </c>
      <c r="QZ1" s="2" t="s">
        <v>468</v>
      </c>
      <c r="RA1" s="2" t="s">
        <v>469</v>
      </c>
      <c r="RB1" s="2" t="s">
        <v>470</v>
      </c>
      <c r="RC1" s="2" t="s">
        <v>471</v>
      </c>
      <c r="RD1" s="2" t="s">
        <v>472</v>
      </c>
      <c r="RE1" s="2" t="s">
        <v>473</v>
      </c>
      <c r="RF1" s="2" t="s">
        <v>474</v>
      </c>
      <c r="RG1" s="2" t="s">
        <v>475</v>
      </c>
      <c r="RH1" s="2" t="s">
        <v>476</v>
      </c>
      <c r="RI1" s="2" t="s">
        <v>477</v>
      </c>
      <c r="RJ1" s="2" t="s">
        <v>478</v>
      </c>
      <c r="RK1" s="2" t="s">
        <v>479</v>
      </c>
      <c r="RL1" s="2" t="s">
        <v>480</v>
      </c>
      <c r="RM1" s="2" t="s">
        <v>481</v>
      </c>
      <c r="RN1" s="2" t="s">
        <v>482</v>
      </c>
      <c r="RO1" s="2" t="s">
        <v>483</v>
      </c>
      <c r="RP1" s="2" t="s">
        <v>484</v>
      </c>
      <c r="RQ1" s="2" t="s">
        <v>485</v>
      </c>
      <c r="RR1" s="2" t="s">
        <v>486</v>
      </c>
      <c r="RS1" s="2" t="s">
        <v>487</v>
      </c>
      <c r="RT1" s="2" t="s">
        <v>488</v>
      </c>
      <c r="RU1" s="2" t="s">
        <v>489</v>
      </c>
      <c r="RV1" s="2" t="s">
        <v>490</v>
      </c>
      <c r="RW1" s="2" t="s">
        <v>491</v>
      </c>
      <c r="RX1" s="2" t="s">
        <v>492</v>
      </c>
      <c r="RY1" s="2" t="s">
        <v>493</v>
      </c>
      <c r="RZ1" s="2" t="s">
        <v>494</v>
      </c>
      <c r="SA1" s="2" t="s">
        <v>495</v>
      </c>
      <c r="SB1" s="2" t="s">
        <v>496</v>
      </c>
      <c r="SC1" s="2" t="s">
        <v>497</v>
      </c>
      <c r="SD1" s="2" t="s">
        <v>498</v>
      </c>
      <c r="SE1" s="2" t="s">
        <v>499</v>
      </c>
      <c r="SF1" s="2" t="s">
        <v>500</v>
      </c>
      <c r="SG1" s="2" t="s">
        <v>501</v>
      </c>
      <c r="SH1" s="2" t="s">
        <v>502</v>
      </c>
      <c r="SI1" s="2" t="s">
        <v>503</v>
      </c>
      <c r="SJ1" s="2" t="s">
        <v>504</v>
      </c>
      <c r="SK1" s="2" t="s">
        <v>505</v>
      </c>
      <c r="SL1" s="2" t="s">
        <v>506</v>
      </c>
      <c r="SM1" s="2" t="s">
        <v>507</v>
      </c>
      <c r="SN1" s="2" t="s">
        <v>508</v>
      </c>
      <c r="SO1" s="2" t="s">
        <v>509</v>
      </c>
      <c r="SP1" s="2" t="s">
        <v>510</v>
      </c>
      <c r="SQ1" s="2" t="s">
        <v>511</v>
      </c>
      <c r="SR1" s="2" t="s">
        <v>512</v>
      </c>
      <c r="SS1" s="2" t="s">
        <v>513</v>
      </c>
      <c r="ST1" s="2" t="s">
        <v>514</v>
      </c>
      <c r="SU1" s="2" t="s">
        <v>515</v>
      </c>
      <c r="SV1" s="2" t="s">
        <v>516</v>
      </c>
      <c r="SW1" s="2" t="s">
        <v>517</v>
      </c>
      <c r="SX1" s="2" t="s">
        <v>518</v>
      </c>
      <c r="SY1" s="2" t="s">
        <v>519</v>
      </c>
      <c r="SZ1" s="2" t="s">
        <v>520</v>
      </c>
      <c r="TA1" s="2" t="s">
        <v>521</v>
      </c>
      <c r="TB1" s="2" t="s">
        <v>522</v>
      </c>
      <c r="TC1" s="2" t="s">
        <v>523</v>
      </c>
      <c r="TD1" s="2" t="s">
        <v>524</v>
      </c>
      <c r="TE1" s="2" t="s">
        <v>525</v>
      </c>
      <c r="TF1" s="2" t="s">
        <v>526</v>
      </c>
      <c r="TG1" s="2" t="s">
        <v>527</v>
      </c>
      <c r="TH1" s="2" t="s">
        <v>528</v>
      </c>
      <c r="TI1" s="2" t="s">
        <v>529</v>
      </c>
      <c r="TJ1" s="2" t="s">
        <v>530</v>
      </c>
      <c r="TK1" s="2" t="s">
        <v>531</v>
      </c>
      <c r="TL1" s="2" t="s">
        <v>532</v>
      </c>
      <c r="TM1" s="2" t="s">
        <v>533</v>
      </c>
      <c r="TN1" s="2" t="s">
        <v>534</v>
      </c>
      <c r="TO1" s="2" t="s">
        <v>535</v>
      </c>
      <c r="TP1" s="2" t="s">
        <v>536</v>
      </c>
      <c r="TQ1" s="2" t="s">
        <v>537</v>
      </c>
      <c r="TR1" s="2" t="s">
        <v>538</v>
      </c>
      <c r="TS1" s="2" t="s">
        <v>539</v>
      </c>
      <c r="TT1" s="2" t="s">
        <v>540</v>
      </c>
      <c r="TU1" s="2" t="s">
        <v>541</v>
      </c>
      <c r="TV1" s="2" t="s">
        <v>542</v>
      </c>
      <c r="TW1" s="2" t="s">
        <v>543</v>
      </c>
      <c r="TX1" s="2" t="s">
        <v>544</v>
      </c>
      <c r="TY1" s="2" t="s">
        <v>545</v>
      </c>
      <c r="TZ1" s="2" t="s">
        <v>546</v>
      </c>
      <c r="UA1" s="2" t="s">
        <v>547</v>
      </c>
      <c r="UB1" s="2" t="s">
        <v>548</v>
      </c>
      <c r="UC1" s="2" t="s">
        <v>549</v>
      </c>
      <c r="UD1" s="2" t="s">
        <v>550</v>
      </c>
      <c r="UE1" s="2" t="s">
        <v>551</v>
      </c>
      <c r="UF1" s="2" t="s">
        <v>552</v>
      </c>
      <c r="UG1" s="2" t="s">
        <v>553</v>
      </c>
      <c r="UH1" s="2" t="s">
        <v>554</v>
      </c>
      <c r="UI1" s="2" t="s">
        <v>555</v>
      </c>
      <c r="UJ1" s="2" t="s">
        <v>556</v>
      </c>
      <c r="UK1" s="2" t="s">
        <v>557</v>
      </c>
      <c r="UL1" s="2" t="s">
        <v>558</v>
      </c>
      <c r="UM1" s="2" t="s">
        <v>559</v>
      </c>
      <c r="UN1" s="2" t="s">
        <v>560</v>
      </c>
      <c r="UO1" s="2" t="s">
        <v>561</v>
      </c>
      <c r="UP1" s="2" t="s">
        <v>562</v>
      </c>
      <c r="UQ1" s="2" t="s">
        <v>563</v>
      </c>
      <c r="UR1" s="2" t="s">
        <v>564</v>
      </c>
      <c r="US1" s="2" t="s">
        <v>565</v>
      </c>
      <c r="UT1" s="2" t="s">
        <v>566</v>
      </c>
      <c r="UU1" s="2" t="s">
        <v>567</v>
      </c>
      <c r="UV1" s="2" t="s">
        <v>568</v>
      </c>
      <c r="UW1" s="2" t="s">
        <v>569</v>
      </c>
      <c r="UX1" s="2" t="s">
        <v>570</v>
      </c>
      <c r="UY1" s="2" t="s">
        <v>571</v>
      </c>
      <c r="UZ1" s="2" t="s">
        <v>572</v>
      </c>
      <c r="VA1" s="2" t="s">
        <v>573</v>
      </c>
      <c r="VB1" s="2" t="s">
        <v>574</v>
      </c>
      <c r="VC1" s="2" t="s">
        <v>575</v>
      </c>
      <c r="VD1" s="2" t="s">
        <v>576</v>
      </c>
      <c r="VE1" s="2" t="s">
        <v>577</v>
      </c>
      <c r="VF1" s="2" t="s">
        <v>578</v>
      </c>
      <c r="VG1" s="2" t="s">
        <v>579</v>
      </c>
      <c r="VH1" s="2" t="s">
        <v>580</v>
      </c>
      <c r="VI1" s="2" t="s">
        <v>581</v>
      </c>
      <c r="VJ1" s="2" t="s">
        <v>582</v>
      </c>
      <c r="VK1" s="2" t="s">
        <v>583</v>
      </c>
      <c r="VL1" s="2" t="s">
        <v>584</v>
      </c>
      <c r="VM1" s="2" t="s">
        <v>585</v>
      </c>
      <c r="VN1" s="2" t="s">
        <v>586</v>
      </c>
      <c r="VO1" s="2" t="s">
        <v>587</v>
      </c>
      <c r="VP1" s="2" t="s">
        <v>588</v>
      </c>
      <c r="VQ1" s="2" t="s">
        <v>589</v>
      </c>
      <c r="VR1" s="2" t="s">
        <v>590</v>
      </c>
      <c r="VS1" s="2" t="s">
        <v>591</v>
      </c>
      <c r="VT1" s="2" t="s">
        <v>592</v>
      </c>
      <c r="VU1" s="2" t="s">
        <v>593</v>
      </c>
      <c r="VV1" s="2" t="s">
        <v>594</v>
      </c>
      <c r="VW1" s="2" t="s">
        <v>595</v>
      </c>
      <c r="VX1" s="2" t="s">
        <v>596</v>
      </c>
      <c r="VY1" s="2" t="s">
        <v>597</v>
      </c>
      <c r="VZ1" s="2" t="s">
        <v>598</v>
      </c>
      <c r="WA1" s="2" t="s">
        <v>599</v>
      </c>
      <c r="WB1" s="2" t="s">
        <v>600</v>
      </c>
      <c r="WC1" s="2" t="s">
        <v>601</v>
      </c>
      <c r="WD1" s="2" t="s">
        <v>602</v>
      </c>
      <c r="WE1" s="2" t="s">
        <v>603</v>
      </c>
      <c r="WF1" s="2" t="s">
        <v>604</v>
      </c>
      <c r="WG1" s="2" t="s">
        <v>605</v>
      </c>
      <c r="WH1" s="2" t="s">
        <v>606</v>
      </c>
      <c r="WI1" s="2" t="s">
        <v>607</v>
      </c>
      <c r="WJ1" s="2" t="s">
        <v>608</v>
      </c>
      <c r="WK1" s="2" t="s">
        <v>609</v>
      </c>
      <c r="WL1" s="2" t="s">
        <v>610</v>
      </c>
      <c r="WM1" s="2" t="s">
        <v>611</v>
      </c>
      <c r="WN1" s="2" t="s">
        <v>612</v>
      </c>
      <c r="WO1" s="2" t="s">
        <v>613</v>
      </c>
      <c r="WP1" s="2" t="s">
        <v>614</v>
      </c>
      <c r="WQ1" s="2" t="s">
        <v>615</v>
      </c>
      <c r="WR1" s="2" t="s">
        <v>616</v>
      </c>
      <c r="WS1" s="2" t="s">
        <v>617</v>
      </c>
      <c r="WT1" s="2" t="s">
        <v>618</v>
      </c>
      <c r="WU1" s="2" t="s">
        <v>619</v>
      </c>
      <c r="WV1" s="2" t="s">
        <v>620</v>
      </c>
      <c r="WW1" s="2" t="s">
        <v>621</v>
      </c>
      <c r="WX1" s="2" t="s">
        <v>622</v>
      </c>
      <c r="WY1" s="2" t="s">
        <v>623</v>
      </c>
      <c r="WZ1" s="2" t="s">
        <v>624</v>
      </c>
      <c r="XA1" s="2" t="s">
        <v>625</v>
      </c>
      <c r="XB1" s="2" t="s">
        <v>626</v>
      </c>
      <c r="XC1" s="2" t="s">
        <v>627</v>
      </c>
      <c r="XD1" s="2" t="s">
        <v>628</v>
      </c>
      <c r="XE1" s="2" t="s">
        <v>629</v>
      </c>
      <c r="XF1" s="2" t="s">
        <v>630</v>
      </c>
      <c r="XG1" s="2" t="s">
        <v>631</v>
      </c>
      <c r="XH1" s="2" t="s">
        <v>632</v>
      </c>
      <c r="XI1" s="2" t="s">
        <v>633</v>
      </c>
      <c r="XJ1" s="2" t="s">
        <v>634</v>
      </c>
      <c r="XK1" s="2" t="s">
        <v>635</v>
      </c>
      <c r="XL1" s="2" t="s">
        <v>636</v>
      </c>
      <c r="XM1" s="2" t="s">
        <v>637</v>
      </c>
      <c r="XN1" s="2" t="s">
        <v>638</v>
      </c>
      <c r="XO1" s="2" t="s">
        <v>639</v>
      </c>
      <c r="XP1" s="2" t="s">
        <v>640</v>
      </c>
      <c r="XQ1" s="2" t="s">
        <v>641</v>
      </c>
      <c r="XR1" s="2" t="s">
        <v>642</v>
      </c>
      <c r="XS1" s="2" t="s">
        <v>643</v>
      </c>
      <c r="XT1" s="2" t="s">
        <v>644</v>
      </c>
      <c r="XU1" s="2" t="s">
        <v>645</v>
      </c>
      <c r="XV1" s="2" t="s">
        <v>646</v>
      </c>
      <c r="XW1" s="2" t="s">
        <v>647</v>
      </c>
      <c r="XX1" s="2" t="s">
        <v>648</v>
      </c>
      <c r="XY1" s="2" t="s">
        <v>649</v>
      </c>
      <c r="XZ1" s="2" t="s">
        <v>650</v>
      </c>
      <c r="YA1" s="2" t="s">
        <v>651</v>
      </c>
      <c r="YB1" s="2" t="s">
        <v>652</v>
      </c>
      <c r="YC1" s="2" t="s">
        <v>653</v>
      </c>
      <c r="YD1" s="2" t="s">
        <v>654</v>
      </c>
      <c r="YE1" s="2" t="s">
        <v>655</v>
      </c>
      <c r="YF1" s="2" t="s">
        <v>656</v>
      </c>
      <c r="YG1" s="2" t="s">
        <v>657</v>
      </c>
      <c r="YH1" s="2" t="s">
        <v>658</v>
      </c>
      <c r="YI1" s="2" t="s">
        <v>659</v>
      </c>
      <c r="YJ1" s="2" t="s">
        <v>660</v>
      </c>
      <c r="YK1" s="2" t="s">
        <v>661</v>
      </c>
      <c r="YL1" s="2" t="s">
        <v>662</v>
      </c>
      <c r="YM1" s="2" t="s">
        <v>663</v>
      </c>
      <c r="YN1" s="2" t="s">
        <v>664</v>
      </c>
      <c r="YO1" s="2" t="s">
        <v>665</v>
      </c>
      <c r="YP1" s="2" t="s">
        <v>666</v>
      </c>
      <c r="YQ1" s="2" t="s">
        <v>667</v>
      </c>
      <c r="YR1" s="2" t="s">
        <v>668</v>
      </c>
      <c r="YS1" s="2" t="s">
        <v>669</v>
      </c>
      <c r="YT1" s="2" t="s">
        <v>670</v>
      </c>
      <c r="YU1" s="2" t="s">
        <v>671</v>
      </c>
      <c r="YV1" s="2" t="s">
        <v>672</v>
      </c>
      <c r="YW1" s="2" t="s">
        <v>673</v>
      </c>
      <c r="YX1" s="2" t="s">
        <v>674</v>
      </c>
      <c r="YY1" s="2" t="s">
        <v>675</v>
      </c>
      <c r="YZ1" s="2" t="s">
        <v>676</v>
      </c>
      <c r="ZA1" s="2" t="s">
        <v>677</v>
      </c>
      <c r="ZB1" s="2" t="s">
        <v>678</v>
      </c>
      <c r="ZC1" s="2" t="s">
        <v>679</v>
      </c>
      <c r="ZD1" s="2" t="s">
        <v>680</v>
      </c>
      <c r="ZE1" s="2" t="s">
        <v>681</v>
      </c>
      <c r="ZF1" s="2" t="s">
        <v>682</v>
      </c>
      <c r="ZG1" s="2" t="s">
        <v>683</v>
      </c>
      <c r="ZH1" s="2" t="s">
        <v>684</v>
      </c>
      <c r="ZI1" s="2" t="s">
        <v>685</v>
      </c>
      <c r="ZJ1" s="2" t="s">
        <v>686</v>
      </c>
      <c r="ZK1" s="2" t="s">
        <v>687</v>
      </c>
      <c r="ZL1" s="2" t="s">
        <v>688</v>
      </c>
      <c r="ZM1" s="2" t="s">
        <v>689</v>
      </c>
      <c r="ZN1" s="2" t="s">
        <v>690</v>
      </c>
      <c r="ZO1" s="2" t="s">
        <v>691</v>
      </c>
      <c r="ZP1" s="2" t="s">
        <v>692</v>
      </c>
      <c r="ZQ1" s="2" t="s">
        <v>693</v>
      </c>
      <c r="ZR1" s="2" t="s">
        <v>694</v>
      </c>
      <c r="ZS1" s="2" t="s">
        <v>695</v>
      </c>
      <c r="ZT1" s="2" t="s">
        <v>696</v>
      </c>
      <c r="ZU1" s="2" t="s">
        <v>697</v>
      </c>
      <c r="ZV1" s="2" t="s">
        <v>698</v>
      </c>
      <c r="ZW1" s="2" t="s">
        <v>699</v>
      </c>
      <c r="ZX1" s="2" t="s">
        <v>700</v>
      </c>
      <c r="ZY1" s="2" t="s">
        <v>701</v>
      </c>
      <c r="ZZ1" s="2" t="s">
        <v>702</v>
      </c>
      <c r="AAA1" s="2" t="s">
        <v>703</v>
      </c>
      <c r="AAB1" s="2" t="s">
        <v>704</v>
      </c>
      <c r="AAC1" s="2" t="s">
        <v>705</v>
      </c>
      <c r="AAD1" s="2" t="s">
        <v>706</v>
      </c>
      <c r="AAE1" s="2" t="s">
        <v>707</v>
      </c>
      <c r="AAF1" s="2" t="s">
        <v>708</v>
      </c>
      <c r="AAG1" s="2" t="s">
        <v>709</v>
      </c>
      <c r="AAH1" s="2" t="s">
        <v>710</v>
      </c>
      <c r="AAI1" s="2" t="s">
        <v>711</v>
      </c>
      <c r="AAJ1" s="2" t="s">
        <v>712</v>
      </c>
      <c r="AAK1" s="2" t="s">
        <v>713</v>
      </c>
      <c r="AAL1" s="2" t="s">
        <v>714</v>
      </c>
      <c r="AAM1" s="2" t="s">
        <v>715</v>
      </c>
      <c r="AAN1" s="2" t="s">
        <v>716</v>
      </c>
      <c r="AAO1" s="2" t="s">
        <v>717</v>
      </c>
      <c r="AAP1" s="2" t="s">
        <v>718</v>
      </c>
      <c r="AAQ1" s="2" t="s">
        <v>719</v>
      </c>
      <c r="AAR1" s="2" t="s">
        <v>720</v>
      </c>
      <c r="AAS1" s="2" t="s">
        <v>721</v>
      </c>
      <c r="AAT1" s="2" t="s">
        <v>722</v>
      </c>
      <c r="AAU1" s="2" t="s">
        <v>723</v>
      </c>
      <c r="AAV1" s="2" t="s">
        <v>724</v>
      </c>
      <c r="AAW1" s="2" t="s">
        <v>725</v>
      </c>
      <c r="AAX1" s="2" t="s">
        <v>726</v>
      </c>
      <c r="AAY1" s="2" t="s">
        <v>727</v>
      </c>
      <c r="AAZ1" s="2" t="s">
        <v>728</v>
      </c>
      <c r="ABA1" s="2" t="s">
        <v>729</v>
      </c>
      <c r="ABB1" s="2" t="s">
        <v>730</v>
      </c>
      <c r="ABC1" s="2" t="s">
        <v>731</v>
      </c>
      <c r="ABD1" s="2" t="s">
        <v>732</v>
      </c>
      <c r="ABE1" s="2" t="s">
        <v>733</v>
      </c>
      <c r="ABF1" s="2" t="s">
        <v>734</v>
      </c>
      <c r="ABG1" s="2" t="s">
        <v>735</v>
      </c>
      <c r="ABH1" s="2" t="s">
        <v>736</v>
      </c>
      <c r="ABI1" s="2" t="s">
        <v>737</v>
      </c>
      <c r="ABJ1" s="2" t="s">
        <v>738</v>
      </c>
      <c r="ABK1" s="2" t="s">
        <v>739</v>
      </c>
      <c r="ABL1" s="2" t="s">
        <v>740</v>
      </c>
      <c r="ABM1" s="2" t="s">
        <v>741</v>
      </c>
      <c r="ABN1" s="2" t="s">
        <v>742</v>
      </c>
      <c r="ABO1" s="2" t="s">
        <v>743</v>
      </c>
      <c r="ABP1" s="2" t="s">
        <v>744</v>
      </c>
      <c r="ABQ1" s="2" t="s">
        <v>745</v>
      </c>
      <c r="ABR1" s="2" t="s">
        <v>746</v>
      </c>
      <c r="ABS1" s="2" t="s">
        <v>747</v>
      </c>
      <c r="ABT1" s="2" t="s">
        <v>748</v>
      </c>
      <c r="ABU1" s="2" t="s">
        <v>749</v>
      </c>
      <c r="ABV1" s="2" t="s">
        <v>750</v>
      </c>
      <c r="ABW1" s="2" t="s">
        <v>751</v>
      </c>
      <c r="ABX1" s="2" t="s">
        <v>752</v>
      </c>
      <c r="ABY1" s="2" t="s">
        <v>753</v>
      </c>
      <c r="ABZ1" s="2" t="s">
        <v>754</v>
      </c>
      <c r="ACA1" s="2" t="s">
        <v>755</v>
      </c>
      <c r="ACB1" s="2" t="s">
        <v>756</v>
      </c>
      <c r="ACC1" s="2" t="s">
        <v>757</v>
      </c>
      <c r="ACD1" s="2" t="s">
        <v>758</v>
      </c>
      <c r="ACE1" s="2" t="s">
        <v>759</v>
      </c>
      <c r="ACF1" s="2" t="s">
        <v>760</v>
      </c>
      <c r="ACG1" s="2" t="s">
        <v>761</v>
      </c>
      <c r="ACH1" s="2" t="s">
        <v>762</v>
      </c>
      <c r="ACI1" s="2" t="s">
        <v>763</v>
      </c>
      <c r="ACJ1" s="2" t="s">
        <v>764</v>
      </c>
      <c r="ACK1" s="2" t="s">
        <v>765</v>
      </c>
      <c r="ACL1" s="2" t="s">
        <v>766</v>
      </c>
      <c r="ACM1" s="2" t="s">
        <v>767</v>
      </c>
      <c r="ACN1" s="2" t="s">
        <v>768</v>
      </c>
      <c r="ACO1" s="2" t="s">
        <v>769</v>
      </c>
      <c r="ACP1" s="2" t="s">
        <v>770</v>
      </c>
      <c r="ACQ1" s="2" t="s">
        <v>771</v>
      </c>
      <c r="ACR1" s="2" t="s">
        <v>772</v>
      </c>
      <c r="ACS1" s="2" t="s">
        <v>773</v>
      </c>
      <c r="ACT1" s="2" t="s">
        <v>774</v>
      </c>
      <c r="ACU1" s="2" t="s">
        <v>775</v>
      </c>
      <c r="ACV1" s="2" t="s">
        <v>776</v>
      </c>
      <c r="ACW1" s="2" t="s">
        <v>777</v>
      </c>
      <c r="ACX1" s="2" t="s">
        <v>778</v>
      </c>
      <c r="ACY1" s="2" t="s">
        <v>779</v>
      </c>
      <c r="ACZ1" s="2" t="s">
        <v>780</v>
      </c>
      <c r="ADA1" s="2" t="s">
        <v>781</v>
      </c>
      <c r="ADB1" s="2" t="s">
        <v>782</v>
      </c>
      <c r="ADC1" s="2" t="s">
        <v>783</v>
      </c>
      <c r="ADD1" s="2" t="s">
        <v>784</v>
      </c>
      <c r="ADE1" s="2" t="s">
        <v>785</v>
      </c>
      <c r="ADF1" s="2" t="s">
        <v>786</v>
      </c>
      <c r="ADG1" s="2" t="s">
        <v>787</v>
      </c>
      <c r="ADH1" s="2" t="s">
        <v>788</v>
      </c>
      <c r="ADI1" s="2" t="s">
        <v>789</v>
      </c>
      <c r="ADJ1" s="2" t="s">
        <v>790</v>
      </c>
      <c r="ADK1" s="2" t="s">
        <v>791</v>
      </c>
      <c r="ADL1" s="2" t="s">
        <v>792</v>
      </c>
      <c r="ADM1" s="2" t="s">
        <v>793</v>
      </c>
      <c r="ADN1" s="2" t="s">
        <v>794</v>
      </c>
      <c r="ADO1" s="2" t="s">
        <v>795</v>
      </c>
      <c r="ADP1" s="2" t="s">
        <v>796</v>
      </c>
      <c r="ADQ1" s="2" t="s">
        <v>797</v>
      </c>
      <c r="ADR1" s="2" t="s">
        <v>798</v>
      </c>
      <c r="ADS1" s="2" t="s">
        <v>799</v>
      </c>
      <c r="ADT1" s="2" t="s">
        <v>800</v>
      </c>
      <c r="ADU1" s="2" t="s">
        <v>801</v>
      </c>
      <c r="ADV1" s="2" t="s">
        <v>802</v>
      </c>
      <c r="ADW1" s="2" t="s">
        <v>803</v>
      </c>
      <c r="ADX1" s="2" t="s">
        <v>804</v>
      </c>
      <c r="ADY1" s="2" t="s">
        <v>805</v>
      </c>
      <c r="ADZ1" s="2" t="s">
        <v>806</v>
      </c>
      <c r="AEA1" s="2" t="s">
        <v>807</v>
      </c>
      <c r="AEB1" s="2" t="s">
        <v>808</v>
      </c>
      <c r="AEC1" s="2" t="s">
        <v>809</v>
      </c>
      <c r="AED1" s="2" t="s">
        <v>810</v>
      </c>
      <c r="AEE1" s="2" t="s">
        <v>811</v>
      </c>
      <c r="AEF1" s="2" t="s">
        <v>812</v>
      </c>
      <c r="AEG1" s="2" t="s">
        <v>813</v>
      </c>
      <c r="AEH1" s="2" t="s">
        <v>814</v>
      </c>
      <c r="AEI1" s="2" t="s">
        <v>815</v>
      </c>
      <c r="AEJ1" s="2" t="s">
        <v>816</v>
      </c>
      <c r="AEK1" s="2" t="s">
        <v>817</v>
      </c>
      <c r="AEL1" s="2" t="s">
        <v>818</v>
      </c>
      <c r="AEM1" s="2" t="s">
        <v>819</v>
      </c>
      <c r="AEN1" s="2" t="s">
        <v>820</v>
      </c>
      <c r="AEO1" s="2" t="s">
        <v>821</v>
      </c>
      <c r="AEP1" s="2" t="s">
        <v>822</v>
      </c>
      <c r="AEQ1" s="2" t="s">
        <v>823</v>
      </c>
      <c r="AER1" s="2" t="s">
        <v>824</v>
      </c>
      <c r="AES1" s="2" t="s">
        <v>825</v>
      </c>
      <c r="AET1" s="2" t="s">
        <v>826</v>
      </c>
      <c r="AEU1" s="2" t="s">
        <v>827</v>
      </c>
      <c r="AEV1" s="2" t="s">
        <v>828</v>
      </c>
      <c r="AEW1" s="2" t="s">
        <v>829</v>
      </c>
      <c r="AEX1" s="2" t="s">
        <v>830</v>
      </c>
      <c r="AEY1" s="2" t="s">
        <v>831</v>
      </c>
      <c r="AEZ1" s="2" t="s">
        <v>832</v>
      </c>
      <c r="AFA1" s="2" t="s">
        <v>833</v>
      </c>
      <c r="AFB1" s="2" t="s">
        <v>834</v>
      </c>
      <c r="AFC1" s="2" t="s">
        <v>835</v>
      </c>
      <c r="AFD1" s="2" t="s">
        <v>836</v>
      </c>
      <c r="AFE1" s="2" t="s">
        <v>837</v>
      </c>
      <c r="AFF1" s="2" t="s">
        <v>838</v>
      </c>
      <c r="AFG1" s="2" t="s">
        <v>839</v>
      </c>
      <c r="AFH1" s="2" t="s">
        <v>840</v>
      </c>
      <c r="AFI1" s="2" t="s">
        <v>841</v>
      </c>
      <c r="AFJ1" s="2" t="s">
        <v>842</v>
      </c>
      <c r="AFK1" s="2" t="s">
        <v>843</v>
      </c>
      <c r="AFL1" s="2" t="s">
        <v>844</v>
      </c>
      <c r="AFM1" s="2" t="s">
        <v>845</v>
      </c>
      <c r="AFN1" s="2" t="s">
        <v>846</v>
      </c>
      <c r="AFO1" s="2" t="s">
        <v>847</v>
      </c>
      <c r="AFP1" s="2" t="s">
        <v>848</v>
      </c>
      <c r="AFQ1" s="2" t="s">
        <v>849</v>
      </c>
      <c r="AFR1" s="2" t="s">
        <v>850</v>
      </c>
      <c r="AFS1" s="2" t="s">
        <v>851</v>
      </c>
      <c r="AFT1" s="2" t="s">
        <v>852</v>
      </c>
      <c r="AFU1" s="2" t="s">
        <v>853</v>
      </c>
      <c r="AFV1" s="2" t="s">
        <v>854</v>
      </c>
      <c r="AFW1" s="2" t="s">
        <v>855</v>
      </c>
      <c r="AFX1" s="2" t="s">
        <v>856</v>
      </c>
      <c r="AFY1" s="2" t="s">
        <v>857</v>
      </c>
      <c r="AFZ1" s="2" t="s">
        <v>858</v>
      </c>
      <c r="AGA1" s="2" t="s">
        <v>859</v>
      </c>
      <c r="AGB1" s="2" t="s">
        <v>860</v>
      </c>
      <c r="AGC1" s="2" t="s">
        <v>861</v>
      </c>
      <c r="AGD1" s="2" t="s">
        <v>862</v>
      </c>
      <c r="AGE1" s="2" t="s">
        <v>863</v>
      </c>
      <c r="AGF1" s="2" t="s">
        <v>864</v>
      </c>
      <c r="AGG1" s="2" t="s">
        <v>865</v>
      </c>
      <c r="AGH1" s="2" t="s">
        <v>866</v>
      </c>
      <c r="AGI1" s="2" t="s">
        <v>867</v>
      </c>
      <c r="AGJ1" s="2" t="s">
        <v>868</v>
      </c>
      <c r="AGK1" s="2" t="s">
        <v>869</v>
      </c>
      <c r="AGL1" s="2" t="s">
        <v>870</v>
      </c>
      <c r="AGM1" s="2" t="s">
        <v>871</v>
      </c>
      <c r="AGN1" s="2" t="s">
        <v>872</v>
      </c>
      <c r="AGO1" s="2" t="s">
        <v>873</v>
      </c>
      <c r="AGP1" s="2" t="s">
        <v>874</v>
      </c>
      <c r="AGQ1" s="2" t="s">
        <v>875</v>
      </c>
      <c r="AGR1" s="2" t="s">
        <v>876</v>
      </c>
      <c r="AGS1" s="2" t="s">
        <v>877</v>
      </c>
      <c r="AGT1" s="2" t="s">
        <v>878</v>
      </c>
      <c r="AGU1" s="2" t="s">
        <v>879</v>
      </c>
      <c r="AGV1" s="2" t="s">
        <v>880</v>
      </c>
      <c r="AGW1" s="2" t="s">
        <v>881</v>
      </c>
      <c r="AGX1" s="2" t="s">
        <v>882</v>
      </c>
      <c r="AGY1" s="2" t="s">
        <v>883</v>
      </c>
      <c r="AGZ1" s="2" t="s">
        <v>884</v>
      </c>
      <c r="AHA1" s="2" t="s">
        <v>885</v>
      </c>
      <c r="AHB1" s="2" t="s">
        <v>886</v>
      </c>
      <c r="AHC1" s="2" t="s">
        <v>887</v>
      </c>
      <c r="AHD1" s="2" t="s">
        <v>888</v>
      </c>
      <c r="AHE1" s="2" t="s">
        <v>889</v>
      </c>
      <c r="AHF1" s="2" t="s">
        <v>890</v>
      </c>
      <c r="AHG1" s="2" t="s">
        <v>891</v>
      </c>
      <c r="AHH1" s="2" t="s">
        <v>892</v>
      </c>
      <c r="AHI1" s="2" t="s">
        <v>893</v>
      </c>
      <c r="AHJ1" s="2" t="s">
        <v>894</v>
      </c>
      <c r="AHK1" s="2" t="s">
        <v>895</v>
      </c>
      <c r="AHL1" s="2" t="s">
        <v>896</v>
      </c>
      <c r="AHM1" s="2" t="s">
        <v>897</v>
      </c>
      <c r="AHN1" s="2" t="s">
        <v>898</v>
      </c>
      <c r="AHO1" s="2" t="s">
        <v>899</v>
      </c>
      <c r="AHP1" s="2" t="s">
        <v>900</v>
      </c>
      <c r="AHQ1" s="2" t="s">
        <v>901</v>
      </c>
      <c r="AHR1" s="2" t="s">
        <v>902</v>
      </c>
      <c r="AHS1" s="2" t="s">
        <v>903</v>
      </c>
      <c r="AHT1" s="2" t="s">
        <v>904</v>
      </c>
      <c r="AHU1" s="2" t="s">
        <v>905</v>
      </c>
      <c r="AHV1" s="2" t="s">
        <v>906</v>
      </c>
      <c r="AHW1" s="2" t="s">
        <v>907</v>
      </c>
      <c r="AHX1" s="2" t="s">
        <v>908</v>
      </c>
      <c r="AHY1" s="2" t="s">
        <v>909</v>
      </c>
      <c r="AHZ1" s="2" t="s">
        <v>910</v>
      </c>
      <c r="AIA1" s="2" t="s">
        <v>911</v>
      </c>
      <c r="AIB1" s="2" t="s">
        <v>912</v>
      </c>
      <c r="AIC1" s="2" t="s">
        <v>913</v>
      </c>
      <c r="AID1" s="2" t="s">
        <v>914</v>
      </c>
      <c r="AIE1" s="2" t="s">
        <v>915</v>
      </c>
      <c r="AIF1" s="2" t="s">
        <v>916</v>
      </c>
      <c r="AIG1" s="2" t="s">
        <v>917</v>
      </c>
      <c r="AIH1" s="2" t="s">
        <v>918</v>
      </c>
      <c r="AII1" s="2" t="s">
        <v>919</v>
      </c>
      <c r="AIJ1" s="2" t="s">
        <v>920</v>
      </c>
      <c r="AIK1" s="2" t="s">
        <v>921</v>
      </c>
      <c r="AIL1" s="2" t="s">
        <v>922</v>
      </c>
      <c r="AIM1" s="2" t="s">
        <v>923</v>
      </c>
      <c r="AIN1" s="2" t="s">
        <v>924</v>
      </c>
      <c r="AIO1" s="2" t="s">
        <v>925</v>
      </c>
      <c r="AIP1" s="2" t="s">
        <v>926</v>
      </c>
      <c r="AIQ1" s="2" t="s">
        <v>927</v>
      </c>
      <c r="AIR1" s="2" t="s">
        <v>928</v>
      </c>
      <c r="AIS1" s="2" t="s">
        <v>929</v>
      </c>
      <c r="AIT1" s="2" t="s">
        <v>930</v>
      </c>
      <c r="AIU1" s="2" t="s">
        <v>931</v>
      </c>
      <c r="AIV1" s="2" t="s">
        <v>932</v>
      </c>
      <c r="AIW1" s="2" t="s">
        <v>933</v>
      </c>
      <c r="AIX1" s="2" t="s">
        <v>934</v>
      </c>
      <c r="AIY1" s="2" t="s">
        <v>935</v>
      </c>
      <c r="AIZ1" s="2" t="s">
        <v>936</v>
      </c>
      <c r="AJA1" s="2" t="s">
        <v>937</v>
      </c>
      <c r="AJB1" s="2" t="s">
        <v>938</v>
      </c>
      <c r="AJC1" s="2" t="s">
        <v>939</v>
      </c>
      <c r="AJD1" s="2" t="s">
        <v>940</v>
      </c>
      <c r="AJE1" s="2" t="s">
        <v>941</v>
      </c>
      <c r="AJF1" s="2" t="s">
        <v>942</v>
      </c>
      <c r="AJG1" s="2" t="s">
        <v>943</v>
      </c>
      <c r="AJH1" s="2" t="s">
        <v>944</v>
      </c>
      <c r="AJI1" s="2" t="s">
        <v>945</v>
      </c>
      <c r="AJJ1" s="2" t="s">
        <v>946</v>
      </c>
      <c r="AJK1" s="2" t="s">
        <v>947</v>
      </c>
      <c r="AJL1" s="2" t="s">
        <v>948</v>
      </c>
      <c r="AJM1" s="2" t="s">
        <v>949</v>
      </c>
      <c r="AJN1" s="2" t="s">
        <v>950</v>
      </c>
      <c r="AJO1" s="2" t="s">
        <v>951</v>
      </c>
      <c r="AJP1" s="2" t="s">
        <v>952</v>
      </c>
      <c r="AJQ1" s="2" t="s">
        <v>953</v>
      </c>
      <c r="AJR1" s="2" t="s">
        <v>954</v>
      </c>
      <c r="AJS1" s="2" t="s">
        <v>955</v>
      </c>
      <c r="AJT1" s="2" t="s">
        <v>956</v>
      </c>
      <c r="AJU1" s="2" t="s">
        <v>957</v>
      </c>
      <c r="AJV1" s="2" t="s">
        <v>958</v>
      </c>
      <c r="AJW1" s="2" t="s">
        <v>959</v>
      </c>
      <c r="AJX1" s="2" t="s">
        <v>960</v>
      </c>
      <c r="AJY1" s="2" t="s">
        <v>961</v>
      </c>
      <c r="AJZ1" s="2" t="s">
        <v>962</v>
      </c>
      <c r="AKA1" s="2" t="s">
        <v>963</v>
      </c>
      <c r="AKB1" s="2" t="s">
        <v>964</v>
      </c>
      <c r="AKC1" s="2" t="s">
        <v>965</v>
      </c>
      <c r="AKD1" s="2" t="s">
        <v>966</v>
      </c>
      <c r="AKE1" s="2" t="s">
        <v>967</v>
      </c>
      <c r="AKF1" s="2" t="s">
        <v>968</v>
      </c>
      <c r="AKG1" s="2" t="s">
        <v>969</v>
      </c>
      <c r="AKH1" s="2" t="s">
        <v>970</v>
      </c>
      <c r="AKI1" s="2" t="s">
        <v>971</v>
      </c>
      <c r="AKJ1" s="2" t="s">
        <v>972</v>
      </c>
      <c r="AKK1" s="2" t="s">
        <v>973</v>
      </c>
      <c r="AKL1" s="2" t="s">
        <v>974</v>
      </c>
      <c r="AKM1" s="2" t="s">
        <v>975</v>
      </c>
      <c r="AKN1" s="2" t="s">
        <v>976</v>
      </c>
      <c r="AKO1" s="2" t="s">
        <v>977</v>
      </c>
      <c r="AKP1" s="2" t="s">
        <v>978</v>
      </c>
      <c r="AKQ1" s="2" t="s">
        <v>979</v>
      </c>
      <c r="AKR1" s="2" t="s">
        <v>980</v>
      </c>
      <c r="AKS1" s="2" t="s">
        <v>981</v>
      </c>
      <c r="AKT1" s="2" t="s">
        <v>982</v>
      </c>
      <c r="AKU1" s="2" t="s">
        <v>983</v>
      </c>
      <c r="AKV1" s="2" t="s">
        <v>984</v>
      </c>
      <c r="AKW1" s="2" t="s">
        <v>985</v>
      </c>
      <c r="AKX1" s="2" t="s">
        <v>986</v>
      </c>
      <c r="AKY1" s="2" t="s">
        <v>987</v>
      </c>
      <c r="AKZ1" s="2" t="s">
        <v>988</v>
      </c>
      <c r="ALA1" s="2" t="s">
        <v>989</v>
      </c>
      <c r="ALB1" s="2" t="s">
        <v>990</v>
      </c>
      <c r="ALC1" s="2" t="s">
        <v>991</v>
      </c>
      <c r="ALD1" s="2" t="s">
        <v>992</v>
      </c>
      <c r="ALE1" s="2" t="s">
        <v>993</v>
      </c>
      <c r="ALF1" s="2" t="s">
        <v>994</v>
      </c>
      <c r="ALG1" s="2" t="s">
        <v>995</v>
      </c>
      <c r="ALH1" s="2" t="s">
        <v>996</v>
      </c>
      <c r="ALI1" s="2" t="s">
        <v>997</v>
      </c>
      <c r="ALJ1" s="2" t="s">
        <v>998</v>
      </c>
      <c r="ALK1" s="2" t="s">
        <v>999</v>
      </c>
      <c r="ALL1" s="2" t="s">
        <v>1000</v>
      </c>
      <c r="ALM1" s="2" t="s">
        <v>1001</v>
      </c>
      <c r="ALN1" s="2" t="s">
        <v>1002</v>
      </c>
      <c r="ALO1" s="2" t="s">
        <v>1003</v>
      </c>
      <c r="ALP1" s="2" t="s">
        <v>1004</v>
      </c>
      <c r="ALQ1" s="2" t="s">
        <v>1005</v>
      </c>
      <c r="ALR1" s="2" t="s">
        <v>1006</v>
      </c>
      <c r="ALS1" s="2" t="s">
        <v>1007</v>
      </c>
      <c r="ALT1" s="2" t="s">
        <v>1008</v>
      </c>
      <c r="ALU1" s="2" t="s">
        <v>1009</v>
      </c>
      <c r="ALV1" s="2" t="s">
        <v>1010</v>
      </c>
      <c r="ALW1" s="2" t="s">
        <v>1011</v>
      </c>
      <c r="ALX1" s="2" t="s">
        <v>1012</v>
      </c>
      <c r="ALY1" s="2" t="s">
        <v>1013</v>
      </c>
      <c r="ALZ1" s="2" t="s">
        <v>1014</v>
      </c>
      <c r="AMA1" s="2" t="s">
        <v>1015</v>
      </c>
      <c r="AMB1" s="2" t="s">
        <v>1016</v>
      </c>
      <c r="AMC1" s="2" t="s">
        <v>1017</v>
      </c>
      <c r="AMD1" s="2" t="s">
        <v>1018</v>
      </c>
      <c r="AME1" s="2" t="s">
        <v>1019</v>
      </c>
      <c r="AMF1" s="2" t="s">
        <v>1020</v>
      </c>
      <c r="AMG1" s="2" t="s">
        <v>1021</v>
      </c>
      <c r="AMH1" s="2" t="s">
        <v>1022</v>
      </c>
      <c r="AMI1" s="2" t="s">
        <v>1023</v>
      </c>
      <c r="AMJ1" s="2" t="s">
        <v>1024</v>
      </c>
      <c r="AMK1" s="2" t="s">
        <v>1025</v>
      </c>
      <c r="AML1" s="2" t="s">
        <v>1026</v>
      </c>
      <c r="AMM1" s="2" t="s">
        <v>1027</v>
      </c>
      <c r="AMN1" s="2" t="s">
        <v>1028</v>
      </c>
      <c r="AMO1" s="2" t="s">
        <v>1029</v>
      </c>
      <c r="AMP1" s="2" t="s">
        <v>1030</v>
      </c>
      <c r="AMQ1" s="2" t="s">
        <v>1031</v>
      </c>
      <c r="AMR1" s="2" t="s">
        <v>1032</v>
      </c>
      <c r="AMS1" s="2" t="s">
        <v>1033</v>
      </c>
      <c r="AMT1" s="2" t="s">
        <v>1034</v>
      </c>
      <c r="AMU1" s="2" t="s">
        <v>1035</v>
      </c>
      <c r="AMV1" s="2" t="s">
        <v>1036</v>
      </c>
      <c r="AMW1" s="2" t="s">
        <v>1037</v>
      </c>
      <c r="AMX1" s="2" t="s">
        <v>1038</v>
      </c>
      <c r="AMY1" s="2" t="s">
        <v>1039</v>
      </c>
      <c r="AMZ1" s="2" t="s">
        <v>1040</v>
      </c>
      <c r="ANA1" s="2" t="s">
        <v>1041</v>
      </c>
      <c r="ANB1" s="2" t="s">
        <v>1042</v>
      </c>
      <c r="ANC1" s="2" t="s">
        <v>1043</v>
      </c>
      <c r="AND1" s="2" t="s">
        <v>1044</v>
      </c>
      <c r="ANE1" s="2" t="s">
        <v>1045</v>
      </c>
      <c r="ANF1" s="2" t="s">
        <v>1046</v>
      </c>
      <c r="ANG1" s="2" t="s">
        <v>1047</v>
      </c>
      <c r="ANH1" s="2" t="s">
        <v>1048</v>
      </c>
      <c r="ANI1" s="2" t="s">
        <v>1049</v>
      </c>
      <c r="ANJ1" s="2" t="s">
        <v>1050</v>
      </c>
      <c r="ANK1" s="2" t="s">
        <v>1051</v>
      </c>
      <c r="ANL1" s="2" t="s">
        <v>1052</v>
      </c>
      <c r="ANM1" s="2" t="s">
        <v>1053</v>
      </c>
      <c r="ANN1" s="2" t="s">
        <v>1054</v>
      </c>
      <c r="ANO1" s="2" t="s">
        <v>1055</v>
      </c>
      <c r="ANP1" s="2" t="s">
        <v>1056</v>
      </c>
      <c r="ANQ1" s="2" t="s">
        <v>1057</v>
      </c>
      <c r="ANR1" s="2" t="s">
        <v>1058</v>
      </c>
      <c r="ANS1" s="2" t="s">
        <v>1059</v>
      </c>
      <c r="ANT1" s="2" t="s">
        <v>1060</v>
      </c>
      <c r="ANU1" s="2" t="s">
        <v>1061</v>
      </c>
      <c r="ANV1" s="2" t="s">
        <v>1062</v>
      </c>
      <c r="ANW1" s="2" t="s">
        <v>1063</v>
      </c>
      <c r="ANX1" s="2" t="s">
        <v>1064</v>
      </c>
      <c r="ANY1" s="2" t="s">
        <v>1065</v>
      </c>
      <c r="ANZ1" s="2" t="s">
        <v>1066</v>
      </c>
      <c r="AOA1" s="2" t="s">
        <v>1067</v>
      </c>
      <c r="AOB1" s="2" t="s">
        <v>1068</v>
      </c>
      <c r="AOC1" s="2" t="s">
        <v>1069</v>
      </c>
      <c r="AOD1" s="2" t="s">
        <v>1070</v>
      </c>
      <c r="AOE1" s="2" t="s">
        <v>1071</v>
      </c>
      <c r="AOF1" s="2" t="s">
        <v>1072</v>
      </c>
      <c r="AOG1" s="2" t="s">
        <v>1073</v>
      </c>
      <c r="AOH1" s="2" t="s">
        <v>1074</v>
      </c>
      <c r="AOI1" s="2" t="s">
        <v>1075</v>
      </c>
      <c r="AOJ1" s="2" t="s">
        <v>1076</v>
      </c>
      <c r="AOK1" s="2" t="s">
        <v>1077</v>
      </c>
      <c r="AOL1" s="2" t="s">
        <v>1078</v>
      </c>
      <c r="AOM1" s="2" t="s">
        <v>1079</v>
      </c>
      <c r="AON1" s="2" t="s">
        <v>1080</v>
      </c>
      <c r="AOO1" s="2" t="s">
        <v>1081</v>
      </c>
      <c r="AOP1" s="2" t="s">
        <v>1082</v>
      </c>
      <c r="AOQ1" s="2" t="s">
        <v>1083</v>
      </c>
      <c r="AOR1" s="2" t="s">
        <v>1084</v>
      </c>
      <c r="AOS1" s="2" t="s">
        <v>1085</v>
      </c>
      <c r="AOT1" s="2" t="s">
        <v>1086</v>
      </c>
      <c r="AOU1" s="2" t="s">
        <v>1087</v>
      </c>
      <c r="AOV1" s="2" t="s">
        <v>1088</v>
      </c>
      <c r="AOW1" s="2" t="s">
        <v>1089</v>
      </c>
      <c r="AOX1" s="2" t="s">
        <v>1090</v>
      </c>
      <c r="AOY1" s="2" t="s">
        <v>1091</v>
      </c>
      <c r="AOZ1" s="2" t="s">
        <v>1092</v>
      </c>
      <c r="APA1" s="2" t="s">
        <v>1093</v>
      </c>
      <c r="APB1" s="2" t="s">
        <v>1094</v>
      </c>
      <c r="APC1" s="2" t="s">
        <v>1095</v>
      </c>
      <c r="APD1" s="2" t="s">
        <v>1096</v>
      </c>
      <c r="APE1" s="2" t="s">
        <v>1097</v>
      </c>
      <c r="APF1" s="2" t="s">
        <v>1098</v>
      </c>
      <c r="APG1" s="2" t="s">
        <v>1099</v>
      </c>
      <c r="APH1" s="2" t="s">
        <v>1100</v>
      </c>
      <c r="API1" s="2" t="s">
        <v>1101</v>
      </c>
      <c r="APJ1" s="2" t="s">
        <v>1102</v>
      </c>
      <c r="APK1" s="2" t="s">
        <v>1103</v>
      </c>
      <c r="APL1" s="2" t="s">
        <v>1104</v>
      </c>
      <c r="APM1" s="2" t="s">
        <v>1105</v>
      </c>
      <c r="APN1" s="2" t="s">
        <v>1106</v>
      </c>
      <c r="APO1" s="2" t="s">
        <v>1107</v>
      </c>
      <c r="APP1" s="2" t="s">
        <v>1108</v>
      </c>
      <c r="APQ1" s="2" t="s">
        <v>1109</v>
      </c>
      <c r="APR1" s="2" t="s">
        <v>1110</v>
      </c>
      <c r="APS1" s="2" t="s">
        <v>1111</v>
      </c>
      <c r="APT1" s="2" t="s">
        <v>1112</v>
      </c>
      <c r="APU1" s="2" t="s">
        <v>1113</v>
      </c>
      <c r="APV1" s="2" t="s">
        <v>1114</v>
      </c>
      <c r="APW1" s="2" t="s">
        <v>1115</v>
      </c>
      <c r="APX1" s="2" t="s">
        <v>1116</v>
      </c>
      <c r="APY1" s="2" t="s">
        <v>1117</v>
      </c>
      <c r="APZ1" s="2" t="s">
        <v>1118</v>
      </c>
      <c r="AQA1" s="2" t="s">
        <v>1119</v>
      </c>
      <c r="AQB1" s="2" t="s">
        <v>1120</v>
      </c>
      <c r="AQC1" s="2" t="s">
        <v>1121</v>
      </c>
      <c r="AQD1" s="2" t="s">
        <v>1122</v>
      </c>
      <c r="AQE1" s="2" t="s">
        <v>1123</v>
      </c>
      <c r="AQF1" s="2" t="s">
        <v>1124</v>
      </c>
      <c r="AQG1" s="2" t="s">
        <v>1125</v>
      </c>
      <c r="AQH1" s="2" t="s">
        <v>1126</v>
      </c>
      <c r="AQI1" s="2" t="s">
        <v>1127</v>
      </c>
      <c r="AQJ1" s="2" t="s">
        <v>1128</v>
      </c>
      <c r="AQK1" s="2" t="s">
        <v>1129</v>
      </c>
      <c r="AQL1" s="2" t="s">
        <v>1130</v>
      </c>
      <c r="AQM1" s="2" t="s">
        <v>1131</v>
      </c>
      <c r="AQN1" s="2" t="s">
        <v>1132</v>
      </c>
      <c r="AQO1" s="2" t="s">
        <v>1133</v>
      </c>
      <c r="AQP1" s="2" t="s">
        <v>1134</v>
      </c>
      <c r="AQQ1" s="2" t="s">
        <v>1135</v>
      </c>
      <c r="AQR1" s="2" t="s">
        <v>1136</v>
      </c>
      <c r="AQS1" s="2" t="s">
        <v>1137</v>
      </c>
      <c r="AQT1" s="2" t="s">
        <v>1138</v>
      </c>
      <c r="AQU1" s="2" t="s">
        <v>1139</v>
      </c>
      <c r="AQV1" s="2" t="s">
        <v>1140</v>
      </c>
      <c r="AQW1" s="2" t="s">
        <v>1141</v>
      </c>
      <c r="AQX1" s="2" t="s">
        <v>1142</v>
      </c>
      <c r="AQY1" s="2" t="s">
        <v>1143</v>
      </c>
      <c r="AQZ1" s="2" t="s">
        <v>1144</v>
      </c>
      <c r="ARA1" s="2" t="s">
        <v>1145</v>
      </c>
      <c r="ARB1" s="2" t="s">
        <v>1146</v>
      </c>
      <c r="ARC1" s="2" t="s">
        <v>1147</v>
      </c>
      <c r="ARD1" s="2" t="s">
        <v>1148</v>
      </c>
      <c r="ARE1" s="2" t="s">
        <v>1149</v>
      </c>
      <c r="ARF1" s="2" t="s">
        <v>1150</v>
      </c>
      <c r="ARG1" s="2" t="s">
        <v>1151</v>
      </c>
      <c r="ARH1" s="2" t="s">
        <v>1152</v>
      </c>
      <c r="ARI1" s="2" t="s">
        <v>1153</v>
      </c>
      <c r="ARJ1" s="2" t="s">
        <v>1154</v>
      </c>
      <c r="ARK1" s="2" t="s">
        <v>1155</v>
      </c>
      <c r="ARL1" s="2" t="s">
        <v>1156</v>
      </c>
      <c r="ARM1" s="2" t="s">
        <v>1157</v>
      </c>
      <c r="ARN1" s="2" t="s">
        <v>1158</v>
      </c>
      <c r="ARO1" s="2" t="s">
        <v>1159</v>
      </c>
      <c r="ARP1" s="2" t="s">
        <v>1160</v>
      </c>
      <c r="ARQ1" s="2" t="s">
        <v>1161</v>
      </c>
      <c r="ARR1" s="2" t="s">
        <v>1162</v>
      </c>
      <c r="ARS1" s="2" t="s">
        <v>1163</v>
      </c>
      <c r="ART1" s="2" t="s">
        <v>1164</v>
      </c>
      <c r="ARU1" s="2" t="s">
        <v>1165</v>
      </c>
      <c r="ARV1" s="2" t="s">
        <v>1166</v>
      </c>
      <c r="ARW1" s="2" t="s">
        <v>1167</v>
      </c>
      <c r="ARX1" s="2" t="s">
        <v>1168</v>
      </c>
      <c r="ARY1" s="2" t="s">
        <v>1169</v>
      </c>
      <c r="ARZ1" s="2" t="s">
        <v>1170</v>
      </c>
      <c r="ASA1" s="2" t="s">
        <v>1171</v>
      </c>
      <c r="ASB1" s="2" t="s">
        <v>1172</v>
      </c>
      <c r="ASC1" s="2" t="s">
        <v>1173</v>
      </c>
      <c r="ASD1" s="2" t="s">
        <v>1174</v>
      </c>
      <c r="ASE1" s="2" t="s">
        <v>1175</v>
      </c>
      <c r="ASF1" s="2" t="s">
        <v>1176</v>
      </c>
      <c r="ASG1" s="2" t="s">
        <v>1177</v>
      </c>
      <c r="ASH1" s="2" t="s">
        <v>1178</v>
      </c>
      <c r="ASI1" s="2" t="s">
        <v>1179</v>
      </c>
      <c r="ASJ1" s="2" t="s">
        <v>1180</v>
      </c>
      <c r="ASK1" s="2" t="s">
        <v>1181</v>
      </c>
      <c r="ASL1" s="2" t="s">
        <v>1182</v>
      </c>
      <c r="ASM1" s="2" t="s">
        <v>1183</v>
      </c>
      <c r="ASN1" s="2" t="s">
        <v>1184</v>
      </c>
      <c r="ASO1" s="2" t="s">
        <v>1185</v>
      </c>
      <c r="ASP1" s="2" t="s">
        <v>1186</v>
      </c>
      <c r="ASQ1" s="2" t="s">
        <v>1187</v>
      </c>
      <c r="ASR1" s="2" t="s">
        <v>1188</v>
      </c>
      <c r="ASS1" s="2" t="s">
        <v>1189</v>
      </c>
      <c r="AST1" s="2" t="s">
        <v>1190</v>
      </c>
      <c r="ASU1" s="2" t="s">
        <v>1191</v>
      </c>
      <c r="ASV1" s="2" t="s">
        <v>1192</v>
      </c>
      <c r="ASW1" s="2" t="s">
        <v>1193</v>
      </c>
      <c r="ASX1" s="2" t="s">
        <v>1194</v>
      </c>
      <c r="ASY1" s="2" t="s">
        <v>1195</v>
      </c>
      <c r="ASZ1" s="2" t="s">
        <v>1196</v>
      </c>
      <c r="ATA1" s="2" t="s">
        <v>1197</v>
      </c>
      <c r="ATB1" s="2" t="s">
        <v>1198</v>
      </c>
      <c r="ATC1" s="2" t="s">
        <v>1199</v>
      </c>
      <c r="ATD1" s="2" t="s">
        <v>1200</v>
      </c>
      <c r="ATE1" s="2" t="s">
        <v>1201</v>
      </c>
      <c r="ATF1" s="2" t="s">
        <v>1202</v>
      </c>
      <c r="ATG1" s="2" t="s">
        <v>1203</v>
      </c>
      <c r="ATH1" s="2" t="s">
        <v>1204</v>
      </c>
      <c r="ATI1" s="2" t="s">
        <v>1205</v>
      </c>
      <c r="ATJ1" s="2" t="s">
        <v>1206</v>
      </c>
      <c r="ATK1" s="2" t="s">
        <v>1207</v>
      </c>
      <c r="ATL1" s="2" t="s">
        <v>1208</v>
      </c>
      <c r="ATM1" s="2" t="s">
        <v>1209</v>
      </c>
      <c r="ATN1" s="2" t="s">
        <v>1210</v>
      </c>
      <c r="ATO1" s="2" t="s">
        <v>1211</v>
      </c>
      <c r="ATP1" s="2" t="s">
        <v>1212</v>
      </c>
      <c r="ATQ1" s="2" t="s">
        <v>1213</v>
      </c>
      <c r="ATR1" s="2" t="s">
        <v>1214</v>
      </c>
      <c r="ATS1" s="2" t="s">
        <v>1215</v>
      </c>
      <c r="ATT1" s="2" t="s">
        <v>1216</v>
      </c>
      <c r="ATU1" s="2" t="s">
        <v>1217</v>
      </c>
      <c r="ATV1" s="2" t="s">
        <v>1218</v>
      </c>
      <c r="ATW1" s="2" t="s">
        <v>1219</v>
      </c>
      <c r="ATX1" s="2" t="s">
        <v>1220</v>
      </c>
      <c r="ATY1" s="2" t="s">
        <v>1221</v>
      </c>
      <c r="ATZ1" s="2" t="s">
        <v>1222</v>
      </c>
      <c r="AUA1" s="2" t="s">
        <v>1223</v>
      </c>
      <c r="AUB1" s="2" t="s">
        <v>1224</v>
      </c>
      <c r="AUC1" s="2" t="s">
        <v>1225</v>
      </c>
      <c r="AUD1" s="2" t="s">
        <v>1226</v>
      </c>
      <c r="AUE1" s="2" t="s">
        <v>1227</v>
      </c>
      <c r="AUF1" s="2" t="s">
        <v>1228</v>
      </c>
      <c r="AUG1" s="2" t="s">
        <v>1229</v>
      </c>
      <c r="AUH1" s="2" t="s">
        <v>1230</v>
      </c>
      <c r="AUI1" s="2" t="s">
        <v>1231</v>
      </c>
      <c r="AUJ1" s="2" t="s">
        <v>1232</v>
      </c>
      <c r="AUK1" s="2" t="s">
        <v>1233</v>
      </c>
      <c r="AUL1" s="2" t="s">
        <v>1234</v>
      </c>
      <c r="AUM1" s="2" t="s">
        <v>1235</v>
      </c>
      <c r="AUN1" s="2" t="s">
        <v>1236</v>
      </c>
      <c r="AUO1" s="2" t="s">
        <v>1237</v>
      </c>
      <c r="AUP1" s="2" t="s">
        <v>1238</v>
      </c>
      <c r="AUQ1" s="2" t="s">
        <v>1239</v>
      </c>
      <c r="AUR1" s="2" t="s">
        <v>1240</v>
      </c>
      <c r="AUS1" s="2" t="s">
        <v>1241</v>
      </c>
      <c r="AUT1" s="2" t="s">
        <v>1242</v>
      </c>
      <c r="AUU1" s="2" t="s">
        <v>1243</v>
      </c>
      <c r="AUV1" s="2" t="s">
        <v>1244</v>
      </c>
      <c r="AUW1" s="2" t="s">
        <v>1245</v>
      </c>
      <c r="AUX1" s="2" t="s">
        <v>1246</v>
      </c>
      <c r="AUY1" s="2" t="s">
        <v>1247</v>
      </c>
      <c r="AUZ1" s="2" t="s">
        <v>1248</v>
      </c>
      <c r="AVA1" s="2" t="s">
        <v>1249</v>
      </c>
      <c r="AVB1" s="2" t="s">
        <v>1250</v>
      </c>
      <c r="AVC1" s="2" t="s">
        <v>1251</v>
      </c>
      <c r="AVD1" s="2" t="s">
        <v>1252</v>
      </c>
      <c r="AVE1" s="2" t="s">
        <v>1253</v>
      </c>
      <c r="AVF1" s="2" t="s">
        <v>1254</v>
      </c>
      <c r="AVG1" s="2" t="s">
        <v>1255</v>
      </c>
      <c r="AVH1" s="2" t="s">
        <v>1256</v>
      </c>
      <c r="AVI1" s="2" t="s">
        <v>1257</v>
      </c>
      <c r="AVJ1" s="2" t="s">
        <v>1258</v>
      </c>
      <c r="AVK1" s="2" t="s">
        <v>1259</v>
      </c>
      <c r="AVL1" s="2" t="s">
        <v>1260</v>
      </c>
      <c r="AVM1" s="2" t="s">
        <v>1261</v>
      </c>
      <c r="AVN1" s="2" t="s">
        <v>1262</v>
      </c>
      <c r="AVO1" s="2" t="s">
        <v>1263</v>
      </c>
      <c r="AVP1" s="2" t="s">
        <v>1264</v>
      </c>
      <c r="AVQ1" s="2" t="s">
        <v>1265</v>
      </c>
      <c r="AVR1" s="2" t="s">
        <v>1266</v>
      </c>
      <c r="AVS1" s="2" t="s">
        <v>1267</v>
      </c>
      <c r="AVT1" s="2" t="s">
        <v>1268</v>
      </c>
      <c r="AVU1" s="2" t="s">
        <v>1269</v>
      </c>
      <c r="AVV1" s="2" t="s">
        <v>1270</v>
      </c>
      <c r="AVW1" s="2" t="s">
        <v>1271</v>
      </c>
      <c r="AVX1" s="2" t="s">
        <v>1272</v>
      </c>
      <c r="AVY1" s="2" t="s">
        <v>1273</v>
      </c>
      <c r="AVZ1" s="2" t="s">
        <v>1274</v>
      </c>
      <c r="AWA1" s="2" t="s">
        <v>1275</v>
      </c>
      <c r="AWB1" s="2" t="s">
        <v>1276</v>
      </c>
      <c r="AWC1" s="2" t="s">
        <v>1277</v>
      </c>
      <c r="AWD1" s="2" t="s">
        <v>1278</v>
      </c>
      <c r="AWE1" s="2" t="s">
        <v>1279</v>
      </c>
      <c r="AWF1" s="2" t="s">
        <v>1280</v>
      </c>
      <c r="AWG1" s="2" t="s">
        <v>1281</v>
      </c>
      <c r="AWH1" s="2" t="s">
        <v>1282</v>
      </c>
      <c r="AWI1" s="2" t="s">
        <v>1283</v>
      </c>
      <c r="AWJ1" s="2" t="s">
        <v>1284</v>
      </c>
      <c r="AWK1" s="2" t="s">
        <v>1285</v>
      </c>
      <c r="AWL1" s="2" t="s">
        <v>1286</v>
      </c>
      <c r="AWM1" s="2" t="s">
        <v>1287</v>
      </c>
      <c r="AWN1" s="2" t="s">
        <v>1288</v>
      </c>
      <c r="AWO1" s="2" t="s">
        <v>1289</v>
      </c>
      <c r="AWP1" s="2" t="s">
        <v>1290</v>
      </c>
      <c r="AWQ1" s="2" t="s">
        <v>1291</v>
      </c>
      <c r="AWR1" s="2" t="s">
        <v>1292</v>
      </c>
      <c r="AWS1" s="2" t="s">
        <v>1293</v>
      </c>
      <c r="AWT1" s="2" t="s">
        <v>1294</v>
      </c>
      <c r="AWU1" s="2" t="s">
        <v>1295</v>
      </c>
      <c r="AWV1" s="2" t="s">
        <v>1296</v>
      </c>
      <c r="AWW1" s="2" t="s">
        <v>1297</v>
      </c>
      <c r="AWX1" s="2" t="s">
        <v>1298</v>
      </c>
      <c r="AWY1" s="2" t="s">
        <v>1299</v>
      </c>
      <c r="AWZ1" s="2" t="s">
        <v>1300</v>
      </c>
      <c r="AXA1" s="2" t="s">
        <v>1301</v>
      </c>
      <c r="AXB1" s="2" t="s">
        <v>1302</v>
      </c>
      <c r="AXC1" s="2" t="s">
        <v>1303</v>
      </c>
      <c r="AXD1" s="2" t="s">
        <v>1304</v>
      </c>
      <c r="AXE1" s="2" t="s">
        <v>1305</v>
      </c>
      <c r="AXF1" s="2" t="s">
        <v>1306</v>
      </c>
      <c r="AXG1" s="2" t="s">
        <v>1307</v>
      </c>
      <c r="AXH1" s="2" t="s">
        <v>1308</v>
      </c>
      <c r="AXI1" s="2" t="s">
        <v>1309</v>
      </c>
      <c r="AXJ1" s="2" t="s">
        <v>1310</v>
      </c>
      <c r="AXK1" s="2" t="s">
        <v>1311</v>
      </c>
      <c r="AXL1" s="2" t="s">
        <v>1312</v>
      </c>
      <c r="AXM1" s="2" t="s">
        <v>1313</v>
      </c>
      <c r="AXN1" s="2" t="s">
        <v>1314</v>
      </c>
      <c r="AXO1" s="2" t="s">
        <v>1315</v>
      </c>
      <c r="AXP1" s="2" t="s">
        <v>1316</v>
      </c>
      <c r="AXQ1" s="2" t="s">
        <v>1317</v>
      </c>
      <c r="AXR1" s="2" t="s">
        <v>1318</v>
      </c>
      <c r="AXS1" s="2" t="s">
        <v>1319</v>
      </c>
      <c r="AXT1" s="2" t="s">
        <v>1320</v>
      </c>
      <c r="AXU1" s="2" t="s">
        <v>1321</v>
      </c>
      <c r="AXV1" s="2" t="s">
        <v>1322</v>
      </c>
      <c r="AXW1" s="2" t="s">
        <v>1323</v>
      </c>
      <c r="AXX1" s="2" t="s">
        <v>1324</v>
      </c>
      <c r="AXY1" s="2" t="s">
        <v>1325</v>
      </c>
      <c r="AXZ1" s="2" t="s">
        <v>1326</v>
      </c>
      <c r="AYA1" s="2" t="s">
        <v>1327</v>
      </c>
      <c r="AYB1" s="2" t="s">
        <v>1328</v>
      </c>
      <c r="AYC1" s="2" t="s">
        <v>1329</v>
      </c>
      <c r="AYD1" s="2" t="s">
        <v>1330</v>
      </c>
      <c r="AYE1" s="2" t="s">
        <v>1331</v>
      </c>
      <c r="AYF1" s="2" t="s">
        <v>1332</v>
      </c>
      <c r="AYG1" s="2" t="s">
        <v>1333</v>
      </c>
      <c r="AYH1" s="2" t="s">
        <v>1334</v>
      </c>
      <c r="AYI1" s="2" t="s">
        <v>1335</v>
      </c>
      <c r="AYJ1" s="2" t="s">
        <v>1336</v>
      </c>
      <c r="AYK1" s="2" t="s">
        <v>1337</v>
      </c>
      <c r="AYL1" s="2" t="s">
        <v>1338</v>
      </c>
      <c r="AYM1" s="2" t="s">
        <v>1339</v>
      </c>
      <c r="AYN1" s="2" t="s">
        <v>1340</v>
      </c>
      <c r="AYO1" s="2" t="s">
        <v>1341</v>
      </c>
      <c r="AYP1" s="2" t="s">
        <v>1342</v>
      </c>
      <c r="AYQ1" s="2" t="s">
        <v>1343</v>
      </c>
      <c r="AYR1" s="2" t="s">
        <v>1344</v>
      </c>
      <c r="AYS1" s="2" t="s">
        <v>1345</v>
      </c>
      <c r="AYT1" s="2" t="s">
        <v>1346</v>
      </c>
      <c r="AYU1" s="2" t="s">
        <v>1347</v>
      </c>
      <c r="AYV1" s="2" t="s">
        <v>1348</v>
      </c>
      <c r="AYW1" s="2" t="s">
        <v>1349</v>
      </c>
      <c r="AYX1" s="2" t="s">
        <v>1350</v>
      </c>
      <c r="AYY1" s="2" t="s">
        <v>1351</v>
      </c>
      <c r="AYZ1" s="2" t="s">
        <v>1352</v>
      </c>
      <c r="AZA1" s="2" t="s">
        <v>1353</v>
      </c>
      <c r="AZB1" s="2" t="s">
        <v>1354</v>
      </c>
      <c r="AZC1" s="2" t="s">
        <v>1355</v>
      </c>
      <c r="AZD1" s="2" t="s">
        <v>1356</v>
      </c>
      <c r="AZE1" s="2" t="s">
        <v>1357</v>
      </c>
      <c r="AZF1" s="2" t="s">
        <v>1358</v>
      </c>
      <c r="AZG1" s="2" t="s">
        <v>1359</v>
      </c>
      <c r="AZH1" s="2" t="s">
        <v>1360</v>
      </c>
      <c r="AZI1" s="2" t="s">
        <v>1361</v>
      </c>
      <c r="AZJ1" s="2" t="s">
        <v>1362</v>
      </c>
      <c r="AZK1" s="2" t="s">
        <v>1363</v>
      </c>
      <c r="AZL1" s="2" t="s">
        <v>1364</v>
      </c>
      <c r="AZM1" s="2" t="s">
        <v>1365</v>
      </c>
      <c r="AZN1" s="2" t="s">
        <v>1366</v>
      </c>
      <c r="AZO1" s="2" t="s">
        <v>1367</v>
      </c>
      <c r="AZP1" s="2" t="s">
        <v>1368</v>
      </c>
      <c r="AZQ1" s="2" t="s">
        <v>1369</v>
      </c>
      <c r="AZR1" s="2" t="s">
        <v>1370</v>
      </c>
      <c r="AZS1" s="2" t="s">
        <v>1371</v>
      </c>
      <c r="AZT1" s="2" t="s">
        <v>1372</v>
      </c>
      <c r="AZU1" s="2" t="s">
        <v>1373</v>
      </c>
      <c r="AZV1" s="2" t="s">
        <v>1374</v>
      </c>
      <c r="AZW1" s="2" t="s">
        <v>1375</v>
      </c>
      <c r="AZX1" s="2" t="s">
        <v>1376</v>
      </c>
      <c r="AZY1" s="2" t="s">
        <v>1377</v>
      </c>
      <c r="AZZ1" s="2" t="s">
        <v>1378</v>
      </c>
      <c r="BAA1" s="2" t="s">
        <v>1379</v>
      </c>
      <c r="BAB1" s="2" t="s">
        <v>1380</v>
      </c>
      <c r="BAC1" s="2" t="s">
        <v>1381</v>
      </c>
      <c r="BAD1" s="2" t="s">
        <v>1382</v>
      </c>
      <c r="BAE1" s="2" t="s">
        <v>1383</v>
      </c>
      <c r="BAF1" s="2" t="s">
        <v>1384</v>
      </c>
      <c r="BAG1" s="2" t="s">
        <v>1385</v>
      </c>
      <c r="BAH1" s="2" t="s">
        <v>1386</v>
      </c>
      <c r="BAI1" s="2" t="s">
        <v>1387</v>
      </c>
      <c r="BAJ1" s="2" t="s">
        <v>1388</v>
      </c>
      <c r="BAK1" s="2" t="s">
        <v>1389</v>
      </c>
      <c r="BAL1" s="2" t="s">
        <v>1390</v>
      </c>
      <c r="BAM1" s="2" t="s">
        <v>1391</v>
      </c>
      <c r="BAN1" s="2" t="s">
        <v>1392</v>
      </c>
      <c r="BAO1" s="2" t="s">
        <v>1393</v>
      </c>
      <c r="BAP1" s="2" t="s">
        <v>1394</v>
      </c>
      <c r="BAQ1" s="2" t="s">
        <v>1395</v>
      </c>
      <c r="BAR1" s="2" t="s">
        <v>1396</v>
      </c>
      <c r="BAS1" s="2" t="s">
        <v>1397</v>
      </c>
      <c r="BAT1" s="2" t="s">
        <v>1398</v>
      </c>
      <c r="BAU1" s="2" t="s">
        <v>1399</v>
      </c>
      <c r="BAV1" s="2" t="s">
        <v>1400</v>
      </c>
      <c r="BAW1" s="2" t="s">
        <v>1401</v>
      </c>
      <c r="BAX1" s="2" t="s">
        <v>1402</v>
      </c>
      <c r="BAY1" s="2" t="s">
        <v>1403</v>
      </c>
      <c r="BAZ1" s="2" t="s">
        <v>1404</v>
      </c>
      <c r="BBA1" s="2" t="s">
        <v>1405</v>
      </c>
      <c r="BBB1" s="2" t="s">
        <v>1406</v>
      </c>
      <c r="BBC1" s="2" t="s">
        <v>1407</v>
      </c>
      <c r="BBD1" s="2" t="s">
        <v>1408</v>
      </c>
      <c r="BBE1" s="2" t="s">
        <v>1409</v>
      </c>
      <c r="BBF1" s="2" t="s">
        <v>1410</v>
      </c>
      <c r="BBG1" s="2" t="s">
        <v>1411</v>
      </c>
      <c r="BBH1" s="2" t="s">
        <v>1412</v>
      </c>
      <c r="BBI1" s="2" t="s">
        <v>1413</v>
      </c>
      <c r="BBJ1" s="2" t="s">
        <v>1414</v>
      </c>
      <c r="BBK1" s="2" t="s">
        <v>1415</v>
      </c>
      <c r="BBL1" s="2" t="s">
        <v>1416</v>
      </c>
      <c r="BBM1" s="2" t="s">
        <v>1417</v>
      </c>
      <c r="BBN1" s="2" t="s">
        <v>1418</v>
      </c>
      <c r="BBO1" s="2" t="s">
        <v>1419</v>
      </c>
      <c r="BBP1" s="2" t="s">
        <v>1420</v>
      </c>
      <c r="BBQ1" s="2" t="s">
        <v>1421</v>
      </c>
      <c r="BBR1" s="2" t="s">
        <v>1422</v>
      </c>
      <c r="BBS1" s="2" t="s">
        <v>1423</v>
      </c>
      <c r="BBT1" s="2" t="s">
        <v>1424</v>
      </c>
      <c r="BBU1" s="2" t="s">
        <v>1425</v>
      </c>
      <c r="BBV1" s="2" t="s">
        <v>1426</v>
      </c>
      <c r="BBW1" s="2" t="s">
        <v>1427</v>
      </c>
      <c r="BBX1" s="2" t="s">
        <v>1428</v>
      </c>
      <c r="BBY1" s="2" t="s">
        <v>1429</v>
      </c>
      <c r="BBZ1" s="2" t="s">
        <v>1430</v>
      </c>
      <c r="BCA1" s="2" t="s">
        <v>1431</v>
      </c>
      <c r="BCB1" s="2" t="s">
        <v>1432</v>
      </c>
      <c r="BCC1" s="2" t="s">
        <v>1433</v>
      </c>
      <c r="BCD1" s="2" t="s">
        <v>1434</v>
      </c>
      <c r="BCE1" s="2" t="s">
        <v>1435</v>
      </c>
      <c r="BCF1" s="2" t="s">
        <v>1436</v>
      </c>
      <c r="BCG1" s="2" t="s">
        <v>1437</v>
      </c>
      <c r="BCH1" s="2" t="s">
        <v>1438</v>
      </c>
      <c r="BCI1" s="2" t="s">
        <v>1439</v>
      </c>
      <c r="BCJ1" s="2" t="s">
        <v>1440</v>
      </c>
      <c r="BCK1" s="2" t="s">
        <v>1441</v>
      </c>
      <c r="BCL1" s="2" t="s">
        <v>1442</v>
      </c>
      <c r="BCM1" s="2" t="s">
        <v>1443</v>
      </c>
      <c r="BCN1" s="2" t="s">
        <v>1444</v>
      </c>
      <c r="BCO1" s="2" t="s">
        <v>1445</v>
      </c>
      <c r="BCP1" s="2" t="s">
        <v>1446</v>
      </c>
      <c r="BCQ1" s="2" t="s">
        <v>1447</v>
      </c>
      <c r="BCR1" s="2" t="s">
        <v>1448</v>
      </c>
      <c r="BCS1" s="2" t="s">
        <v>1449</v>
      </c>
      <c r="BCT1" s="2" t="s">
        <v>1450</v>
      </c>
      <c r="BCU1" s="2" t="s">
        <v>1451</v>
      </c>
      <c r="BCV1" s="2" t="s">
        <v>1452</v>
      </c>
      <c r="BCW1" s="2" t="s">
        <v>1453</v>
      </c>
      <c r="BCX1" s="2" t="s">
        <v>1454</v>
      </c>
      <c r="BCY1" s="2" t="s">
        <v>1455</v>
      </c>
      <c r="BCZ1" s="2" t="s">
        <v>1456</v>
      </c>
      <c r="BDA1" s="2" t="s">
        <v>1457</v>
      </c>
      <c r="BDB1" s="2" t="s">
        <v>1458</v>
      </c>
      <c r="BDC1" s="2" t="s">
        <v>1459</v>
      </c>
      <c r="BDD1" s="2" t="s">
        <v>1460</v>
      </c>
      <c r="BDE1" s="2" t="s">
        <v>1461</v>
      </c>
      <c r="BDF1" s="2" t="s">
        <v>1462</v>
      </c>
      <c r="BDG1" s="2" t="s">
        <v>1463</v>
      </c>
      <c r="BDH1" s="2" t="s">
        <v>1464</v>
      </c>
      <c r="BDI1" s="2" t="s">
        <v>1465</v>
      </c>
      <c r="BDJ1" s="2" t="s">
        <v>1466</v>
      </c>
      <c r="BDK1" s="2" t="s">
        <v>1467</v>
      </c>
      <c r="BDL1" s="2" t="s">
        <v>1468</v>
      </c>
      <c r="BDM1" s="2" t="s">
        <v>1469</v>
      </c>
      <c r="BDN1" s="2" t="s">
        <v>1470</v>
      </c>
      <c r="BDO1" s="2" t="s">
        <v>1471</v>
      </c>
      <c r="BDP1" s="2" t="s">
        <v>1472</v>
      </c>
      <c r="BDQ1" s="2" t="s">
        <v>1473</v>
      </c>
      <c r="BDR1" s="2" t="s">
        <v>1474</v>
      </c>
      <c r="BDS1" s="2" t="s">
        <v>1475</v>
      </c>
      <c r="BDT1" s="2" t="s">
        <v>1476</v>
      </c>
      <c r="BDU1" s="2" t="s">
        <v>1477</v>
      </c>
      <c r="BDV1" s="2" t="s">
        <v>1478</v>
      </c>
      <c r="BDW1" s="2" t="s">
        <v>1479</v>
      </c>
      <c r="BDX1" s="2" t="s">
        <v>1480</v>
      </c>
      <c r="BDY1" s="2" t="s">
        <v>1481</v>
      </c>
      <c r="BDZ1" s="2" t="s">
        <v>1482</v>
      </c>
      <c r="BEA1" s="2" t="s">
        <v>1483</v>
      </c>
      <c r="BEB1" s="2" t="s">
        <v>1484</v>
      </c>
      <c r="BEC1" s="2" t="s">
        <v>1485</v>
      </c>
      <c r="BED1" s="2" t="s">
        <v>1486</v>
      </c>
      <c r="BEE1" s="2" t="s">
        <v>1487</v>
      </c>
      <c r="BEF1" s="2" t="s">
        <v>1488</v>
      </c>
      <c r="BEG1" s="2" t="s">
        <v>1489</v>
      </c>
      <c r="BEH1" s="2" t="s">
        <v>1490</v>
      </c>
      <c r="BEI1" s="2" t="s">
        <v>1491</v>
      </c>
      <c r="BEJ1" s="2" t="s">
        <v>1492</v>
      </c>
      <c r="BEK1" s="2" t="s">
        <v>1493</v>
      </c>
      <c r="BEL1" s="2" t="s">
        <v>1494</v>
      </c>
      <c r="BEM1" s="2" t="s">
        <v>1495</v>
      </c>
      <c r="BEN1" s="2" t="s">
        <v>1496</v>
      </c>
      <c r="BEO1" s="2" t="s">
        <v>1497</v>
      </c>
      <c r="BEP1" s="2" t="s">
        <v>1498</v>
      </c>
      <c r="BEQ1" s="2" t="s">
        <v>1499</v>
      </c>
      <c r="BER1" s="2" t="s">
        <v>1500</v>
      </c>
      <c r="BES1" s="2" t="s">
        <v>1501</v>
      </c>
      <c r="BET1" s="2" t="s">
        <v>1502</v>
      </c>
      <c r="BEU1" s="2" t="s">
        <v>1503</v>
      </c>
      <c r="BEV1" s="2" t="s">
        <v>1504</v>
      </c>
      <c r="BEW1" s="2" t="s">
        <v>1505</v>
      </c>
      <c r="BEX1" s="2" t="s">
        <v>1506</v>
      </c>
      <c r="BEY1" s="2" t="s">
        <v>1507</v>
      </c>
      <c r="BEZ1" s="2" t="s">
        <v>1508</v>
      </c>
      <c r="BFA1" s="2" t="s">
        <v>1509</v>
      </c>
      <c r="BFB1" s="2" t="s">
        <v>1510</v>
      </c>
      <c r="BFC1" s="2" t="s">
        <v>1511</v>
      </c>
      <c r="BFD1" s="2" t="s">
        <v>1512</v>
      </c>
      <c r="BFE1" s="2" t="s">
        <v>1513</v>
      </c>
      <c r="BFF1" s="2" t="s">
        <v>1514</v>
      </c>
      <c r="BFG1" s="2" t="s">
        <v>1515</v>
      </c>
      <c r="BFH1" s="2" t="s">
        <v>1516</v>
      </c>
      <c r="BFI1" s="2" t="s">
        <v>1517</v>
      </c>
      <c r="BFJ1" s="2" t="s">
        <v>1518</v>
      </c>
      <c r="BFK1" s="2" t="s">
        <v>1519</v>
      </c>
      <c r="BFL1" s="2" t="s">
        <v>1520</v>
      </c>
      <c r="BFM1" s="2" t="s">
        <v>1521</v>
      </c>
      <c r="BFN1" s="2" t="s">
        <v>1522</v>
      </c>
      <c r="BFO1" s="2" t="s">
        <v>1523</v>
      </c>
      <c r="BFP1" s="2" t="s">
        <v>1524</v>
      </c>
      <c r="BFQ1" s="2" t="s">
        <v>1525</v>
      </c>
      <c r="BFR1" s="2" t="s">
        <v>1526</v>
      </c>
      <c r="BFS1" s="2" t="s">
        <v>1527</v>
      </c>
      <c r="BFT1" s="2" t="s">
        <v>1528</v>
      </c>
      <c r="BFU1" s="2" t="s">
        <v>1529</v>
      </c>
      <c r="BFV1" s="2" t="s">
        <v>1530</v>
      </c>
      <c r="BFW1" s="2" t="s">
        <v>1531</v>
      </c>
      <c r="BFX1" s="2" t="s">
        <v>1532</v>
      </c>
      <c r="BFY1" s="2" t="s">
        <v>1533</v>
      </c>
      <c r="BFZ1" s="2" t="s">
        <v>1534</v>
      </c>
      <c r="BGA1" s="2" t="s">
        <v>1535</v>
      </c>
      <c r="BGB1" s="2" t="s">
        <v>1536</v>
      </c>
      <c r="BGC1" s="2" t="s">
        <v>1537</v>
      </c>
      <c r="BGD1" s="2" t="s">
        <v>1538</v>
      </c>
      <c r="BGE1" s="2" t="s">
        <v>1539</v>
      </c>
      <c r="BGF1" s="2" t="s">
        <v>1540</v>
      </c>
      <c r="BGG1" s="2" t="s">
        <v>1541</v>
      </c>
      <c r="BGH1" s="2" t="s">
        <v>1542</v>
      </c>
      <c r="BGI1" s="2" t="s">
        <v>1543</v>
      </c>
      <c r="BGJ1" s="2" t="s">
        <v>1544</v>
      </c>
      <c r="BGK1" s="2" t="s">
        <v>1545</v>
      </c>
      <c r="BGL1" s="2" t="s">
        <v>1546</v>
      </c>
      <c r="BGM1" s="2" t="s">
        <v>1547</v>
      </c>
      <c r="BGN1" s="2" t="s">
        <v>1548</v>
      </c>
      <c r="BGO1" s="2" t="s">
        <v>1549</v>
      </c>
      <c r="BGP1" s="2" t="s">
        <v>1550</v>
      </c>
      <c r="BGQ1" s="2" t="s">
        <v>1551</v>
      </c>
      <c r="BGR1" s="2" t="s">
        <v>1552</v>
      </c>
      <c r="BGS1" s="2" t="s">
        <v>1553</v>
      </c>
      <c r="BGT1" s="2" t="s">
        <v>1554</v>
      </c>
      <c r="BGU1" s="2" t="s">
        <v>1555</v>
      </c>
      <c r="BGV1" s="2" t="s">
        <v>1556</v>
      </c>
      <c r="BGW1" s="2" t="s">
        <v>1557</v>
      </c>
      <c r="BGX1" s="2" t="s">
        <v>1558</v>
      </c>
      <c r="BGY1" s="2" t="s">
        <v>1559</v>
      </c>
      <c r="BGZ1" s="2" t="s">
        <v>1560</v>
      </c>
      <c r="BHA1" s="2" t="s">
        <v>1561</v>
      </c>
      <c r="BHB1" s="2" t="s">
        <v>1562</v>
      </c>
      <c r="BHC1" s="2" t="s">
        <v>1563</v>
      </c>
      <c r="BHD1" s="2" t="s">
        <v>1564</v>
      </c>
      <c r="BHE1" s="2" t="s">
        <v>1565</v>
      </c>
      <c r="BHF1" s="2" t="s">
        <v>1566</v>
      </c>
      <c r="BHG1" s="2" t="s">
        <v>1567</v>
      </c>
      <c r="BHH1" s="2" t="s">
        <v>1568</v>
      </c>
      <c r="BHI1" s="2" t="s">
        <v>1569</v>
      </c>
      <c r="BHJ1" s="2" t="s">
        <v>1570</v>
      </c>
      <c r="BHK1" s="2" t="s">
        <v>1571</v>
      </c>
      <c r="BHL1" s="2" t="s">
        <v>1572</v>
      </c>
      <c r="BHM1" s="2" t="s">
        <v>1573</v>
      </c>
      <c r="BHN1" s="2" t="s">
        <v>1574</v>
      </c>
      <c r="BHO1" s="2" t="s">
        <v>1575</v>
      </c>
      <c r="BHP1" s="2" t="s">
        <v>1576</v>
      </c>
      <c r="BHQ1" s="2" t="s">
        <v>1577</v>
      </c>
      <c r="BHR1" s="2" t="s">
        <v>1578</v>
      </c>
      <c r="BHS1" s="2" t="s">
        <v>1579</v>
      </c>
      <c r="BHT1" s="2" t="s">
        <v>1580</v>
      </c>
      <c r="BHU1" s="2" t="s">
        <v>1581</v>
      </c>
      <c r="BHV1" s="2" t="s">
        <v>1582</v>
      </c>
      <c r="BHW1" s="2" t="s">
        <v>1583</v>
      </c>
      <c r="BHX1" s="2" t="s">
        <v>1584</v>
      </c>
      <c r="BHY1" s="2" t="s">
        <v>1585</v>
      </c>
      <c r="BHZ1" s="2" t="s">
        <v>1586</v>
      </c>
      <c r="BIA1" s="2" t="s">
        <v>1587</v>
      </c>
      <c r="BIB1" s="2" t="s">
        <v>1588</v>
      </c>
      <c r="BIC1" s="2" t="s">
        <v>1589</v>
      </c>
      <c r="BID1" s="2" t="s">
        <v>1590</v>
      </c>
      <c r="BIE1" s="2" t="s">
        <v>1591</v>
      </c>
      <c r="BIF1" s="2" t="s">
        <v>1592</v>
      </c>
      <c r="BIG1" s="2" t="s">
        <v>1593</v>
      </c>
      <c r="BIH1" s="2" t="s">
        <v>1594</v>
      </c>
      <c r="BII1" s="2" t="s">
        <v>1595</v>
      </c>
      <c r="BIJ1" s="2" t="s">
        <v>1596</v>
      </c>
      <c r="BIK1" s="2" t="s">
        <v>1597</v>
      </c>
      <c r="BIL1" s="2" t="s">
        <v>1598</v>
      </c>
      <c r="BIM1" s="2" t="s">
        <v>1599</v>
      </c>
      <c r="BIN1" s="2" t="s">
        <v>1600</v>
      </c>
      <c r="BIO1" s="2" t="s">
        <v>1601</v>
      </c>
      <c r="BIP1" s="2" t="s">
        <v>1602</v>
      </c>
      <c r="BIQ1" s="2" t="s">
        <v>1603</v>
      </c>
      <c r="BIR1" s="2" t="s">
        <v>1604</v>
      </c>
      <c r="BIS1" s="2" t="s">
        <v>1605</v>
      </c>
      <c r="BIT1" s="2" t="s">
        <v>1606</v>
      </c>
      <c r="BIU1" s="2" t="s">
        <v>1607</v>
      </c>
      <c r="BIV1" s="2" t="s">
        <v>1608</v>
      </c>
      <c r="BIW1" s="2" t="s">
        <v>1609</v>
      </c>
      <c r="BIX1" s="2" t="s">
        <v>1610</v>
      </c>
      <c r="BIY1" s="2" t="s">
        <v>1611</v>
      </c>
      <c r="BIZ1" s="2" t="s">
        <v>1612</v>
      </c>
      <c r="BJA1" s="2" t="s">
        <v>1613</v>
      </c>
      <c r="BJB1" s="2" t="s">
        <v>1614</v>
      </c>
      <c r="BJC1" s="2" t="s">
        <v>1615</v>
      </c>
      <c r="BJD1" s="2" t="s">
        <v>1616</v>
      </c>
      <c r="BJE1" s="2" t="s">
        <v>1617</v>
      </c>
      <c r="BJF1" s="2" t="s">
        <v>1618</v>
      </c>
      <c r="BJG1" s="2" t="s">
        <v>1619</v>
      </c>
      <c r="BJH1" s="2" t="s">
        <v>1620</v>
      </c>
      <c r="BJI1" s="2" t="s">
        <v>1621</v>
      </c>
      <c r="BJJ1" s="2" t="s">
        <v>1622</v>
      </c>
      <c r="BJK1" s="2" t="s">
        <v>1623</v>
      </c>
      <c r="BJL1" s="2" t="s">
        <v>1624</v>
      </c>
      <c r="BJM1" s="2" t="s">
        <v>1625</v>
      </c>
      <c r="BJN1" s="2" t="s">
        <v>1626</v>
      </c>
      <c r="BJO1" s="2" t="s">
        <v>1627</v>
      </c>
      <c r="BJP1" s="2" t="s">
        <v>1628</v>
      </c>
      <c r="BJQ1" s="2" t="s">
        <v>1629</v>
      </c>
      <c r="BJR1" s="2" t="s">
        <v>1630</v>
      </c>
      <c r="BJS1" s="2" t="s">
        <v>1631</v>
      </c>
      <c r="BJT1" s="2" t="s">
        <v>1632</v>
      </c>
      <c r="BJU1" s="2" t="s">
        <v>1633</v>
      </c>
      <c r="BJV1" s="2" t="s">
        <v>1634</v>
      </c>
      <c r="BJW1" s="2" t="s">
        <v>1635</v>
      </c>
      <c r="BJX1" s="2" t="s">
        <v>1636</v>
      </c>
      <c r="BJY1" s="2" t="s">
        <v>1637</v>
      </c>
      <c r="BJZ1" s="2" t="s">
        <v>1638</v>
      </c>
      <c r="BKA1" s="2" t="s">
        <v>1639</v>
      </c>
      <c r="BKB1" s="2" t="s">
        <v>1640</v>
      </c>
      <c r="BKC1" s="2" t="s">
        <v>1641</v>
      </c>
      <c r="BKD1" s="2" t="s">
        <v>1642</v>
      </c>
      <c r="BKE1" s="2" t="s">
        <v>1643</v>
      </c>
      <c r="BKF1" s="2" t="s">
        <v>1644</v>
      </c>
      <c r="BKG1" s="2" t="s">
        <v>1645</v>
      </c>
      <c r="BKH1" s="2" t="s">
        <v>1646</v>
      </c>
      <c r="BKI1" s="2" t="s">
        <v>1647</v>
      </c>
      <c r="BKJ1" s="2" t="s">
        <v>1648</v>
      </c>
      <c r="BKK1" s="2" t="s">
        <v>1649</v>
      </c>
      <c r="BKL1" s="2" t="s">
        <v>1650</v>
      </c>
      <c r="BKM1" s="2" t="s">
        <v>1651</v>
      </c>
      <c r="BKN1" s="2" t="s">
        <v>1652</v>
      </c>
      <c r="BKO1" s="2" t="s">
        <v>1653</v>
      </c>
      <c r="BKP1" s="2" t="s">
        <v>1654</v>
      </c>
      <c r="BKQ1" s="2" t="s">
        <v>1655</v>
      </c>
      <c r="BKR1" s="2" t="s">
        <v>1656</v>
      </c>
      <c r="BKS1" s="2" t="s">
        <v>1657</v>
      </c>
      <c r="BKT1" s="2" t="s">
        <v>1658</v>
      </c>
      <c r="BKU1" s="2" t="s">
        <v>1659</v>
      </c>
      <c r="BKV1" s="2" t="s">
        <v>1660</v>
      </c>
      <c r="BKW1" s="2" t="s">
        <v>1661</v>
      </c>
      <c r="BKX1" s="2" t="s">
        <v>1662</v>
      </c>
      <c r="BKY1" s="2" t="s">
        <v>1663</v>
      </c>
      <c r="BKZ1" s="2" t="s">
        <v>1664</v>
      </c>
      <c r="BLA1" s="2" t="s">
        <v>1665</v>
      </c>
      <c r="BLB1" s="2" t="s">
        <v>1666</v>
      </c>
      <c r="BLC1" s="2" t="s">
        <v>1667</v>
      </c>
      <c r="BLD1" s="2" t="s">
        <v>1668</v>
      </c>
      <c r="BLE1" s="2" t="s">
        <v>1669</v>
      </c>
      <c r="BLF1" s="2" t="s">
        <v>1670</v>
      </c>
      <c r="BLG1" s="2" t="s">
        <v>1671</v>
      </c>
      <c r="BLH1" s="2" t="s">
        <v>1672</v>
      </c>
      <c r="BLI1" s="2" t="s">
        <v>1673</v>
      </c>
      <c r="BLJ1" s="2" t="s">
        <v>1674</v>
      </c>
      <c r="BLK1" s="2" t="s">
        <v>1675</v>
      </c>
      <c r="BLL1" s="2" t="s">
        <v>1676</v>
      </c>
      <c r="BLM1" s="2" t="s">
        <v>1677</v>
      </c>
      <c r="BLN1" s="2" t="s">
        <v>1678</v>
      </c>
      <c r="BLO1" s="2" t="s">
        <v>1679</v>
      </c>
      <c r="BLP1" s="2" t="s">
        <v>1680</v>
      </c>
      <c r="BLQ1" s="2" t="s">
        <v>1681</v>
      </c>
      <c r="BLR1" s="2" t="s">
        <v>1682</v>
      </c>
      <c r="BLS1" s="2" t="s">
        <v>1683</v>
      </c>
      <c r="BLT1" s="2" t="s">
        <v>1684</v>
      </c>
      <c r="BLU1" s="2" t="s">
        <v>1685</v>
      </c>
      <c r="BLV1" s="2" t="s">
        <v>1686</v>
      </c>
      <c r="BLW1" s="2" t="s">
        <v>1687</v>
      </c>
      <c r="BLX1" s="2" t="s">
        <v>1688</v>
      </c>
      <c r="BLY1" s="2" t="s">
        <v>1689</v>
      </c>
      <c r="BLZ1" s="2" t="s">
        <v>1690</v>
      </c>
      <c r="BMA1" s="2" t="s">
        <v>1691</v>
      </c>
      <c r="BMB1" s="2" t="s">
        <v>1692</v>
      </c>
      <c r="BMC1" s="2" t="s">
        <v>1693</v>
      </c>
      <c r="BMD1" s="2" t="s">
        <v>1694</v>
      </c>
      <c r="BME1" s="2" t="s">
        <v>1695</v>
      </c>
      <c r="BMF1" s="2" t="s">
        <v>1696</v>
      </c>
      <c r="BMG1" s="2" t="s">
        <v>1697</v>
      </c>
      <c r="BMH1" s="2" t="s">
        <v>1698</v>
      </c>
      <c r="BMI1" s="2" t="s">
        <v>1699</v>
      </c>
      <c r="BMJ1" s="2" t="s">
        <v>1700</v>
      </c>
      <c r="BMK1" s="2" t="s">
        <v>1701</v>
      </c>
      <c r="BML1" s="2" t="s">
        <v>1702</v>
      </c>
      <c r="BMM1" s="2" t="s">
        <v>1703</v>
      </c>
      <c r="BMN1" s="2" t="s">
        <v>1704</v>
      </c>
      <c r="BMO1" s="2" t="s">
        <v>1705</v>
      </c>
      <c r="BMP1" s="2" t="s">
        <v>1706</v>
      </c>
      <c r="BMQ1" s="2" t="s">
        <v>1707</v>
      </c>
      <c r="BMR1" s="2" t="s">
        <v>1708</v>
      </c>
      <c r="BMS1" s="2" t="s">
        <v>1709</v>
      </c>
      <c r="BMT1" s="2" t="s">
        <v>1710</v>
      </c>
      <c r="BMU1" s="2" t="s">
        <v>1711</v>
      </c>
      <c r="BMV1" s="2" t="s">
        <v>1712</v>
      </c>
      <c r="BMW1" s="2" t="s">
        <v>1713</v>
      </c>
      <c r="BMX1" s="2" t="s">
        <v>1714</v>
      </c>
      <c r="BMY1" s="2" t="s">
        <v>1715</v>
      </c>
      <c r="BMZ1" s="2" t="s">
        <v>1716</v>
      </c>
      <c r="BNA1" s="2" t="s">
        <v>1717</v>
      </c>
      <c r="BNB1" s="2" t="s">
        <v>1718</v>
      </c>
      <c r="BNC1" s="2" t="s">
        <v>1719</v>
      </c>
      <c r="BND1" s="2" t="s">
        <v>1720</v>
      </c>
      <c r="BNE1" s="2" t="s">
        <v>1721</v>
      </c>
      <c r="BNF1" s="2" t="s">
        <v>1722</v>
      </c>
      <c r="BNG1" s="2" t="s">
        <v>1723</v>
      </c>
      <c r="BNH1" s="2" t="s">
        <v>1724</v>
      </c>
      <c r="BNI1" s="2" t="s">
        <v>1725</v>
      </c>
      <c r="BNJ1" s="2" t="s">
        <v>1726</v>
      </c>
      <c r="BNK1" s="2" t="s">
        <v>1727</v>
      </c>
      <c r="BNL1" s="2" t="s">
        <v>1728</v>
      </c>
      <c r="BNM1" s="2" t="s">
        <v>1729</v>
      </c>
      <c r="BNN1" s="2" t="s">
        <v>1730</v>
      </c>
      <c r="BNO1" s="2" t="s">
        <v>1731</v>
      </c>
      <c r="BNP1" s="2" t="s">
        <v>1732</v>
      </c>
      <c r="BNQ1" s="2" t="s">
        <v>1733</v>
      </c>
      <c r="BNR1" s="2" t="s">
        <v>1734</v>
      </c>
      <c r="BNS1" s="2" t="s">
        <v>1735</v>
      </c>
      <c r="BNT1" s="2" t="s">
        <v>1736</v>
      </c>
      <c r="BNU1" s="2" t="s">
        <v>1737</v>
      </c>
      <c r="BNV1" s="2" t="s">
        <v>1738</v>
      </c>
      <c r="BNW1" s="2" t="s">
        <v>1739</v>
      </c>
      <c r="BNX1" s="2" t="s">
        <v>1740</v>
      </c>
      <c r="BNY1" s="2" t="s">
        <v>1741</v>
      </c>
      <c r="BNZ1" s="2" t="s">
        <v>1742</v>
      </c>
      <c r="BOA1" s="2" t="s">
        <v>1743</v>
      </c>
      <c r="BOB1" s="2" t="s">
        <v>1744</v>
      </c>
      <c r="BOC1" s="2" t="s">
        <v>1745</v>
      </c>
      <c r="BOD1" s="2" t="s">
        <v>1746</v>
      </c>
      <c r="BOE1" s="2" t="s">
        <v>1747</v>
      </c>
      <c r="BOF1" s="2" t="s">
        <v>1748</v>
      </c>
      <c r="BOG1" s="2" t="s">
        <v>1749</v>
      </c>
      <c r="BOH1" s="2" t="s">
        <v>1750</v>
      </c>
      <c r="BOI1" s="2" t="s">
        <v>1751</v>
      </c>
      <c r="BOJ1" s="2" t="s">
        <v>1752</v>
      </c>
      <c r="BOK1" s="2" t="s">
        <v>1753</v>
      </c>
      <c r="BOL1" s="2" t="s">
        <v>1754</v>
      </c>
      <c r="BOM1" s="2" t="s">
        <v>1755</v>
      </c>
      <c r="BON1" s="2" t="s">
        <v>1756</v>
      </c>
      <c r="BOO1" s="2" t="s">
        <v>1757</v>
      </c>
      <c r="BOP1" s="2" t="s">
        <v>1758</v>
      </c>
      <c r="BOQ1" s="2" t="s">
        <v>1759</v>
      </c>
      <c r="BOR1" s="2" t="s">
        <v>1760</v>
      </c>
      <c r="BOS1" s="2" t="s">
        <v>1761</v>
      </c>
      <c r="BOT1" s="2" t="s">
        <v>1762</v>
      </c>
      <c r="BOU1" s="2" t="s">
        <v>1763</v>
      </c>
      <c r="BOV1" s="2" t="s">
        <v>1764</v>
      </c>
      <c r="BOW1" s="2" t="s">
        <v>1765</v>
      </c>
      <c r="BOX1" s="2" t="s">
        <v>1766</v>
      </c>
      <c r="BOY1" s="2" t="s">
        <v>1767</v>
      </c>
      <c r="BOZ1" s="2" t="s">
        <v>1768</v>
      </c>
      <c r="BPA1" s="2" t="s">
        <v>1769</v>
      </c>
      <c r="BPB1" s="2" t="s">
        <v>1770</v>
      </c>
      <c r="BPC1" s="2" t="s">
        <v>1771</v>
      </c>
      <c r="BPD1" s="2" t="s">
        <v>1772</v>
      </c>
      <c r="BPE1" s="2" t="s">
        <v>1773</v>
      </c>
      <c r="BPF1" s="2" t="s">
        <v>1774</v>
      </c>
      <c r="BPG1" s="2" t="s">
        <v>1775</v>
      </c>
      <c r="BPH1" s="2" t="s">
        <v>1776</v>
      </c>
      <c r="BPI1" s="2" t="s">
        <v>1777</v>
      </c>
      <c r="BPJ1" s="2" t="s">
        <v>1778</v>
      </c>
      <c r="BPK1" s="2" t="s">
        <v>1779</v>
      </c>
      <c r="BPL1" s="2" t="s">
        <v>1780</v>
      </c>
      <c r="BPM1" s="2" t="s">
        <v>1781</v>
      </c>
      <c r="BPN1" s="2" t="s">
        <v>1782</v>
      </c>
      <c r="BPO1" s="2" t="s">
        <v>1783</v>
      </c>
      <c r="BPP1" s="2" t="s">
        <v>1784</v>
      </c>
      <c r="BPQ1" s="2" t="s">
        <v>1785</v>
      </c>
      <c r="BPR1" s="2" t="s">
        <v>1786</v>
      </c>
      <c r="BPS1" s="2" t="s">
        <v>1787</v>
      </c>
      <c r="BPT1" s="2" t="s">
        <v>1788</v>
      </c>
      <c r="BPU1" s="2" t="s">
        <v>1789</v>
      </c>
      <c r="BPV1" s="2" t="s">
        <v>1790</v>
      </c>
      <c r="BPW1" s="2" t="s">
        <v>1791</v>
      </c>
      <c r="BPX1" s="2" t="s">
        <v>1792</v>
      </c>
      <c r="BPY1" s="2" t="s">
        <v>1793</v>
      </c>
      <c r="BPZ1" s="2" t="s">
        <v>1794</v>
      </c>
      <c r="BQA1" s="2" t="s">
        <v>1795</v>
      </c>
      <c r="BQB1" s="2" t="s">
        <v>1796</v>
      </c>
      <c r="BQC1" s="2" t="s">
        <v>1797</v>
      </c>
      <c r="BQD1" s="2" t="s">
        <v>1798</v>
      </c>
      <c r="BQE1" s="2" t="s">
        <v>1799</v>
      </c>
      <c r="BQF1" s="2" t="s">
        <v>1800</v>
      </c>
      <c r="BQG1" s="2" t="s">
        <v>1801</v>
      </c>
      <c r="BQH1" s="2" t="s">
        <v>1802</v>
      </c>
      <c r="BQI1" s="2" t="s">
        <v>1803</v>
      </c>
      <c r="BQJ1" s="2" t="s">
        <v>1804</v>
      </c>
      <c r="BQK1" s="2" t="s">
        <v>1805</v>
      </c>
      <c r="BQL1" s="2" t="s">
        <v>1806</v>
      </c>
      <c r="BQM1" s="2" t="s">
        <v>1807</v>
      </c>
      <c r="BQN1" s="2" t="s">
        <v>1808</v>
      </c>
      <c r="BQO1" s="2" t="s">
        <v>1809</v>
      </c>
      <c r="BQP1" s="2" t="s">
        <v>1810</v>
      </c>
      <c r="BQQ1" s="2" t="s">
        <v>1811</v>
      </c>
      <c r="BQR1" s="2" t="s">
        <v>1812</v>
      </c>
      <c r="BQS1" s="2" t="s">
        <v>1813</v>
      </c>
      <c r="BQT1" s="2" t="s">
        <v>1814</v>
      </c>
      <c r="BQU1" s="2" t="s">
        <v>1815</v>
      </c>
      <c r="BQV1" s="2" t="s">
        <v>1816</v>
      </c>
      <c r="BQW1" s="2" t="s">
        <v>1817</v>
      </c>
      <c r="BQX1" s="2" t="s">
        <v>1818</v>
      </c>
      <c r="BQY1" s="2" t="s">
        <v>1819</v>
      </c>
      <c r="BQZ1" s="2" t="s">
        <v>1820</v>
      </c>
      <c r="BRA1" s="2" t="s">
        <v>1821</v>
      </c>
      <c r="BRB1" s="2" t="s">
        <v>1822</v>
      </c>
      <c r="BRC1" s="2" t="s">
        <v>1823</v>
      </c>
      <c r="BRD1" s="2" t="s">
        <v>1824</v>
      </c>
      <c r="BRE1" s="2" t="s">
        <v>1825</v>
      </c>
      <c r="BRF1" s="2" t="s">
        <v>1826</v>
      </c>
      <c r="BRG1" s="2" t="s">
        <v>1827</v>
      </c>
      <c r="BRH1" s="2" t="s">
        <v>1828</v>
      </c>
      <c r="BRI1" s="2" t="s">
        <v>1829</v>
      </c>
      <c r="BRJ1" s="2" t="s">
        <v>1830</v>
      </c>
      <c r="BRK1" s="2" t="s">
        <v>1831</v>
      </c>
      <c r="BRL1" s="2" t="s">
        <v>1832</v>
      </c>
      <c r="BRM1" s="2" t="s">
        <v>1833</v>
      </c>
      <c r="BRN1" s="2" t="s">
        <v>1834</v>
      </c>
      <c r="BRO1" s="2" t="s">
        <v>1835</v>
      </c>
      <c r="BRP1" s="2" t="s">
        <v>1836</v>
      </c>
      <c r="BRQ1" s="2" t="s">
        <v>1837</v>
      </c>
      <c r="BRR1" s="2" t="s">
        <v>1838</v>
      </c>
      <c r="BRS1" s="2" t="s">
        <v>1839</v>
      </c>
      <c r="BRT1" s="2" t="s">
        <v>1840</v>
      </c>
      <c r="BRU1" s="2" t="s">
        <v>1841</v>
      </c>
      <c r="BRV1" s="2" t="s">
        <v>1842</v>
      </c>
      <c r="BRW1" s="2" t="s">
        <v>1843</v>
      </c>
      <c r="BRX1" s="2" t="s">
        <v>1844</v>
      </c>
      <c r="BRY1" s="2" t="s">
        <v>1845</v>
      </c>
      <c r="BRZ1" s="2" t="s">
        <v>1846</v>
      </c>
      <c r="BSA1" s="2" t="s">
        <v>1847</v>
      </c>
      <c r="BSB1" s="2" t="s">
        <v>1848</v>
      </c>
      <c r="BSC1" s="2" t="s">
        <v>1849</v>
      </c>
      <c r="BSD1" s="2" t="s">
        <v>1850</v>
      </c>
      <c r="BSE1" s="2" t="s">
        <v>1851</v>
      </c>
      <c r="BSF1" s="2" t="s">
        <v>1852</v>
      </c>
      <c r="BSG1" s="2" t="s">
        <v>1853</v>
      </c>
      <c r="BSH1" s="2" t="s">
        <v>1854</v>
      </c>
      <c r="BSI1" s="2" t="s">
        <v>1855</v>
      </c>
      <c r="BSJ1" s="2" t="s">
        <v>1856</v>
      </c>
      <c r="BSK1" s="2" t="s">
        <v>1857</v>
      </c>
      <c r="BSL1" s="2" t="s">
        <v>1858</v>
      </c>
      <c r="BSM1" s="2" t="s">
        <v>1859</v>
      </c>
      <c r="BSN1" s="2" t="s">
        <v>1860</v>
      </c>
      <c r="BSO1" s="2" t="s">
        <v>1861</v>
      </c>
      <c r="BSP1" s="2" t="s">
        <v>1862</v>
      </c>
      <c r="BSQ1" s="2" t="s">
        <v>1863</v>
      </c>
      <c r="BSR1" s="2" t="s">
        <v>1864</v>
      </c>
      <c r="BSS1" s="2" t="s">
        <v>1865</v>
      </c>
      <c r="BST1" s="2" t="s">
        <v>1866</v>
      </c>
      <c r="BSU1" s="2" t="s">
        <v>1867</v>
      </c>
      <c r="BSV1" s="2" t="s">
        <v>1868</v>
      </c>
      <c r="BSW1" s="2" t="s">
        <v>1869</v>
      </c>
      <c r="BSX1" s="2" t="s">
        <v>1870</v>
      </c>
      <c r="BSY1" s="2" t="s">
        <v>1871</v>
      </c>
      <c r="BSZ1" s="2" t="s">
        <v>1872</v>
      </c>
      <c r="BTA1" s="2" t="s">
        <v>1873</v>
      </c>
      <c r="BTB1" s="2" t="s">
        <v>1874</v>
      </c>
      <c r="BTC1" s="2" t="s">
        <v>1875</v>
      </c>
      <c r="BTD1" s="2" t="s">
        <v>1876</v>
      </c>
      <c r="BTE1" s="2" t="s">
        <v>1877</v>
      </c>
      <c r="BTF1" s="2" t="s">
        <v>1878</v>
      </c>
      <c r="BTG1" s="2" t="s">
        <v>1879</v>
      </c>
      <c r="BTH1" s="2" t="s">
        <v>1880</v>
      </c>
      <c r="BTI1" s="2" t="s">
        <v>1881</v>
      </c>
      <c r="BTJ1" s="2" t="s">
        <v>1882</v>
      </c>
      <c r="BTK1" s="2" t="s">
        <v>1883</v>
      </c>
      <c r="BTL1" s="2" t="s">
        <v>1884</v>
      </c>
      <c r="BTM1" s="2" t="s">
        <v>1885</v>
      </c>
      <c r="BTN1" s="2" t="s">
        <v>1886</v>
      </c>
      <c r="BTO1" s="2" t="s">
        <v>1887</v>
      </c>
      <c r="BTP1" s="2" t="s">
        <v>1888</v>
      </c>
      <c r="BTQ1" s="2" t="s">
        <v>1889</v>
      </c>
      <c r="BTR1" s="2" t="s">
        <v>1890</v>
      </c>
      <c r="BTS1" s="2" t="s">
        <v>1891</v>
      </c>
      <c r="BTT1" s="2" t="s">
        <v>1892</v>
      </c>
      <c r="BTU1" s="2" t="s">
        <v>1893</v>
      </c>
      <c r="BTV1" s="2" t="s">
        <v>1894</v>
      </c>
      <c r="BTW1" s="2" t="s">
        <v>1895</v>
      </c>
      <c r="BTX1" s="2" t="s">
        <v>1896</v>
      </c>
      <c r="BTY1" s="2" t="s">
        <v>1897</v>
      </c>
      <c r="BTZ1" s="2" t="s">
        <v>1898</v>
      </c>
      <c r="BUA1" s="2" t="s">
        <v>1899</v>
      </c>
      <c r="BUB1" s="2" t="s">
        <v>1900</v>
      </c>
      <c r="BUC1" s="2" t="s">
        <v>1901</v>
      </c>
      <c r="BUD1" s="2" t="s">
        <v>1902</v>
      </c>
      <c r="BUE1" s="2" t="s">
        <v>1903</v>
      </c>
      <c r="BUF1" s="2" t="s">
        <v>1904</v>
      </c>
      <c r="BUG1" s="2" t="s">
        <v>1905</v>
      </c>
      <c r="BUH1" s="2" t="s">
        <v>1906</v>
      </c>
      <c r="BUI1" s="2" t="s">
        <v>1907</v>
      </c>
      <c r="BUJ1" s="2" t="s">
        <v>1908</v>
      </c>
      <c r="BUK1" s="2" t="s">
        <v>1909</v>
      </c>
      <c r="BUL1" s="2" t="s">
        <v>1910</v>
      </c>
      <c r="BUM1" s="2" t="s">
        <v>1911</v>
      </c>
      <c r="BUN1" s="2" t="s">
        <v>1912</v>
      </c>
      <c r="BUO1" s="2" t="s">
        <v>1913</v>
      </c>
      <c r="BUP1" s="2" t="s">
        <v>1914</v>
      </c>
      <c r="BUQ1" s="2" t="s">
        <v>1915</v>
      </c>
      <c r="BUR1" s="2" t="s">
        <v>1916</v>
      </c>
      <c r="BUS1" s="2" t="s">
        <v>1917</v>
      </c>
      <c r="BUT1" s="2" t="s">
        <v>1918</v>
      </c>
      <c r="BUU1" s="2" t="s">
        <v>1919</v>
      </c>
      <c r="BUV1" s="2" t="s">
        <v>1920</v>
      </c>
      <c r="BUW1" s="2" t="s">
        <v>1921</v>
      </c>
      <c r="BUX1" s="2" t="s">
        <v>1922</v>
      </c>
      <c r="BUY1" s="2" t="s">
        <v>1923</v>
      </c>
      <c r="BUZ1" s="2" t="s">
        <v>1924</v>
      </c>
      <c r="BVA1" s="2" t="s">
        <v>1925</v>
      </c>
      <c r="BVB1" s="2" t="s">
        <v>1926</v>
      </c>
      <c r="BVC1" s="2" t="s">
        <v>1927</v>
      </c>
      <c r="BVD1" s="2" t="s">
        <v>1928</v>
      </c>
      <c r="BVE1" s="2" t="s">
        <v>1929</v>
      </c>
      <c r="BVF1" s="2" t="s">
        <v>1930</v>
      </c>
      <c r="BVG1" s="2" t="s">
        <v>1931</v>
      </c>
      <c r="BVH1" s="2" t="s">
        <v>1932</v>
      </c>
      <c r="BVI1" s="2" t="s">
        <v>1933</v>
      </c>
      <c r="BVJ1" s="2" t="s">
        <v>1934</v>
      </c>
      <c r="BVK1" s="2" t="s">
        <v>1935</v>
      </c>
      <c r="BVL1" s="2" t="s">
        <v>1936</v>
      </c>
      <c r="BVM1" s="2" t="s">
        <v>1937</v>
      </c>
      <c r="BVN1" s="2" t="s">
        <v>1938</v>
      </c>
      <c r="BVO1" s="2" t="s">
        <v>1939</v>
      </c>
      <c r="BVP1" s="2" t="s">
        <v>1940</v>
      </c>
      <c r="BVQ1" s="2" t="s">
        <v>1941</v>
      </c>
      <c r="BVR1" s="2" t="s">
        <v>1942</v>
      </c>
      <c r="BVS1" s="2" t="s">
        <v>1943</v>
      </c>
      <c r="BVT1" s="2" t="s">
        <v>1944</v>
      </c>
      <c r="BVU1" s="2" t="s">
        <v>1945</v>
      </c>
      <c r="BVV1" s="2" t="s">
        <v>1946</v>
      </c>
      <c r="BVW1" s="2" t="s">
        <v>1947</v>
      </c>
      <c r="BVX1" s="2" t="s">
        <v>1948</v>
      </c>
      <c r="BVY1" s="2" t="s">
        <v>1949</v>
      </c>
      <c r="BVZ1" s="2" t="s">
        <v>1950</v>
      </c>
      <c r="BWA1" s="2" t="s">
        <v>1951</v>
      </c>
      <c r="BWB1" s="2" t="s">
        <v>1952</v>
      </c>
      <c r="BWC1" s="2" t="s">
        <v>1953</v>
      </c>
      <c r="BWD1" s="2" t="s">
        <v>1954</v>
      </c>
      <c r="BWE1" s="2" t="s">
        <v>1955</v>
      </c>
      <c r="BWF1" s="2" t="s">
        <v>1956</v>
      </c>
      <c r="BWG1" s="2" t="s">
        <v>1957</v>
      </c>
      <c r="BWH1" s="2" t="s">
        <v>1958</v>
      </c>
      <c r="BWI1" s="2" t="s">
        <v>1959</v>
      </c>
      <c r="BWJ1" s="2" t="s">
        <v>1960</v>
      </c>
      <c r="BWK1" s="2" t="s">
        <v>1961</v>
      </c>
      <c r="BWL1" s="2" t="s">
        <v>1962</v>
      </c>
      <c r="BWM1" s="2" t="s">
        <v>1963</v>
      </c>
      <c r="BWN1" s="2" t="s">
        <v>1964</v>
      </c>
      <c r="BWO1" s="2" t="s">
        <v>1965</v>
      </c>
      <c r="BWP1" s="2" t="s">
        <v>1966</v>
      </c>
      <c r="BWQ1" s="2" t="s">
        <v>1967</v>
      </c>
      <c r="BWR1" s="2" t="s">
        <v>1968</v>
      </c>
      <c r="BWS1" s="2" t="s">
        <v>1969</v>
      </c>
      <c r="BWT1" s="2" t="s">
        <v>1970</v>
      </c>
      <c r="BWU1" s="2" t="s">
        <v>1971</v>
      </c>
      <c r="BWV1" s="2" t="s">
        <v>1972</v>
      </c>
      <c r="BWW1" s="2" t="s">
        <v>1973</v>
      </c>
      <c r="BWX1" s="2" t="s">
        <v>1974</v>
      </c>
      <c r="BWY1" s="2" t="s">
        <v>1975</v>
      </c>
      <c r="BWZ1" s="2" t="s">
        <v>1976</v>
      </c>
      <c r="BXA1" s="2" t="s">
        <v>1977</v>
      </c>
      <c r="BXB1" s="2" t="s">
        <v>1978</v>
      </c>
      <c r="BXC1" s="2" t="s">
        <v>1979</v>
      </c>
      <c r="BXD1" s="2" t="s">
        <v>1980</v>
      </c>
      <c r="BXE1" s="2" t="s">
        <v>1981</v>
      </c>
      <c r="BXF1" s="2" t="s">
        <v>1982</v>
      </c>
      <c r="BXG1" s="2" t="s">
        <v>1983</v>
      </c>
      <c r="BXH1" s="2" t="s">
        <v>1984</v>
      </c>
      <c r="BXI1" s="2" t="s">
        <v>1985</v>
      </c>
      <c r="BXJ1" s="2" t="s">
        <v>1986</v>
      </c>
      <c r="BXK1" s="2" t="s">
        <v>1987</v>
      </c>
      <c r="BXL1" s="2" t="s">
        <v>1988</v>
      </c>
      <c r="BXM1" s="2" t="s">
        <v>1989</v>
      </c>
      <c r="BXN1" s="2" t="s">
        <v>1990</v>
      </c>
      <c r="BXO1" s="2" t="s">
        <v>1991</v>
      </c>
      <c r="BXP1" s="2" t="s">
        <v>1992</v>
      </c>
      <c r="BXQ1" s="2" t="s">
        <v>1993</v>
      </c>
      <c r="BXR1" s="2" t="s">
        <v>1994</v>
      </c>
      <c r="BXS1" s="2" t="s">
        <v>1995</v>
      </c>
      <c r="BXT1" s="2" t="s">
        <v>1996</v>
      </c>
      <c r="BXU1" s="2" t="s">
        <v>1997</v>
      </c>
      <c r="BXV1" s="2" t="s">
        <v>1998</v>
      </c>
      <c r="BXW1" s="2" t="s">
        <v>1999</v>
      </c>
      <c r="BXX1" s="2" t="s">
        <v>2000</v>
      </c>
      <c r="BXY1" s="2" t="s">
        <v>2001</v>
      </c>
      <c r="BXZ1" s="2" t="s">
        <v>2002</v>
      </c>
      <c r="BYA1" s="2" t="s">
        <v>2003</v>
      </c>
      <c r="BYB1" s="2" t="s">
        <v>2004</v>
      </c>
      <c r="BYC1" s="2" t="s">
        <v>2005</v>
      </c>
      <c r="BYD1" s="2" t="s">
        <v>2006</v>
      </c>
      <c r="BYE1" s="2" t="s">
        <v>2007</v>
      </c>
      <c r="BYF1" s="2" t="s">
        <v>2008</v>
      </c>
      <c r="BYG1" s="2" t="s">
        <v>2009</v>
      </c>
      <c r="BYH1" s="2" t="s">
        <v>2010</v>
      </c>
      <c r="BYI1" s="2" t="s">
        <v>2011</v>
      </c>
      <c r="BYJ1" s="2" t="s">
        <v>2012</v>
      </c>
      <c r="BYK1" s="2" t="s">
        <v>2013</v>
      </c>
      <c r="BYL1" s="2" t="s">
        <v>2014</v>
      </c>
      <c r="BYM1" s="2" t="s">
        <v>2015</v>
      </c>
      <c r="BYN1" s="2" t="s">
        <v>2016</v>
      </c>
      <c r="BYO1" s="2" t="s">
        <v>2017</v>
      </c>
      <c r="BYP1" s="2" t="s">
        <v>2018</v>
      </c>
      <c r="BYQ1" s="2" t="s">
        <v>2019</v>
      </c>
      <c r="BYR1" s="2" t="s">
        <v>2020</v>
      </c>
      <c r="BYS1" s="2" t="s">
        <v>2021</v>
      </c>
      <c r="BYT1" s="2" t="s">
        <v>2022</v>
      </c>
      <c r="BYU1" s="2" t="s">
        <v>2023</v>
      </c>
      <c r="BYV1" s="2" t="s">
        <v>2024</v>
      </c>
      <c r="BYW1" s="2" t="s">
        <v>2025</v>
      </c>
      <c r="BYX1" s="2" t="s">
        <v>2026</v>
      </c>
      <c r="BYY1" s="2" t="s">
        <v>2027</v>
      </c>
      <c r="BYZ1" s="2" t="s">
        <v>2028</v>
      </c>
      <c r="BZA1" s="2" t="s">
        <v>2029</v>
      </c>
      <c r="BZB1" s="2" t="s">
        <v>2030</v>
      </c>
      <c r="BZC1" s="2" t="s">
        <v>2031</v>
      </c>
      <c r="BZD1" s="2" t="s">
        <v>2032</v>
      </c>
      <c r="BZE1" s="2" t="s">
        <v>2033</v>
      </c>
      <c r="BZF1" s="2" t="s">
        <v>2034</v>
      </c>
      <c r="BZG1" s="2" t="s">
        <v>2035</v>
      </c>
      <c r="BZH1" s="2" t="s">
        <v>2036</v>
      </c>
      <c r="BZI1" s="2" t="s">
        <v>2037</v>
      </c>
      <c r="BZJ1" s="2" t="s">
        <v>2038</v>
      </c>
      <c r="BZK1" s="2" t="s">
        <v>2039</v>
      </c>
      <c r="BZL1" s="2" t="s">
        <v>2040</v>
      </c>
      <c r="BZM1" s="2" t="s">
        <v>2041</v>
      </c>
      <c r="BZN1" s="2" t="s">
        <v>2042</v>
      </c>
      <c r="BZO1" s="2" t="s">
        <v>2043</v>
      </c>
      <c r="BZP1" s="2" t="s">
        <v>2044</v>
      </c>
      <c r="BZQ1" s="2" t="s">
        <v>2045</v>
      </c>
      <c r="BZR1" s="2" t="s">
        <v>2046</v>
      </c>
      <c r="BZS1" s="2" t="s">
        <v>2047</v>
      </c>
      <c r="BZT1" s="2" t="s">
        <v>2048</v>
      </c>
      <c r="BZU1" s="2" t="s">
        <v>2049</v>
      </c>
      <c r="BZV1" s="2" t="s">
        <v>2050</v>
      </c>
      <c r="BZW1" s="2" t="s">
        <v>2051</v>
      </c>
      <c r="BZX1" s="2" t="s">
        <v>2052</v>
      </c>
      <c r="BZY1" s="2" t="s">
        <v>2053</v>
      </c>
      <c r="BZZ1" s="2" t="s">
        <v>2054</v>
      </c>
      <c r="CAA1" s="2" t="s">
        <v>2055</v>
      </c>
      <c r="CAB1" s="2" t="s">
        <v>2056</v>
      </c>
      <c r="CAC1" s="2" t="s">
        <v>2057</v>
      </c>
      <c r="CAD1" s="2" t="s">
        <v>2058</v>
      </c>
      <c r="CAE1" s="2" t="s">
        <v>2059</v>
      </c>
      <c r="CAF1" s="2" t="s">
        <v>2060</v>
      </c>
      <c r="CAG1" s="2" t="s">
        <v>2061</v>
      </c>
      <c r="CAH1" s="2" t="s">
        <v>2062</v>
      </c>
      <c r="CAI1" s="2" t="s">
        <v>2063</v>
      </c>
      <c r="CAJ1" s="2" t="s">
        <v>2064</v>
      </c>
      <c r="CAK1" s="2" t="s">
        <v>2065</v>
      </c>
      <c r="CAL1" s="2" t="s">
        <v>2066</v>
      </c>
      <c r="CAM1" s="2" t="s">
        <v>2067</v>
      </c>
      <c r="CAN1" s="2" t="s">
        <v>2068</v>
      </c>
      <c r="CAO1" s="2" t="s">
        <v>2069</v>
      </c>
      <c r="CAP1" s="2" t="s">
        <v>2070</v>
      </c>
      <c r="CAQ1" s="2" t="s">
        <v>2071</v>
      </c>
      <c r="CAR1" s="2" t="s">
        <v>2072</v>
      </c>
      <c r="CAS1" s="2" t="s">
        <v>2073</v>
      </c>
      <c r="CAT1" s="2" t="s">
        <v>2074</v>
      </c>
      <c r="CAU1" s="2" t="s">
        <v>2075</v>
      </c>
      <c r="CAV1" s="2" t="s">
        <v>2076</v>
      </c>
      <c r="CAW1" s="2" t="s">
        <v>2077</v>
      </c>
      <c r="CAX1" s="2" t="s">
        <v>2078</v>
      </c>
      <c r="CAY1" s="2" t="s">
        <v>2079</v>
      </c>
      <c r="CAZ1" s="2" t="s">
        <v>2080</v>
      </c>
      <c r="CBA1" s="2" t="s">
        <v>2081</v>
      </c>
      <c r="CBB1" s="2" t="s">
        <v>2082</v>
      </c>
      <c r="CBC1" s="2" t="s">
        <v>2083</v>
      </c>
      <c r="CBD1" s="2" t="s">
        <v>2084</v>
      </c>
      <c r="CBE1" s="2" t="s">
        <v>2085</v>
      </c>
      <c r="CBF1" s="2" t="s">
        <v>2086</v>
      </c>
      <c r="CBG1" s="2" t="s">
        <v>2087</v>
      </c>
      <c r="CBH1" s="2" t="s">
        <v>2088</v>
      </c>
      <c r="CBI1" s="2" t="s">
        <v>2089</v>
      </c>
      <c r="CBJ1" s="2" t="s">
        <v>2090</v>
      </c>
      <c r="CBK1" s="2" t="s">
        <v>2091</v>
      </c>
      <c r="CBL1" s="2" t="s">
        <v>2092</v>
      </c>
      <c r="CBM1" s="2" t="s">
        <v>2093</v>
      </c>
      <c r="CBN1" s="2" t="s">
        <v>2094</v>
      </c>
      <c r="CBO1" s="2" t="s">
        <v>2095</v>
      </c>
      <c r="CBP1" s="2" t="s">
        <v>2096</v>
      </c>
      <c r="CBQ1" s="2" t="s">
        <v>2097</v>
      </c>
      <c r="CBR1" s="2" t="s">
        <v>2098</v>
      </c>
      <c r="CBS1" s="2" t="s">
        <v>2099</v>
      </c>
      <c r="CBT1" s="2" t="s">
        <v>2100</v>
      </c>
      <c r="CBU1" s="2" t="s">
        <v>2101</v>
      </c>
      <c r="CBV1" s="2" t="s">
        <v>2102</v>
      </c>
      <c r="CBW1" s="2" t="s">
        <v>2103</v>
      </c>
      <c r="CBX1" s="2" t="s">
        <v>2104</v>
      </c>
      <c r="CBY1" s="2" t="s">
        <v>2105</v>
      </c>
      <c r="CBZ1" s="2" t="s">
        <v>2106</v>
      </c>
      <c r="CCA1" s="2" t="s">
        <v>2107</v>
      </c>
      <c r="CCB1" s="2" t="s">
        <v>2108</v>
      </c>
      <c r="CCC1" s="2" t="s">
        <v>2109</v>
      </c>
      <c r="CCD1" s="2" t="s">
        <v>2110</v>
      </c>
      <c r="CCE1" s="2" t="s">
        <v>2111</v>
      </c>
      <c r="CCF1" s="2" t="s">
        <v>2112</v>
      </c>
      <c r="CCG1" s="2" t="s">
        <v>2113</v>
      </c>
      <c r="CCH1" s="2" t="s">
        <v>2114</v>
      </c>
      <c r="CCI1" s="2" t="s">
        <v>2115</v>
      </c>
      <c r="CCJ1" s="2" t="s">
        <v>2116</v>
      </c>
      <c r="CCK1" s="2" t="s">
        <v>2117</v>
      </c>
      <c r="CCL1" s="2" t="s">
        <v>2118</v>
      </c>
      <c r="CCM1" s="2" t="s">
        <v>2119</v>
      </c>
      <c r="CCN1" s="2" t="s">
        <v>2120</v>
      </c>
      <c r="CCO1" s="2" t="s">
        <v>2121</v>
      </c>
      <c r="CCP1" s="2" t="s">
        <v>2122</v>
      </c>
      <c r="CCQ1" s="2" t="s">
        <v>2123</v>
      </c>
      <c r="CCR1" s="2" t="s">
        <v>2124</v>
      </c>
      <c r="CCS1" s="2" t="s">
        <v>2125</v>
      </c>
      <c r="CCT1" s="2" t="s">
        <v>2126</v>
      </c>
      <c r="CCU1" s="2" t="s">
        <v>2127</v>
      </c>
      <c r="CCV1" s="2" t="s">
        <v>2128</v>
      </c>
      <c r="CCW1" s="2" t="s">
        <v>2129</v>
      </c>
      <c r="CCX1" s="2" t="s">
        <v>2130</v>
      </c>
      <c r="CCY1" s="2" t="s">
        <v>2131</v>
      </c>
      <c r="CCZ1" s="2" t="s">
        <v>2132</v>
      </c>
      <c r="CDA1" s="2" t="s">
        <v>2133</v>
      </c>
      <c r="CDB1" s="2" t="s">
        <v>2134</v>
      </c>
      <c r="CDC1" s="2" t="s">
        <v>2135</v>
      </c>
      <c r="CDD1" s="2" t="s">
        <v>2136</v>
      </c>
      <c r="CDE1" s="2" t="s">
        <v>2137</v>
      </c>
      <c r="CDF1" s="2" t="s">
        <v>2138</v>
      </c>
      <c r="CDG1" s="2" t="s">
        <v>2139</v>
      </c>
      <c r="CDH1" s="2" t="s">
        <v>2140</v>
      </c>
      <c r="CDI1" s="2" t="s">
        <v>2141</v>
      </c>
      <c r="CDJ1" s="2" t="s">
        <v>2142</v>
      </c>
      <c r="CDK1" s="2" t="s">
        <v>2143</v>
      </c>
      <c r="CDL1" s="2" t="s">
        <v>2144</v>
      </c>
      <c r="CDM1" s="2" t="s">
        <v>2145</v>
      </c>
      <c r="CDN1" s="2" t="s">
        <v>2146</v>
      </c>
      <c r="CDO1" s="2" t="s">
        <v>2147</v>
      </c>
      <c r="CDP1" s="2" t="s">
        <v>2148</v>
      </c>
      <c r="CDQ1" s="2" t="s">
        <v>2149</v>
      </c>
      <c r="CDR1" s="2" t="s">
        <v>2150</v>
      </c>
      <c r="CDS1" s="2" t="s">
        <v>2151</v>
      </c>
      <c r="CDT1" s="2" t="s">
        <v>2152</v>
      </c>
      <c r="CDU1" s="2" t="s">
        <v>2153</v>
      </c>
      <c r="CDV1" s="2" t="s">
        <v>2154</v>
      </c>
      <c r="CDW1" s="2" t="s">
        <v>2155</v>
      </c>
      <c r="CDX1" s="2" t="s">
        <v>2156</v>
      </c>
      <c r="CDY1" s="2" t="s">
        <v>2157</v>
      </c>
      <c r="CDZ1" s="2" t="s">
        <v>2158</v>
      </c>
      <c r="CEA1" s="2" t="s">
        <v>2159</v>
      </c>
      <c r="CEB1" s="2" t="s">
        <v>2160</v>
      </c>
      <c r="CEC1" s="2" t="s">
        <v>2161</v>
      </c>
      <c r="CED1" s="2" t="s">
        <v>2162</v>
      </c>
      <c r="CEE1" s="2" t="s">
        <v>2163</v>
      </c>
      <c r="CEF1" s="2" t="s">
        <v>2164</v>
      </c>
      <c r="CEG1" s="2" t="s">
        <v>2165</v>
      </c>
      <c r="CEH1" s="2" t="s">
        <v>2166</v>
      </c>
      <c r="CEI1" s="2" t="s">
        <v>2167</v>
      </c>
      <c r="CEJ1" s="2" t="s">
        <v>2168</v>
      </c>
      <c r="CEK1" s="2" t="s">
        <v>2169</v>
      </c>
      <c r="CEL1" s="2" t="s">
        <v>2170</v>
      </c>
      <c r="CEM1" s="2" t="s">
        <v>2171</v>
      </c>
      <c r="CEN1" s="2" t="s">
        <v>2172</v>
      </c>
      <c r="CEO1" s="2" t="s">
        <v>2173</v>
      </c>
      <c r="CEP1" s="2" t="s">
        <v>2174</v>
      </c>
      <c r="CEQ1" s="2" t="s">
        <v>2175</v>
      </c>
      <c r="CER1" s="2" t="s">
        <v>2176</v>
      </c>
      <c r="CES1" s="2" t="s">
        <v>2177</v>
      </c>
      <c r="CET1" s="2" t="s">
        <v>2178</v>
      </c>
      <c r="CEU1" s="2" t="s">
        <v>2179</v>
      </c>
      <c r="CEV1" s="2" t="s">
        <v>2180</v>
      </c>
      <c r="CEW1" s="2" t="s">
        <v>2181</v>
      </c>
      <c r="CEX1" s="2" t="s">
        <v>2182</v>
      </c>
      <c r="CEY1" s="2" t="s">
        <v>2183</v>
      </c>
      <c r="CEZ1" s="2" t="s">
        <v>2184</v>
      </c>
      <c r="CFA1" s="2" t="s">
        <v>2185</v>
      </c>
      <c r="CFB1" s="2" t="s">
        <v>2186</v>
      </c>
      <c r="CFC1" s="2" t="s">
        <v>2187</v>
      </c>
      <c r="CFD1" s="2" t="s">
        <v>2188</v>
      </c>
      <c r="CFE1" s="2" t="s">
        <v>2189</v>
      </c>
      <c r="CFF1" s="2" t="s">
        <v>2190</v>
      </c>
      <c r="CFG1" s="2" t="s">
        <v>2191</v>
      </c>
      <c r="CFH1" s="2" t="s">
        <v>2192</v>
      </c>
      <c r="CFI1" s="2" t="s">
        <v>2193</v>
      </c>
      <c r="CFJ1" s="2" t="s">
        <v>2194</v>
      </c>
      <c r="CFK1" s="2" t="s">
        <v>2195</v>
      </c>
      <c r="CFL1" s="2" t="s">
        <v>2196</v>
      </c>
      <c r="CFM1" s="2" t="s">
        <v>2197</v>
      </c>
      <c r="CFN1" s="2" t="s">
        <v>2198</v>
      </c>
      <c r="CFO1" s="2" t="s">
        <v>2199</v>
      </c>
      <c r="CFP1" s="2" t="s">
        <v>2200</v>
      </c>
      <c r="CFQ1" s="2" t="s">
        <v>2201</v>
      </c>
      <c r="CFR1" s="2" t="s">
        <v>2202</v>
      </c>
      <c r="CFS1" s="2" t="s">
        <v>2203</v>
      </c>
      <c r="CFT1" s="2" t="s">
        <v>2204</v>
      </c>
      <c r="CFU1" s="2" t="s">
        <v>2205</v>
      </c>
      <c r="CFV1" s="2" t="s">
        <v>2206</v>
      </c>
      <c r="CFW1" s="2" t="s">
        <v>2207</v>
      </c>
      <c r="CFX1" s="2" t="s">
        <v>2208</v>
      </c>
      <c r="CFY1" s="2" t="s">
        <v>2209</v>
      </c>
      <c r="CFZ1" s="2" t="s">
        <v>2210</v>
      </c>
      <c r="CGA1" s="2" t="s">
        <v>2211</v>
      </c>
      <c r="CGB1" s="2" t="s">
        <v>2212</v>
      </c>
      <c r="CGC1" s="2" t="s">
        <v>2213</v>
      </c>
      <c r="CGD1" s="2" t="s">
        <v>2214</v>
      </c>
      <c r="CGE1" s="2" t="s">
        <v>2215</v>
      </c>
      <c r="CGF1" s="2" t="s">
        <v>2216</v>
      </c>
      <c r="CGG1" s="2" t="s">
        <v>2217</v>
      </c>
      <c r="CGH1" s="2" t="s">
        <v>2218</v>
      </c>
      <c r="CGI1" s="2" t="s">
        <v>2219</v>
      </c>
      <c r="CGJ1" s="2" t="s">
        <v>2220</v>
      </c>
      <c r="CGK1" s="2" t="s">
        <v>2221</v>
      </c>
      <c r="CGL1" s="2" t="s">
        <v>2222</v>
      </c>
      <c r="CGM1" s="2" t="s">
        <v>2223</v>
      </c>
      <c r="CGN1" s="2" t="s">
        <v>2224</v>
      </c>
      <c r="CGO1" s="2" t="s">
        <v>2225</v>
      </c>
      <c r="CGP1" s="2" t="s">
        <v>2226</v>
      </c>
      <c r="CGQ1" s="2" t="s">
        <v>2227</v>
      </c>
      <c r="CGR1" s="2" t="s">
        <v>2228</v>
      </c>
      <c r="CGS1" s="2" t="s">
        <v>2229</v>
      </c>
      <c r="CGT1" s="2" t="s">
        <v>2230</v>
      </c>
      <c r="CGU1" s="2" t="s">
        <v>2231</v>
      </c>
      <c r="CGV1" s="2" t="s">
        <v>2232</v>
      </c>
      <c r="CGW1" s="2" t="s">
        <v>2233</v>
      </c>
      <c r="CGX1" s="2" t="s">
        <v>2234</v>
      </c>
      <c r="CGY1" s="2" t="s">
        <v>2235</v>
      </c>
      <c r="CGZ1" s="2" t="s">
        <v>2236</v>
      </c>
      <c r="CHA1" s="2" t="s">
        <v>2237</v>
      </c>
      <c r="CHB1" s="2" t="s">
        <v>2238</v>
      </c>
      <c r="CHC1" s="2" t="s">
        <v>2239</v>
      </c>
      <c r="CHD1" s="2" t="s">
        <v>2240</v>
      </c>
      <c r="CHE1" s="2" t="s">
        <v>2241</v>
      </c>
      <c r="CHF1" s="2" t="s">
        <v>2242</v>
      </c>
      <c r="CHG1" s="2" t="s">
        <v>2243</v>
      </c>
      <c r="CHH1" s="2" t="s">
        <v>2244</v>
      </c>
      <c r="CHI1" s="2" t="s">
        <v>2245</v>
      </c>
      <c r="CHJ1" s="2" t="s">
        <v>2246</v>
      </c>
      <c r="CHK1" s="2" t="s">
        <v>2247</v>
      </c>
      <c r="CHL1" s="2" t="s">
        <v>2248</v>
      </c>
      <c r="CHM1" s="2" t="s">
        <v>2249</v>
      </c>
      <c r="CHN1" s="2" t="s">
        <v>2250</v>
      </c>
      <c r="CHO1" s="2" t="s">
        <v>2251</v>
      </c>
      <c r="CHP1" s="2" t="s">
        <v>2252</v>
      </c>
      <c r="CHQ1" s="2" t="s">
        <v>2253</v>
      </c>
      <c r="CHR1" s="2" t="s">
        <v>2254</v>
      </c>
      <c r="CHS1" s="2" t="s">
        <v>2255</v>
      </c>
      <c r="CHT1" s="2" t="s">
        <v>2256</v>
      </c>
      <c r="CHU1" s="2" t="s">
        <v>2257</v>
      </c>
      <c r="CHV1" s="2" t="s">
        <v>2258</v>
      </c>
      <c r="CHW1" s="2" t="s">
        <v>2259</v>
      </c>
      <c r="CHX1" s="2" t="s">
        <v>2260</v>
      </c>
      <c r="CHY1" s="2" t="s">
        <v>2261</v>
      </c>
      <c r="CHZ1" s="2" t="s">
        <v>2262</v>
      </c>
      <c r="CIA1" s="2" t="s">
        <v>2263</v>
      </c>
      <c r="CIB1" s="2" t="s">
        <v>2264</v>
      </c>
      <c r="CIC1" s="2" t="s">
        <v>2265</v>
      </c>
      <c r="CID1" s="2" t="s">
        <v>2266</v>
      </c>
      <c r="CIE1" s="2" t="s">
        <v>2267</v>
      </c>
      <c r="CIF1" s="2" t="s">
        <v>2268</v>
      </c>
      <c r="CIG1" s="2" t="s">
        <v>2269</v>
      </c>
      <c r="CIH1" s="2" t="s">
        <v>2270</v>
      </c>
      <c r="CII1" s="2" t="s">
        <v>2271</v>
      </c>
      <c r="CIJ1" s="2" t="s">
        <v>2272</v>
      </c>
      <c r="CIK1" s="2" t="s">
        <v>2273</v>
      </c>
      <c r="CIL1" s="2" t="s">
        <v>2274</v>
      </c>
      <c r="CIM1" s="2" t="s">
        <v>2275</v>
      </c>
      <c r="CIN1" s="2" t="s">
        <v>2276</v>
      </c>
      <c r="CIO1" s="2" t="s">
        <v>2277</v>
      </c>
      <c r="CIP1" s="2" t="s">
        <v>2278</v>
      </c>
      <c r="CIQ1" s="2" t="s">
        <v>2279</v>
      </c>
      <c r="CIR1" s="2" t="s">
        <v>2280</v>
      </c>
      <c r="CIS1" s="2" t="s">
        <v>2281</v>
      </c>
      <c r="CIT1" s="2" t="s">
        <v>2282</v>
      </c>
      <c r="CIU1" s="2" t="s">
        <v>2283</v>
      </c>
      <c r="CIV1" s="2" t="s">
        <v>2284</v>
      </c>
      <c r="CIW1" s="2" t="s">
        <v>2285</v>
      </c>
      <c r="CIX1" s="2" t="s">
        <v>2286</v>
      </c>
      <c r="CIY1" s="2" t="s">
        <v>2287</v>
      </c>
      <c r="CIZ1" s="2" t="s">
        <v>2288</v>
      </c>
      <c r="CJA1" s="2" t="s">
        <v>2289</v>
      </c>
      <c r="CJB1" s="2" t="s">
        <v>2290</v>
      </c>
      <c r="CJC1" s="2" t="s">
        <v>2291</v>
      </c>
      <c r="CJD1" s="2" t="s">
        <v>2292</v>
      </c>
      <c r="CJE1" s="2" t="s">
        <v>2293</v>
      </c>
      <c r="CJF1" s="2" t="s">
        <v>2294</v>
      </c>
      <c r="CJG1" s="2" t="s">
        <v>2295</v>
      </c>
      <c r="CJH1" s="2" t="s">
        <v>2296</v>
      </c>
      <c r="CJI1" s="2" t="s">
        <v>2297</v>
      </c>
      <c r="CJJ1" s="2" t="s">
        <v>2298</v>
      </c>
      <c r="CJK1" s="2" t="s">
        <v>2299</v>
      </c>
      <c r="CJL1" s="2" t="s">
        <v>2300</v>
      </c>
      <c r="CJM1" s="2" t="s">
        <v>2301</v>
      </c>
      <c r="CJN1" s="2" t="s">
        <v>2302</v>
      </c>
      <c r="CJO1" s="2" t="s">
        <v>2303</v>
      </c>
      <c r="CJP1" s="2" t="s">
        <v>2304</v>
      </c>
      <c r="CJQ1" s="2" t="s">
        <v>2305</v>
      </c>
      <c r="CJR1" s="2" t="s">
        <v>2306</v>
      </c>
      <c r="CJS1" s="2" t="s">
        <v>2307</v>
      </c>
      <c r="CJT1" s="2" t="s">
        <v>2308</v>
      </c>
      <c r="CJU1" s="2" t="s">
        <v>2309</v>
      </c>
      <c r="CJV1" s="2" t="s">
        <v>2310</v>
      </c>
      <c r="CJW1" s="2" t="s">
        <v>2311</v>
      </c>
      <c r="CJX1" s="2" t="s">
        <v>2312</v>
      </c>
      <c r="CJY1" s="2" t="s">
        <v>2313</v>
      </c>
      <c r="CJZ1" s="2" t="s">
        <v>2314</v>
      </c>
      <c r="CKA1" s="2" t="s">
        <v>2315</v>
      </c>
      <c r="CKB1" s="2" t="s">
        <v>2316</v>
      </c>
      <c r="CKC1" s="2" t="s">
        <v>2317</v>
      </c>
      <c r="CKD1" s="2" t="s">
        <v>2318</v>
      </c>
      <c r="CKE1" s="2" t="s">
        <v>2319</v>
      </c>
      <c r="CKF1" s="2" t="s">
        <v>2320</v>
      </c>
      <c r="CKG1" s="2" t="s">
        <v>2321</v>
      </c>
      <c r="CKH1" s="2" t="s">
        <v>2322</v>
      </c>
      <c r="CKI1" s="2" t="s">
        <v>2323</v>
      </c>
      <c r="CKJ1" s="2" t="s">
        <v>2324</v>
      </c>
      <c r="CKK1" s="2" t="s">
        <v>2325</v>
      </c>
      <c r="CKL1" s="2" t="s">
        <v>2326</v>
      </c>
      <c r="CKM1" s="2" t="s">
        <v>2327</v>
      </c>
      <c r="CKN1" s="2" t="s">
        <v>2328</v>
      </c>
      <c r="CKO1" s="2" t="s">
        <v>2329</v>
      </c>
      <c r="CKP1" s="2" t="s">
        <v>2330</v>
      </c>
      <c r="CKQ1" s="2" t="s">
        <v>2331</v>
      </c>
      <c r="CKR1" s="2" t="s">
        <v>2332</v>
      </c>
      <c r="CKS1" s="2" t="s">
        <v>2333</v>
      </c>
      <c r="CKT1" s="2" t="s">
        <v>2334</v>
      </c>
      <c r="CKU1" s="2" t="s">
        <v>2335</v>
      </c>
      <c r="CKV1" s="2" t="s">
        <v>2336</v>
      </c>
      <c r="CKW1" s="2" t="s">
        <v>2337</v>
      </c>
      <c r="CKX1" s="2" t="s">
        <v>2338</v>
      </c>
      <c r="CKY1" s="2" t="s">
        <v>2339</v>
      </c>
      <c r="CKZ1" s="2" t="s">
        <v>2340</v>
      </c>
      <c r="CLA1" s="2" t="s">
        <v>2341</v>
      </c>
      <c r="CLB1" s="2" t="s">
        <v>2342</v>
      </c>
      <c r="CLC1" s="2" t="s">
        <v>2343</v>
      </c>
      <c r="CLD1" s="2" t="s">
        <v>2344</v>
      </c>
      <c r="CLE1" s="2" t="s">
        <v>2345</v>
      </c>
      <c r="CLF1" s="2" t="s">
        <v>2346</v>
      </c>
      <c r="CLG1" s="2" t="s">
        <v>2347</v>
      </c>
      <c r="CLH1" s="2" t="s">
        <v>2348</v>
      </c>
      <c r="CLI1" s="2" t="s">
        <v>2349</v>
      </c>
      <c r="CLJ1" s="2" t="s">
        <v>2350</v>
      </c>
      <c r="CLK1" s="2" t="s">
        <v>2351</v>
      </c>
      <c r="CLL1" s="2" t="s">
        <v>2352</v>
      </c>
      <c r="CLM1" s="2" t="s">
        <v>2353</v>
      </c>
      <c r="CLN1" s="2" t="s">
        <v>2354</v>
      </c>
      <c r="CLO1" s="2" t="s">
        <v>2355</v>
      </c>
      <c r="CLP1" s="2" t="s">
        <v>2356</v>
      </c>
      <c r="CLQ1" s="2" t="s">
        <v>2357</v>
      </c>
      <c r="CLR1" s="2" t="s">
        <v>2358</v>
      </c>
      <c r="CLS1" s="2" t="s">
        <v>2359</v>
      </c>
      <c r="CLT1" s="2" t="s">
        <v>2360</v>
      </c>
      <c r="CLU1" s="2" t="s">
        <v>2361</v>
      </c>
      <c r="CLV1" s="2" t="s">
        <v>2362</v>
      </c>
      <c r="CLW1" s="2" t="s">
        <v>2363</v>
      </c>
      <c r="CLX1" s="2" t="s">
        <v>2364</v>
      </c>
      <c r="CLY1" s="2" t="s">
        <v>2365</v>
      </c>
      <c r="CLZ1" s="2" t="s">
        <v>2366</v>
      </c>
      <c r="CMA1" s="2" t="s">
        <v>2367</v>
      </c>
      <c r="CMB1" s="2" t="s">
        <v>2368</v>
      </c>
      <c r="CMC1" s="2" t="s">
        <v>2369</v>
      </c>
      <c r="CMD1" s="2" t="s">
        <v>2370</v>
      </c>
      <c r="CME1" s="2" t="s">
        <v>2371</v>
      </c>
      <c r="CMF1" s="2" t="s">
        <v>2372</v>
      </c>
      <c r="CMG1" s="2" t="s">
        <v>2373</v>
      </c>
      <c r="CMH1" s="2" t="s">
        <v>2374</v>
      </c>
      <c r="CMI1" s="2" t="s">
        <v>2375</v>
      </c>
      <c r="CMJ1" s="2" t="s">
        <v>2376</v>
      </c>
      <c r="CMK1" s="2" t="s">
        <v>2377</v>
      </c>
      <c r="CML1" s="2" t="s">
        <v>2378</v>
      </c>
      <c r="CMM1" s="2" t="s">
        <v>2379</v>
      </c>
      <c r="CMN1" s="2" t="s">
        <v>2380</v>
      </c>
      <c r="CMO1" s="2" t="s">
        <v>2381</v>
      </c>
      <c r="CMP1" s="2" t="s">
        <v>2382</v>
      </c>
      <c r="CMQ1" s="2" t="s">
        <v>2383</v>
      </c>
      <c r="CMR1" s="2" t="s">
        <v>2384</v>
      </c>
      <c r="CMS1" s="2" t="s">
        <v>2385</v>
      </c>
      <c r="CMT1" s="2" t="s">
        <v>2386</v>
      </c>
      <c r="CMU1" s="2" t="s">
        <v>2387</v>
      </c>
      <c r="CMV1" s="2" t="s">
        <v>2388</v>
      </c>
      <c r="CMW1" s="2" t="s">
        <v>2389</v>
      </c>
      <c r="CMX1" s="2" t="s">
        <v>2390</v>
      </c>
      <c r="CMY1" s="2" t="s">
        <v>2391</v>
      </c>
      <c r="CMZ1" s="2" t="s">
        <v>2392</v>
      </c>
      <c r="CNA1" s="2" t="s">
        <v>2393</v>
      </c>
      <c r="CNB1" s="2" t="s">
        <v>2394</v>
      </c>
      <c r="CNC1" s="2" t="s">
        <v>2395</v>
      </c>
      <c r="CND1" s="2" t="s">
        <v>2396</v>
      </c>
      <c r="CNE1" s="2" t="s">
        <v>2397</v>
      </c>
      <c r="CNF1" s="2" t="s">
        <v>2398</v>
      </c>
      <c r="CNG1" s="2" t="s">
        <v>2399</v>
      </c>
      <c r="CNH1" s="2" t="s">
        <v>2400</v>
      </c>
      <c r="CNI1" s="2" t="s">
        <v>2401</v>
      </c>
      <c r="CNJ1" s="2" t="s">
        <v>2402</v>
      </c>
      <c r="CNK1" s="2" t="s">
        <v>2403</v>
      </c>
      <c r="CNL1" s="2" t="s">
        <v>2404</v>
      </c>
      <c r="CNM1" s="2" t="s">
        <v>2405</v>
      </c>
      <c r="CNN1" s="2" t="s">
        <v>2406</v>
      </c>
      <c r="CNO1" s="2" t="s">
        <v>2407</v>
      </c>
      <c r="CNP1" s="2" t="s">
        <v>2408</v>
      </c>
      <c r="CNQ1" s="2" t="s">
        <v>2409</v>
      </c>
      <c r="CNR1" s="2" t="s">
        <v>2410</v>
      </c>
      <c r="CNS1" s="2" t="s">
        <v>2411</v>
      </c>
      <c r="CNT1" s="2" t="s">
        <v>2412</v>
      </c>
      <c r="CNU1" s="2" t="s">
        <v>2413</v>
      </c>
      <c r="CNV1" s="2" t="s">
        <v>2414</v>
      </c>
      <c r="CNW1" s="2" t="s">
        <v>2415</v>
      </c>
      <c r="CNX1" s="2" t="s">
        <v>2416</v>
      </c>
      <c r="CNY1" s="2" t="s">
        <v>2417</v>
      </c>
      <c r="CNZ1" s="2" t="s">
        <v>2418</v>
      </c>
      <c r="COA1" s="2" t="s">
        <v>2419</v>
      </c>
      <c r="COB1" s="2" t="s">
        <v>2420</v>
      </c>
      <c r="COC1" s="2" t="s">
        <v>2421</v>
      </c>
      <c r="COD1" s="2" t="s">
        <v>2422</v>
      </c>
      <c r="COE1" s="2" t="s">
        <v>2423</v>
      </c>
      <c r="COF1" s="2" t="s">
        <v>2424</v>
      </c>
      <c r="COG1" s="2" t="s">
        <v>2425</v>
      </c>
      <c r="COH1" s="2" t="s">
        <v>2426</v>
      </c>
      <c r="COI1" s="2" t="s">
        <v>2427</v>
      </c>
      <c r="COJ1" s="2" t="s">
        <v>2428</v>
      </c>
      <c r="COK1" s="2" t="s">
        <v>2429</v>
      </c>
      <c r="COL1" s="2" t="s">
        <v>2430</v>
      </c>
      <c r="COM1" s="2" t="s">
        <v>2431</v>
      </c>
      <c r="CON1" s="2" t="s">
        <v>2432</v>
      </c>
      <c r="COO1" s="2" t="s">
        <v>2433</v>
      </c>
      <c r="COP1" s="2" t="s">
        <v>2434</v>
      </c>
      <c r="COQ1" s="2" t="s">
        <v>2435</v>
      </c>
      <c r="COR1" s="2" t="s">
        <v>2436</v>
      </c>
      <c r="COS1" s="2" t="s">
        <v>2437</v>
      </c>
      <c r="COT1" s="2" t="s">
        <v>2438</v>
      </c>
      <c r="COU1" s="2" t="s">
        <v>2439</v>
      </c>
      <c r="COV1" s="2" t="s">
        <v>2440</v>
      </c>
      <c r="COW1" s="2" t="s">
        <v>2441</v>
      </c>
      <c r="COX1" s="2" t="s">
        <v>2442</v>
      </c>
      <c r="COY1" s="2" t="s">
        <v>2443</v>
      </c>
      <c r="COZ1" s="2" t="s">
        <v>2444</v>
      </c>
      <c r="CPA1" s="2" t="s">
        <v>2445</v>
      </c>
      <c r="CPB1" s="2" t="s">
        <v>2446</v>
      </c>
      <c r="CPC1" s="2" t="s">
        <v>2447</v>
      </c>
      <c r="CPD1" s="2" t="s">
        <v>2448</v>
      </c>
      <c r="CPE1" s="2" t="s">
        <v>2449</v>
      </c>
      <c r="CPF1" s="2" t="s">
        <v>2450</v>
      </c>
      <c r="CPG1" s="2" t="s">
        <v>2451</v>
      </c>
      <c r="CPH1" s="2" t="s">
        <v>2452</v>
      </c>
      <c r="CPI1" s="2" t="s">
        <v>2453</v>
      </c>
      <c r="CPJ1" s="2" t="s">
        <v>2454</v>
      </c>
      <c r="CPK1" s="2" t="s">
        <v>2455</v>
      </c>
      <c r="CPL1" s="2" t="s">
        <v>2456</v>
      </c>
      <c r="CPM1" s="2" t="s">
        <v>2457</v>
      </c>
      <c r="CPN1" s="2" t="s">
        <v>2458</v>
      </c>
      <c r="CPO1" s="2" t="s">
        <v>2459</v>
      </c>
      <c r="CPP1" s="2" t="s">
        <v>2460</v>
      </c>
      <c r="CPQ1" s="2" t="s">
        <v>2461</v>
      </c>
      <c r="CPR1" s="2" t="s">
        <v>2462</v>
      </c>
      <c r="CPS1" s="2" t="s">
        <v>2463</v>
      </c>
      <c r="CPT1" s="2" t="s">
        <v>2464</v>
      </c>
      <c r="CPU1" s="2" t="s">
        <v>2465</v>
      </c>
      <c r="CPV1" s="2" t="s">
        <v>2466</v>
      </c>
      <c r="CPW1" s="2" t="s">
        <v>2467</v>
      </c>
      <c r="CPX1" s="2" t="s">
        <v>2468</v>
      </c>
      <c r="CPY1" s="2" t="s">
        <v>2469</v>
      </c>
      <c r="CPZ1" s="2" t="s">
        <v>2470</v>
      </c>
      <c r="CQA1" s="2" t="s">
        <v>2471</v>
      </c>
      <c r="CQB1" s="2" t="s">
        <v>2472</v>
      </c>
      <c r="CQC1" s="2" t="s">
        <v>2473</v>
      </c>
      <c r="CQD1" s="2" t="s">
        <v>2474</v>
      </c>
      <c r="CQE1" s="2" t="s">
        <v>2475</v>
      </c>
      <c r="CQF1" s="2" t="s">
        <v>2476</v>
      </c>
      <c r="CQG1" s="2" t="s">
        <v>2477</v>
      </c>
      <c r="CQH1" s="2" t="s">
        <v>2478</v>
      </c>
      <c r="CQI1" s="2" t="s">
        <v>2479</v>
      </c>
      <c r="CQJ1" s="2" t="s">
        <v>2480</v>
      </c>
      <c r="CQK1" s="2" t="s">
        <v>2481</v>
      </c>
      <c r="CQL1" s="2" t="s">
        <v>2482</v>
      </c>
      <c r="CQM1" s="2" t="s">
        <v>2483</v>
      </c>
      <c r="CQN1" s="2" t="s">
        <v>2484</v>
      </c>
      <c r="CQO1" s="2" t="s">
        <v>2485</v>
      </c>
      <c r="CQP1" s="2" t="s">
        <v>2486</v>
      </c>
      <c r="CQQ1" s="2" t="s">
        <v>2487</v>
      </c>
      <c r="CQR1" s="2" t="s">
        <v>2488</v>
      </c>
      <c r="CQS1" s="2" t="s">
        <v>2489</v>
      </c>
      <c r="CQT1" s="2" t="s">
        <v>2490</v>
      </c>
      <c r="CQU1" s="2" t="s">
        <v>2491</v>
      </c>
      <c r="CQV1" s="2" t="s">
        <v>2492</v>
      </c>
      <c r="CQW1" s="2" t="s">
        <v>2493</v>
      </c>
      <c r="CQX1" s="2" t="s">
        <v>2494</v>
      </c>
      <c r="CQY1" s="2" t="s">
        <v>2495</v>
      </c>
      <c r="CQZ1" s="2" t="s">
        <v>2496</v>
      </c>
      <c r="CRA1" s="2" t="s">
        <v>2497</v>
      </c>
      <c r="CRB1" s="2" t="s">
        <v>2498</v>
      </c>
      <c r="CRC1" s="2" t="s">
        <v>2499</v>
      </c>
      <c r="CRD1" s="2" t="s">
        <v>2500</v>
      </c>
      <c r="CRE1" s="2" t="s">
        <v>2501</v>
      </c>
      <c r="CRF1" s="2" t="s">
        <v>2502</v>
      </c>
      <c r="CRG1" s="2" t="s">
        <v>2503</v>
      </c>
      <c r="CRH1" s="2" t="s">
        <v>2504</v>
      </c>
      <c r="CRI1" s="2" t="s">
        <v>2505</v>
      </c>
      <c r="CRJ1" s="2" t="s">
        <v>2506</v>
      </c>
      <c r="CRK1" s="2" t="s">
        <v>2507</v>
      </c>
      <c r="CRL1" s="2" t="s">
        <v>2508</v>
      </c>
      <c r="CRM1" s="2" t="s">
        <v>2509</v>
      </c>
      <c r="CRN1" s="2" t="s">
        <v>2510</v>
      </c>
      <c r="CRO1" s="2" t="s">
        <v>2511</v>
      </c>
      <c r="CRP1" s="2" t="s">
        <v>2512</v>
      </c>
      <c r="CRQ1" s="2" t="s">
        <v>2513</v>
      </c>
      <c r="CRR1" s="2" t="s">
        <v>2514</v>
      </c>
      <c r="CRS1" s="2" t="s">
        <v>2515</v>
      </c>
      <c r="CRT1" s="2" t="s">
        <v>2516</v>
      </c>
      <c r="CRU1" s="2" t="s">
        <v>2517</v>
      </c>
      <c r="CRV1" s="2" t="s">
        <v>2518</v>
      </c>
      <c r="CRW1" s="2" t="s">
        <v>2519</v>
      </c>
      <c r="CRX1" s="2" t="s">
        <v>2520</v>
      </c>
      <c r="CRY1" s="2" t="s">
        <v>2521</v>
      </c>
      <c r="CRZ1" s="2" t="s">
        <v>2522</v>
      </c>
      <c r="CSA1" s="2" t="s">
        <v>2523</v>
      </c>
      <c r="CSB1" s="2" t="s">
        <v>2524</v>
      </c>
      <c r="CSC1" s="2" t="s">
        <v>2525</v>
      </c>
      <c r="CSD1" s="2" t="s">
        <v>2526</v>
      </c>
      <c r="CSE1" s="2" t="s">
        <v>2527</v>
      </c>
      <c r="CSF1" s="2" t="s">
        <v>2528</v>
      </c>
      <c r="CSG1" s="2" t="s">
        <v>2529</v>
      </c>
      <c r="CSH1" s="2" t="s">
        <v>2530</v>
      </c>
      <c r="CSI1" s="2" t="s">
        <v>2531</v>
      </c>
      <c r="CSJ1" s="2" t="s">
        <v>2532</v>
      </c>
      <c r="CSK1" s="2" t="s">
        <v>2533</v>
      </c>
      <c r="CSL1" s="2" t="s">
        <v>2534</v>
      </c>
      <c r="CSM1" s="2" t="s">
        <v>2535</v>
      </c>
      <c r="CSN1" s="2" t="s">
        <v>2536</v>
      </c>
      <c r="CSO1" s="2" t="s">
        <v>2537</v>
      </c>
      <c r="CSP1" s="2" t="s">
        <v>2538</v>
      </c>
      <c r="CSQ1" s="2" t="s">
        <v>2539</v>
      </c>
      <c r="CSR1" s="2" t="s">
        <v>2540</v>
      </c>
      <c r="CSS1" s="2" t="s">
        <v>2541</v>
      </c>
      <c r="CST1" s="2" t="s">
        <v>2542</v>
      </c>
      <c r="CSU1" s="2" t="s">
        <v>2543</v>
      </c>
      <c r="CSV1" s="2" t="s">
        <v>2544</v>
      </c>
      <c r="CSW1" s="2" t="s">
        <v>2545</v>
      </c>
      <c r="CSX1" s="2" t="s">
        <v>2546</v>
      </c>
      <c r="CSY1" s="2" t="s">
        <v>2547</v>
      </c>
      <c r="CSZ1" s="2" t="s">
        <v>2548</v>
      </c>
      <c r="CTA1" s="2" t="s">
        <v>2549</v>
      </c>
      <c r="CTB1" s="2" t="s">
        <v>2550</v>
      </c>
      <c r="CTC1" s="2" t="s">
        <v>2551</v>
      </c>
      <c r="CTD1" s="2" t="s">
        <v>2552</v>
      </c>
      <c r="CTE1" s="2" t="s">
        <v>2553</v>
      </c>
      <c r="CTF1" s="2" t="s">
        <v>2554</v>
      </c>
      <c r="CTG1" s="2" t="s">
        <v>2555</v>
      </c>
      <c r="CTH1" s="2" t="s">
        <v>2556</v>
      </c>
      <c r="CTI1" s="2" t="s">
        <v>2557</v>
      </c>
      <c r="CTJ1" s="2" t="s">
        <v>2558</v>
      </c>
      <c r="CTK1" s="2" t="s">
        <v>2559</v>
      </c>
      <c r="CTL1" s="2" t="s">
        <v>2560</v>
      </c>
      <c r="CTM1" s="2" t="s">
        <v>2561</v>
      </c>
      <c r="CTN1" s="2" t="s">
        <v>2562</v>
      </c>
      <c r="CTO1" s="2" t="s">
        <v>2563</v>
      </c>
      <c r="CTP1" s="2" t="s">
        <v>2564</v>
      </c>
      <c r="CTQ1" s="2" t="s">
        <v>2565</v>
      </c>
      <c r="CTR1" s="2" t="s">
        <v>2566</v>
      </c>
      <c r="CTS1" s="2" t="s">
        <v>2567</v>
      </c>
      <c r="CTT1" s="2" t="s">
        <v>2568</v>
      </c>
      <c r="CTU1" s="2" t="s">
        <v>2569</v>
      </c>
      <c r="CTV1" s="2" t="s">
        <v>2570</v>
      </c>
      <c r="CTW1" s="2" t="s">
        <v>2571</v>
      </c>
      <c r="CTX1" s="2" t="s">
        <v>2572</v>
      </c>
      <c r="CTY1" s="2" t="s">
        <v>2573</v>
      </c>
      <c r="CTZ1" s="2" t="s">
        <v>2574</v>
      </c>
      <c r="CUA1" s="2" t="s">
        <v>2575</v>
      </c>
      <c r="CUB1" s="2" t="s">
        <v>2576</v>
      </c>
      <c r="CUC1" s="2" t="s">
        <v>2577</v>
      </c>
      <c r="CUD1" s="2" t="s">
        <v>2578</v>
      </c>
      <c r="CUE1" s="2" t="s">
        <v>2579</v>
      </c>
      <c r="CUF1" s="2" t="s">
        <v>2580</v>
      </c>
      <c r="CUG1" s="2" t="s">
        <v>2581</v>
      </c>
      <c r="CUH1" s="2" t="s">
        <v>2582</v>
      </c>
      <c r="CUI1" s="2" t="s">
        <v>2583</v>
      </c>
      <c r="CUJ1" s="2" t="s">
        <v>2584</v>
      </c>
      <c r="CUK1" s="2" t="s">
        <v>2585</v>
      </c>
      <c r="CUL1" s="2" t="s">
        <v>2586</v>
      </c>
      <c r="CUM1" s="2" t="s">
        <v>2587</v>
      </c>
      <c r="CUN1" s="2" t="s">
        <v>2588</v>
      </c>
      <c r="CUO1" s="2" t="s">
        <v>2589</v>
      </c>
      <c r="CUP1" s="2" t="s">
        <v>2590</v>
      </c>
      <c r="CUQ1" s="2" t="s">
        <v>2591</v>
      </c>
      <c r="CUR1" s="2" t="s">
        <v>2592</v>
      </c>
      <c r="CUS1" s="2" t="s">
        <v>2593</v>
      </c>
      <c r="CUT1" s="2" t="s">
        <v>2594</v>
      </c>
      <c r="CUU1" s="2" t="s">
        <v>2595</v>
      </c>
      <c r="CUV1" s="2" t="s">
        <v>2596</v>
      </c>
      <c r="CUW1" s="2" t="s">
        <v>2597</v>
      </c>
      <c r="CUX1" s="2" t="s">
        <v>2598</v>
      </c>
      <c r="CUY1" s="2" t="s">
        <v>2599</v>
      </c>
      <c r="CUZ1" s="2" t="s">
        <v>2600</v>
      </c>
      <c r="CVA1" s="2" t="s">
        <v>2601</v>
      </c>
      <c r="CVB1" s="2" t="s">
        <v>2602</v>
      </c>
      <c r="CVC1" s="2" t="s">
        <v>2603</v>
      </c>
      <c r="CVD1" s="2" t="s">
        <v>2604</v>
      </c>
      <c r="CVE1" s="2" t="s">
        <v>2605</v>
      </c>
      <c r="CVF1" s="2" t="s">
        <v>2606</v>
      </c>
      <c r="CVG1" s="2" t="s">
        <v>2607</v>
      </c>
      <c r="CVH1" s="2" t="s">
        <v>2608</v>
      </c>
      <c r="CVI1" s="2" t="s">
        <v>2609</v>
      </c>
      <c r="CVJ1" s="2" t="s">
        <v>2610</v>
      </c>
      <c r="CVK1" s="2" t="s">
        <v>2611</v>
      </c>
      <c r="CVL1" s="2" t="s">
        <v>2612</v>
      </c>
      <c r="CVM1" s="2" t="s">
        <v>2613</v>
      </c>
      <c r="CVN1" s="2" t="s">
        <v>2614</v>
      </c>
      <c r="CVO1" s="2" t="s">
        <v>2615</v>
      </c>
      <c r="CVP1" s="2" t="s">
        <v>2616</v>
      </c>
      <c r="CVQ1" s="2" t="s">
        <v>2617</v>
      </c>
      <c r="CVR1" s="2" t="s">
        <v>2618</v>
      </c>
      <c r="CVS1" s="2" t="s">
        <v>2619</v>
      </c>
      <c r="CVT1" s="2" t="s">
        <v>2620</v>
      </c>
      <c r="CVU1" s="2" t="s">
        <v>2621</v>
      </c>
      <c r="CVV1" s="2" t="s">
        <v>2622</v>
      </c>
      <c r="CVW1" s="2" t="s">
        <v>2623</v>
      </c>
      <c r="CVX1" s="2" t="s">
        <v>2624</v>
      </c>
      <c r="CVY1" s="2" t="s">
        <v>2625</v>
      </c>
      <c r="CVZ1" s="2" t="s">
        <v>2626</v>
      </c>
      <c r="CWA1" s="2" t="s">
        <v>2627</v>
      </c>
      <c r="CWB1" s="2" t="s">
        <v>2628</v>
      </c>
      <c r="CWC1" s="2" t="s">
        <v>2629</v>
      </c>
      <c r="CWD1" s="2" t="s">
        <v>2630</v>
      </c>
      <c r="CWE1" s="2" t="s">
        <v>2631</v>
      </c>
      <c r="CWF1" s="2" t="s">
        <v>2632</v>
      </c>
      <c r="CWG1" s="2" t="s">
        <v>2633</v>
      </c>
      <c r="CWH1" s="2" t="s">
        <v>2634</v>
      </c>
      <c r="CWI1" s="2" t="s">
        <v>2635</v>
      </c>
      <c r="CWJ1" s="2" t="s">
        <v>2636</v>
      </c>
      <c r="CWK1" s="2" t="s">
        <v>2637</v>
      </c>
      <c r="CWL1" s="2" t="s">
        <v>2638</v>
      </c>
      <c r="CWM1" s="2" t="s">
        <v>2639</v>
      </c>
      <c r="CWN1" s="2" t="s">
        <v>2640</v>
      </c>
      <c r="CWO1" s="2" t="s">
        <v>2641</v>
      </c>
      <c r="CWP1" s="2" t="s">
        <v>2642</v>
      </c>
      <c r="CWQ1" s="2" t="s">
        <v>2643</v>
      </c>
      <c r="CWR1" s="2" t="s">
        <v>2644</v>
      </c>
      <c r="CWS1" s="2" t="s">
        <v>2645</v>
      </c>
      <c r="CWT1" s="2" t="s">
        <v>2646</v>
      </c>
      <c r="CWU1" s="2" t="s">
        <v>2647</v>
      </c>
      <c r="CWV1" s="2" t="s">
        <v>2648</v>
      </c>
      <c r="CWW1" s="2" t="s">
        <v>2649</v>
      </c>
      <c r="CWX1" s="2" t="s">
        <v>2650</v>
      </c>
      <c r="CWY1" s="2" t="s">
        <v>2651</v>
      </c>
      <c r="CWZ1" s="2" t="s">
        <v>2652</v>
      </c>
      <c r="CXA1" s="2" t="s">
        <v>2653</v>
      </c>
      <c r="CXB1" s="2" t="s">
        <v>2654</v>
      </c>
      <c r="CXC1" s="2" t="s">
        <v>2655</v>
      </c>
      <c r="CXD1" s="2" t="s">
        <v>2656</v>
      </c>
      <c r="CXE1" s="2" t="s">
        <v>2657</v>
      </c>
      <c r="CXF1" s="2" t="s">
        <v>2658</v>
      </c>
      <c r="CXG1" s="2" t="s">
        <v>2659</v>
      </c>
      <c r="CXH1" s="2" t="s">
        <v>2660</v>
      </c>
      <c r="CXI1" s="2" t="s">
        <v>2661</v>
      </c>
      <c r="CXJ1" s="2" t="s">
        <v>2662</v>
      </c>
      <c r="CXK1" s="2" t="s">
        <v>2663</v>
      </c>
      <c r="CXL1" s="2" t="s">
        <v>2664</v>
      </c>
      <c r="CXM1" s="2" t="s">
        <v>2665</v>
      </c>
      <c r="CXN1" s="2" t="s">
        <v>2666</v>
      </c>
      <c r="CXO1" s="2" t="s">
        <v>2667</v>
      </c>
      <c r="CXP1" s="2" t="s">
        <v>2668</v>
      </c>
      <c r="CXQ1" s="2" t="s">
        <v>2669</v>
      </c>
      <c r="CXR1" s="2" t="s">
        <v>2670</v>
      </c>
      <c r="CXS1" s="2" t="s">
        <v>2671</v>
      </c>
      <c r="CXT1" s="2" t="s">
        <v>2672</v>
      </c>
      <c r="CXU1" s="2" t="s">
        <v>2673</v>
      </c>
      <c r="CXV1" s="2" t="s">
        <v>2674</v>
      </c>
      <c r="CXW1" s="2" t="s">
        <v>2675</v>
      </c>
      <c r="CXX1" s="2" t="s">
        <v>2676</v>
      </c>
      <c r="CXY1" s="2" t="s">
        <v>2677</v>
      </c>
      <c r="CXZ1" s="2" t="s">
        <v>2678</v>
      </c>
      <c r="CYA1" s="2" t="s">
        <v>2679</v>
      </c>
      <c r="CYB1" s="2" t="s">
        <v>2680</v>
      </c>
      <c r="CYC1" s="2" t="s">
        <v>2681</v>
      </c>
      <c r="CYD1" s="2" t="s">
        <v>2682</v>
      </c>
      <c r="CYE1" s="2" t="s">
        <v>2683</v>
      </c>
      <c r="CYF1" s="2" t="s">
        <v>2684</v>
      </c>
      <c r="CYG1" s="2" t="s">
        <v>2685</v>
      </c>
      <c r="CYH1" s="2" t="s">
        <v>2686</v>
      </c>
      <c r="CYI1" s="2" t="s">
        <v>2687</v>
      </c>
      <c r="CYJ1" s="2" t="s">
        <v>2688</v>
      </c>
      <c r="CYK1" s="2" t="s">
        <v>2689</v>
      </c>
      <c r="CYL1" s="2" t="s">
        <v>2690</v>
      </c>
      <c r="CYM1" s="2" t="s">
        <v>2691</v>
      </c>
      <c r="CYN1" s="2" t="s">
        <v>2692</v>
      </c>
      <c r="CYO1" s="2" t="s">
        <v>2693</v>
      </c>
      <c r="CYP1" s="2" t="s">
        <v>2694</v>
      </c>
      <c r="CYQ1" s="2" t="s">
        <v>2695</v>
      </c>
      <c r="CYR1" s="2" t="s">
        <v>2696</v>
      </c>
      <c r="CYS1" s="2" t="s">
        <v>2697</v>
      </c>
      <c r="CYT1" s="2" t="s">
        <v>2698</v>
      </c>
      <c r="CYU1" s="2" t="s">
        <v>2699</v>
      </c>
      <c r="CYV1" s="2" t="s">
        <v>2700</v>
      </c>
      <c r="CYW1" s="2" t="s">
        <v>2701</v>
      </c>
      <c r="CYX1" s="2" t="s">
        <v>2702</v>
      </c>
      <c r="CYY1" s="2" t="s">
        <v>2703</v>
      </c>
      <c r="CYZ1" s="2" t="s">
        <v>2704</v>
      </c>
      <c r="CZA1" s="2" t="s">
        <v>2705</v>
      </c>
      <c r="CZB1" s="2" t="s">
        <v>2706</v>
      </c>
      <c r="CZC1" s="2" t="s">
        <v>2707</v>
      </c>
      <c r="CZD1" s="2" t="s">
        <v>2708</v>
      </c>
      <c r="CZE1" s="2" t="s">
        <v>2709</v>
      </c>
      <c r="CZF1" s="2" t="s">
        <v>2710</v>
      </c>
      <c r="CZG1" s="2" t="s">
        <v>2711</v>
      </c>
      <c r="CZH1" s="2" t="s">
        <v>2712</v>
      </c>
      <c r="CZI1" s="2" t="s">
        <v>2713</v>
      </c>
      <c r="CZJ1" s="2" t="s">
        <v>2714</v>
      </c>
      <c r="CZK1" s="2" t="s">
        <v>2715</v>
      </c>
      <c r="CZL1" s="2" t="s">
        <v>2716</v>
      </c>
      <c r="CZM1" s="2" t="s">
        <v>2717</v>
      </c>
      <c r="CZN1" s="2" t="s">
        <v>2718</v>
      </c>
      <c r="CZO1" s="2" t="s">
        <v>2719</v>
      </c>
      <c r="CZP1" s="2" t="s">
        <v>2720</v>
      </c>
      <c r="CZQ1" s="2" t="s">
        <v>2721</v>
      </c>
      <c r="CZR1" s="2" t="s">
        <v>2722</v>
      </c>
      <c r="CZS1" s="2" t="s">
        <v>2723</v>
      </c>
      <c r="CZT1" s="2" t="s">
        <v>2724</v>
      </c>
      <c r="CZU1" s="2" t="s">
        <v>2725</v>
      </c>
      <c r="CZV1" s="2" t="s">
        <v>2726</v>
      </c>
      <c r="CZW1" s="2" t="s">
        <v>2727</v>
      </c>
      <c r="CZX1" s="2" t="s">
        <v>2728</v>
      </c>
      <c r="CZY1" s="2" t="s">
        <v>2729</v>
      </c>
      <c r="CZZ1" s="2" t="s">
        <v>2730</v>
      </c>
      <c r="DAA1" s="2" t="s">
        <v>2731</v>
      </c>
      <c r="DAB1" s="2" t="s">
        <v>2732</v>
      </c>
      <c r="DAC1" s="2" t="s">
        <v>2733</v>
      </c>
      <c r="DAD1" s="2" t="s">
        <v>2734</v>
      </c>
      <c r="DAE1" s="2" t="s">
        <v>2735</v>
      </c>
      <c r="DAF1" s="2" t="s">
        <v>2736</v>
      </c>
      <c r="DAG1" s="2" t="s">
        <v>2737</v>
      </c>
      <c r="DAH1" s="2" t="s">
        <v>2738</v>
      </c>
      <c r="DAI1" s="2" t="s">
        <v>2739</v>
      </c>
      <c r="DAJ1" s="2" t="s">
        <v>2740</v>
      </c>
      <c r="DAK1" s="2" t="s">
        <v>2741</v>
      </c>
      <c r="DAL1" s="2" t="s">
        <v>2742</v>
      </c>
      <c r="DAM1" s="2" t="s">
        <v>2743</v>
      </c>
      <c r="DAN1" s="2" t="s">
        <v>2744</v>
      </c>
      <c r="DAO1" s="2" t="s">
        <v>2745</v>
      </c>
      <c r="DAP1" s="2" t="s">
        <v>2746</v>
      </c>
      <c r="DAQ1" s="2" t="s">
        <v>2747</v>
      </c>
      <c r="DAR1" s="2" t="s">
        <v>2748</v>
      </c>
      <c r="DAS1" s="2" t="s">
        <v>2749</v>
      </c>
      <c r="DAT1" s="2" t="s">
        <v>2750</v>
      </c>
      <c r="DAU1" s="2" t="s">
        <v>2751</v>
      </c>
      <c r="DAV1" s="2" t="s">
        <v>2752</v>
      </c>
      <c r="DAW1" s="2" t="s">
        <v>2753</v>
      </c>
      <c r="DAX1" s="2" t="s">
        <v>2754</v>
      </c>
      <c r="DAY1" s="2" t="s">
        <v>2755</v>
      </c>
      <c r="DAZ1" s="2" t="s">
        <v>2756</v>
      </c>
      <c r="DBA1" s="2" t="s">
        <v>2757</v>
      </c>
      <c r="DBB1" s="2" t="s">
        <v>2758</v>
      </c>
      <c r="DBC1" s="2" t="s">
        <v>2759</v>
      </c>
      <c r="DBD1" s="2" t="s">
        <v>2760</v>
      </c>
      <c r="DBE1" s="2" t="s">
        <v>2761</v>
      </c>
      <c r="DBF1" s="2" t="s">
        <v>2762</v>
      </c>
      <c r="DBG1" s="2" t="s">
        <v>2763</v>
      </c>
      <c r="DBH1" s="2" t="s">
        <v>2764</v>
      </c>
      <c r="DBI1" s="2" t="s">
        <v>2765</v>
      </c>
      <c r="DBJ1" s="2" t="s">
        <v>2766</v>
      </c>
      <c r="DBK1" s="2" t="s">
        <v>2767</v>
      </c>
      <c r="DBL1" s="2" t="s">
        <v>2768</v>
      </c>
      <c r="DBM1" s="2" t="s">
        <v>2769</v>
      </c>
      <c r="DBN1" s="2" t="s">
        <v>2770</v>
      </c>
      <c r="DBO1" s="2" t="s">
        <v>2771</v>
      </c>
      <c r="DBP1" s="2" t="s">
        <v>2772</v>
      </c>
      <c r="DBQ1" s="2" t="s">
        <v>2773</v>
      </c>
      <c r="DBR1" s="2" t="s">
        <v>2774</v>
      </c>
      <c r="DBS1" s="2" t="s">
        <v>2775</v>
      </c>
      <c r="DBT1" s="2" t="s">
        <v>2776</v>
      </c>
      <c r="DBU1" s="2" t="s">
        <v>2777</v>
      </c>
      <c r="DBV1" s="2" t="s">
        <v>2778</v>
      </c>
      <c r="DBW1" s="2" t="s">
        <v>2779</v>
      </c>
      <c r="DBX1" s="2" t="s">
        <v>2780</v>
      </c>
      <c r="DBY1" s="2" t="s">
        <v>2781</v>
      </c>
      <c r="DBZ1" s="2" t="s">
        <v>2782</v>
      </c>
      <c r="DCA1" s="2" t="s">
        <v>2783</v>
      </c>
      <c r="DCB1" s="2" t="s">
        <v>2784</v>
      </c>
      <c r="DCC1" s="2" t="s">
        <v>2785</v>
      </c>
      <c r="DCD1" s="2" t="s">
        <v>2786</v>
      </c>
      <c r="DCE1" s="2" t="s">
        <v>2787</v>
      </c>
      <c r="DCF1" s="2" t="s">
        <v>2788</v>
      </c>
      <c r="DCG1" s="2" t="s">
        <v>2789</v>
      </c>
      <c r="DCH1" s="2" t="s">
        <v>2790</v>
      </c>
      <c r="DCI1" s="2" t="s">
        <v>2791</v>
      </c>
      <c r="DCJ1" s="2" t="s">
        <v>2792</v>
      </c>
      <c r="DCK1" s="2" t="s">
        <v>2793</v>
      </c>
      <c r="DCL1" s="2" t="s">
        <v>2794</v>
      </c>
      <c r="DCM1" s="2" t="s">
        <v>2795</v>
      </c>
      <c r="DCN1" s="2" t="s">
        <v>2796</v>
      </c>
      <c r="DCO1" s="2" t="s">
        <v>2797</v>
      </c>
      <c r="DCP1" s="2" t="s">
        <v>2798</v>
      </c>
      <c r="DCQ1" s="2" t="s">
        <v>2799</v>
      </c>
      <c r="DCR1" s="2" t="s">
        <v>2800</v>
      </c>
      <c r="DCS1" s="2" t="s">
        <v>2801</v>
      </c>
      <c r="DCT1" s="2" t="s">
        <v>2802</v>
      </c>
      <c r="DCU1" s="2" t="s">
        <v>2803</v>
      </c>
      <c r="DCV1" s="2" t="s">
        <v>2804</v>
      </c>
      <c r="DCW1" s="2" t="s">
        <v>2805</v>
      </c>
      <c r="DCX1" s="2" t="s">
        <v>2806</v>
      </c>
      <c r="DCY1" s="2" t="s">
        <v>2807</v>
      </c>
      <c r="DCZ1" s="2" t="s">
        <v>2808</v>
      </c>
      <c r="DDA1" s="2" t="s">
        <v>2809</v>
      </c>
      <c r="DDB1" s="2" t="s">
        <v>2810</v>
      </c>
      <c r="DDC1" s="2" t="s">
        <v>2811</v>
      </c>
      <c r="DDD1" s="2" t="s">
        <v>2812</v>
      </c>
      <c r="DDE1" s="2" t="s">
        <v>2813</v>
      </c>
      <c r="DDF1" s="2" t="s">
        <v>2814</v>
      </c>
      <c r="DDG1" s="2" t="s">
        <v>2815</v>
      </c>
      <c r="DDH1" s="2" t="s">
        <v>2816</v>
      </c>
      <c r="DDI1" s="2" t="s">
        <v>2817</v>
      </c>
      <c r="DDJ1" s="2" t="s">
        <v>2818</v>
      </c>
      <c r="DDK1" s="2" t="s">
        <v>2819</v>
      </c>
      <c r="DDL1" s="2" t="s">
        <v>2820</v>
      </c>
      <c r="DDM1" s="2" t="s">
        <v>2821</v>
      </c>
      <c r="DDN1" s="2" t="s">
        <v>2822</v>
      </c>
      <c r="DDO1" s="2" t="s">
        <v>2823</v>
      </c>
      <c r="DDP1" s="2" t="s">
        <v>2824</v>
      </c>
      <c r="DDQ1" s="2" t="s">
        <v>2825</v>
      </c>
      <c r="DDR1" s="2" t="s">
        <v>2826</v>
      </c>
      <c r="DDS1" s="2" t="s">
        <v>2827</v>
      </c>
      <c r="DDT1" s="2" t="s">
        <v>2828</v>
      </c>
      <c r="DDU1" s="2" t="s">
        <v>2829</v>
      </c>
      <c r="DDV1" s="2" t="s">
        <v>2830</v>
      </c>
      <c r="DDW1" s="2" t="s">
        <v>2831</v>
      </c>
      <c r="DDX1" s="2" t="s">
        <v>2832</v>
      </c>
      <c r="DDY1" s="2" t="s">
        <v>2833</v>
      </c>
      <c r="DDZ1" s="2" t="s">
        <v>2834</v>
      </c>
      <c r="DEA1" s="2" t="s">
        <v>2835</v>
      </c>
      <c r="DEB1" s="2" t="s">
        <v>2836</v>
      </c>
      <c r="DEC1" s="2" t="s">
        <v>2837</v>
      </c>
      <c r="DED1" s="2" t="s">
        <v>2838</v>
      </c>
      <c r="DEE1" s="2" t="s">
        <v>2839</v>
      </c>
      <c r="DEF1" s="2" t="s">
        <v>2840</v>
      </c>
      <c r="DEG1" s="2" t="s">
        <v>2841</v>
      </c>
      <c r="DEH1" s="2" t="s">
        <v>2842</v>
      </c>
      <c r="DEI1" s="2" t="s">
        <v>2843</v>
      </c>
      <c r="DEJ1" s="2" t="s">
        <v>2844</v>
      </c>
      <c r="DEK1" s="2" t="s">
        <v>2845</v>
      </c>
      <c r="DEL1" s="2" t="s">
        <v>2846</v>
      </c>
      <c r="DEM1" s="2" t="s">
        <v>2847</v>
      </c>
      <c r="DEN1" s="2" t="s">
        <v>2848</v>
      </c>
      <c r="DEO1" s="2" t="s">
        <v>2849</v>
      </c>
      <c r="DEP1" s="2" t="s">
        <v>2850</v>
      </c>
      <c r="DEQ1" s="2" t="s">
        <v>2851</v>
      </c>
      <c r="DER1" s="2" t="s">
        <v>2852</v>
      </c>
      <c r="DES1" s="2" t="s">
        <v>2853</v>
      </c>
      <c r="DET1" s="2" t="s">
        <v>2854</v>
      </c>
      <c r="DEU1" s="2" t="s">
        <v>2855</v>
      </c>
      <c r="DEV1" s="2" t="s">
        <v>2856</v>
      </c>
      <c r="DEW1" s="2" t="s">
        <v>2857</v>
      </c>
      <c r="DEX1" s="2" t="s">
        <v>2858</v>
      </c>
      <c r="DEY1" s="2" t="s">
        <v>2859</v>
      </c>
      <c r="DEZ1" s="2" t="s">
        <v>2860</v>
      </c>
      <c r="DFA1" s="2" t="s">
        <v>2861</v>
      </c>
      <c r="DFB1" s="2" t="s">
        <v>2862</v>
      </c>
      <c r="DFC1" s="2" t="s">
        <v>2863</v>
      </c>
      <c r="DFD1" s="2" t="s">
        <v>2864</v>
      </c>
      <c r="DFE1" s="2" t="s">
        <v>2865</v>
      </c>
      <c r="DFF1" s="2" t="s">
        <v>2866</v>
      </c>
      <c r="DFG1" s="2" t="s">
        <v>2867</v>
      </c>
      <c r="DFH1" s="2" t="s">
        <v>2868</v>
      </c>
      <c r="DFI1" s="2" t="s">
        <v>2869</v>
      </c>
      <c r="DFJ1" s="2" t="s">
        <v>2870</v>
      </c>
      <c r="DFK1" s="2" t="s">
        <v>2871</v>
      </c>
      <c r="DFL1" s="2" t="s">
        <v>2872</v>
      </c>
      <c r="DFM1" s="2" t="s">
        <v>2873</v>
      </c>
      <c r="DFN1" s="2" t="s">
        <v>2874</v>
      </c>
      <c r="DFO1" s="2" t="s">
        <v>2875</v>
      </c>
      <c r="DFP1" s="2" t="s">
        <v>2876</v>
      </c>
      <c r="DFQ1" s="2" t="s">
        <v>2877</v>
      </c>
      <c r="DFR1" s="2" t="s">
        <v>2878</v>
      </c>
      <c r="DFS1" s="2" t="s">
        <v>2879</v>
      </c>
      <c r="DFT1" s="2" t="s">
        <v>2880</v>
      </c>
      <c r="DFU1" s="2" t="s">
        <v>2881</v>
      </c>
      <c r="DFV1" s="2" t="s">
        <v>2882</v>
      </c>
      <c r="DFW1" s="2" t="s">
        <v>2883</v>
      </c>
      <c r="DFX1" s="2" t="s">
        <v>2884</v>
      </c>
      <c r="DFY1" s="2" t="s">
        <v>2885</v>
      </c>
      <c r="DFZ1" s="2" t="s">
        <v>2886</v>
      </c>
      <c r="DGA1" s="2" t="s">
        <v>2887</v>
      </c>
      <c r="DGB1" s="2" t="s">
        <v>2888</v>
      </c>
      <c r="DGC1" s="2" t="s">
        <v>2889</v>
      </c>
      <c r="DGD1" s="2" t="s">
        <v>2890</v>
      </c>
      <c r="DGE1" s="2" t="s">
        <v>2891</v>
      </c>
      <c r="DGF1" s="2" t="s">
        <v>2892</v>
      </c>
      <c r="DGG1" s="2" t="s">
        <v>2893</v>
      </c>
      <c r="DGH1" s="2" t="s">
        <v>2894</v>
      </c>
      <c r="DGI1" s="2" t="s">
        <v>2895</v>
      </c>
      <c r="DGJ1" s="2" t="s">
        <v>2896</v>
      </c>
      <c r="DGK1" s="2" t="s">
        <v>2897</v>
      </c>
      <c r="DGL1" s="2" t="s">
        <v>2898</v>
      </c>
      <c r="DGM1" s="2" t="s">
        <v>2899</v>
      </c>
      <c r="DGN1" s="2" t="s">
        <v>2900</v>
      </c>
      <c r="DGO1" s="2" t="s">
        <v>2901</v>
      </c>
      <c r="DGP1" s="2" t="s">
        <v>2902</v>
      </c>
      <c r="DGQ1" s="2" t="s">
        <v>2903</v>
      </c>
      <c r="DGR1" s="2" t="s">
        <v>2904</v>
      </c>
      <c r="DGS1" s="2" t="s">
        <v>2905</v>
      </c>
      <c r="DGT1" s="2" t="s">
        <v>2906</v>
      </c>
      <c r="DGU1" s="2" t="s">
        <v>2907</v>
      </c>
      <c r="DGV1" s="2" t="s">
        <v>2908</v>
      </c>
      <c r="DGW1" s="2" t="s">
        <v>2909</v>
      </c>
      <c r="DGX1" s="2" t="s">
        <v>2910</v>
      </c>
      <c r="DGY1" s="2" t="s">
        <v>2911</v>
      </c>
      <c r="DGZ1" s="2" t="s">
        <v>2912</v>
      </c>
      <c r="DHA1" s="2" t="s">
        <v>2913</v>
      </c>
      <c r="DHB1" s="2" t="s">
        <v>2914</v>
      </c>
      <c r="DHC1" s="2" t="s">
        <v>2915</v>
      </c>
      <c r="DHD1" s="2" t="s">
        <v>2916</v>
      </c>
      <c r="DHE1" s="2" t="s">
        <v>2917</v>
      </c>
      <c r="DHF1" s="2" t="s">
        <v>2918</v>
      </c>
      <c r="DHG1" s="2" t="s">
        <v>2919</v>
      </c>
      <c r="DHH1" s="2" t="s">
        <v>2920</v>
      </c>
      <c r="DHI1" s="2" t="s">
        <v>2921</v>
      </c>
      <c r="DHJ1" s="2" t="s">
        <v>2922</v>
      </c>
      <c r="DHK1" s="2" t="s">
        <v>2923</v>
      </c>
      <c r="DHL1" s="2" t="s">
        <v>2924</v>
      </c>
      <c r="DHM1" s="2" t="s">
        <v>2925</v>
      </c>
      <c r="DHN1" s="2" t="s">
        <v>2926</v>
      </c>
      <c r="DHO1" s="2" t="s">
        <v>2927</v>
      </c>
      <c r="DHP1" s="2" t="s">
        <v>2928</v>
      </c>
      <c r="DHQ1" s="2" t="s">
        <v>2929</v>
      </c>
      <c r="DHR1" s="2" t="s">
        <v>2930</v>
      </c>
      <c r="DHS1" s="2" t="s">
        <v>2931</v>
      </c>
      <c r="DHT1" s="2" t="s">
        <v>2932</v>
      </c>
      <c r="DHU1" s="2" t="s">
        <v>2933</v>
      </c>
      <c r="DHV1" s="2" t="s">
        <v>2934</v>
      </c>
      <c r="DHW1" s="2" t="s">
        <v>2935</v>
      </c>
      <c r="DHX1" s="2" t="s">
        <v>2936</v>
      </c>
      <c r="DHY1" s="2" t="s">
        <v>2937</v>
      </c>
      <c r="DHZ1" s="2" t="s">
        <v>2938</v>
      </c>
      <c r="DIA1" s="2" t="s">
        <v>2939</v>
      </c>
      <c r="DIB1" s="2" t="s">
        <v>2940</v>
      </c>
      <c r="DIC1" s="2" t="s">
        <v>2941</v>
      </c>
      <c r="DID1" s="2" t="s">
        <v>2942</v>
      </c>
      <c r="DIE1" s="2" t="s">
        <v>2943</v>
      </c>
      <c r="DIF1" s="2" t="s">
        <v>2944</v>
      </c>
      <c r="DIG1" s="2" t="s">
        <v>2945</v>
      </c>
      <c r="DIH1" s="2" t="s">
        <v>2946</v>
      </c>
      <c r="DII1" s="2" t="s">
        <v>2947</v>
      </c>
      <c r="DIJ1" s="2" t="s">
        <v>2948</v>
      </c>
      <c r="DIK1" s="2" t="s">
        <v>2949</v>
      </c>
      <c r="DIL1" s="2" t="s">
        <v>2950</v>
      </c>
      <c r="DIM1" s="2" t="s">
        <v>2951</v>
      </c>
      <c r="DIN1" s="2" t="s">
        <v>2952</v>
      </c>
      <c r="DIO1" s="2" t="s">
        <v>2953</v>
      </c>
      <c r="DIP1" s="2" t="s">
        <v>2954</v>
      </c>
      <c r="DIQ1" s="2" t="s">
        <v>2955</v>
      </c>
      <c r="DIR1" s="2" t="s">
        <v>2956</v>
      </c>
      <c r="DIS1" s="2" t="s">
        <v>2957</v>
      </c>
      <c r="DIT1" s="2" t="s">
        <v>2958</v>
      </c>
      <c r="DIU1" s="2" t="s">
        <v>2959</v>
      </c>
      <c r="DIV1" s="2" t="s">
        <v>2960</v>
      </c>
      <c r="DIW1" s="2" t="s">
        <v>2961</v>
      </c>
      <c r="DIX1" s="2" t="s">
        <v>2962</v>
      </c>
      <c r="DIY1" s="2" t="s">
        <v>2963</v>
      </c>
      <c r="DIZ1" s="2" t="s">
        <v>2964</v>
      </c>
      <c r="DJA1" s="2" t="s">
        <v>2965</v>
      </c>
      <c r="DJB1" s="2" t="s">
        <v>2966</v>
      </c>
      <c r="DJC1" s="2" t="s">
        <v>2967</v>
      </c>
      <c r="DJD1" s="2" t="s">
        <v>2968</v>
      </c>
      <c r="DJE1" s="2" t="s">
        <v>2969</v>
      </c>
      <c r="DJF1" s="2" t="s">
        <v>2970</v>
      </c>
      <c r="DJG1" s="2" t="s">
        <v>2971</v>
      </c>
      <c r="DJH1" s="2" t="s">
        <v>2972</v>
      </c>
      <c r="DJI1" s="2" t="s">
        <v>2973</v>
      </c>
      <c r="DJJ1" s="2" t="s">
        <v>2974</v>
      </c>
      <c r="DJK1" s="2" t="s">
        <v>2975</v>
      </c>
      <c r="DJL1" s="2" t="s">
        <v>2976</v>
      </c>
      <c r="DJM1" s="2" t="s">
        <v>2977</v>
      </c>
      <c r="DJN1" s="2" t="s">
        <v>2978</v>
      </c>
      <c r="DJO1" s="2" t="s">
        <v>2979</v>
      </c>
      <c r="DJP1" s="2" t="s">
        <v>2980</v>
      </c>
      <c r="DJQ1" s="2" t="s">
        <v>2981</v>
      </c>
      <c r="DJR1" s="2" t="s">
        <v>2982</v>
      </c>
      <c r="DJS1" s="2" t="s">
        <v>2983</v>
      </c>
      <c r="DJT1" s="2" t="s">
        <v>2984</v>
      </c>
      <c r="DJU1" s="2" t="s">
        <v>2985</v>
      </c>
      <c r="DJV1" s="2" t="s">
        <v>2986</v>
      </c>
      <c r="DJW1" s="2" t="s">
        <v>2987</v>
      </c>
      <c r="DJX1" s="2" t="s">
        <v>2988</v>
      </c>
      <c r="DJY1" s="2" t="s">
        <v>2989</v>
      </c>
      <c r="DJZ1" s="2" t="s">
        <v>2990</v>
      </c>
      <c r="DKA1" s="2" t="s">
        <v>2991</v>
      </c>
      <c r="DKB1" s="2" t="s">
        <v>2992</v>
      </c>
      <c r="DKC1" s="2" t="s">
        <v>2993</v>
      </c>
      <c r="DKD1" s="2" t="s">
        <v>2994</v>
      </c>
      <c r="DKE1" s="2" t="s">
        <v>2995</v>
      </c>
      <c r="DKF1" s="2" t="s">
        <v>2996</v>
      </c>
      <c r="DKG1" s="2" t="s">
        <v>2997</v>
      </c>
      <c r="DKH1" s="2" t="s">
        <v>2998</v>
      </c>
      <c r="DKI1" s="2" t="s">
        <v>2999</v>
      </c>
      <c r="DKJ1" s="2" t="s">
        <v>3000</v>
      </c>
      <c r="DKK1" s="2" t="s">
        <v>3001</v>
      </c>
      <c r="DKL1" s="2" t="s">
        <v>3002</v>
      </c>
      <c r="DKM1" s="2" t="s">
        <v>3003</v>
      </c>
      <c r="DKN1" s="2" t="s">
        <v>3004</v>
      </c>
      <c r="DKO1" s="2" t="s">
        <v>3005</v>
      </c>
      <c r="DKP1" s="2" t="s">
        <v>3006</v>
      </c>
      <c r="DKQ1" s="2" t="s">
        <v>3007</v>
      </c>
      <c r="DKR1" s="2" t="s">
        <v>3008</v>
      </c>
      <c r="DKS1" s="2" t="s">
        <v>3009</v>
      </c>
      <c r="DKT1" s="2" t="s">
        <v>3010</v>
      </c>
      <c r="DKU1" s="2" t="s">
        <v>3011</v>
      </c>
      <c r="DKV1" s="2" t="s">
        <v>3012</v>
      </c>
      <c r="DKW1" s="2" t="s">
        <v>3013</v>
      </c>
      <c r="DKX1" s="2" t="s">
        <v>3014</v>
      </c>
      <c r="DKY1" s="2" t="s">
        <v>3015</v>
      </c>
      <c r="DKZ1" s="2" t="s">
        <v>3016</v>
      </c>
      <c r="DLA1" s="2" t="s">
        <v>3017</v>
      </c>
      <c r="DLB1" s="2" t="s">
        <v>3018</v>
      </c>
      <c r="DLC1" s="2" t="s">
        <v>3019</v>
      </c>
      <c r="DLD1" s="2" t="s">
        <v>3020</v>
      </c>
      <c r="DLE1" s="2" t="s">
        <v>3021</v>
      </c>
      <c r="DLF1" s="2" t="s">
        <v>3022</v>
      </c>
      <c r="DLG1" s="2" t="s">
        <v>3023</v>
      </c>
      <c r="DLH1" s="2" t="s">
        <v>3024</v>
      </c>
      <c r="DLI1" s="2" t="s">
        <v>3025</v>
      </c>
      <c r="DLJ1" s="2" t="s">
        <v>3026</v>
      </c>
      <c r="DLK1" s="2" t="s">
        <v>3027</v>
      </c>
      <c r="DLL1" s="2" t="s">
        <v>3028</v>
      </c>
      <c r="DLM1" s="2" t="s">
        <v>3029</v>
      </c>
      <c r="DLN1" s="2" t="s">
        <v>3030</v>
      </c>
      <c r="DLO1" s="2" t="s">
        <v>3031</v>
      </c>
      <c r="DLP1" s="2" t="s">
        <v>3032</v>
      </c>
      <c r="DLQ1" s="2" t="s">
        <v>3033</v>
      </c>
      <c r="DLR1" s="2" t="s">
        <v>3034</v>
      </c>
      <c r="DLS1" s="2" t="s">
        <v>3035</v>
      </c>
      <c r="DLT1" s="2" t="s">
        <v>3036</v>
      </c>
      <c r="DLU1" s="2" t="s">
        <v>3037</v>
      </c>
      <c r="DLV1" s="2" t="s">
        <v>3038</v>
      </c>
      <c r="DLW1" s="2" t="s">
        <v>3039</v>
      </c>
      <c r="DLX1" s="2" t="s">
        <v>3040</v>
      </c>
      <c r="DLY1" s="2" t="s">
        <v>3041</v>
      </c>
      <c r="DLZ1" s="2" t="s">
        <v>3042</v>
      </c>
      <c r="DMA1" s="2" t="s">
        <v>3043</v>
      </c>
      <c r="DMB1" s="2" t="s">
        <v>3044</v>
      </c>
      <c r="DMC1" s="2" t="s">
        <v>3045</v>
      </c>
      <c r="DMD1" s="2" t="s">
        <v>3046</v>
      </c>
      <c r="DME1" s="2" t="s">
        <v>3047</v>
      </c>
      <c r="DMF1" s="2" t="s">
        <v>3048</v>
      </c>
      <c r="DMG1" s="2" t="s">
        <v>3049</v>
      </c>
      <c r="DMH1" s="2" t="s">
        <v>3050</v>
      </c>
      <c r="DMI1" s="2" t="s">
        <v>3051</v>
      </c>
      <c r="DMJ1" s="2" t="s">
        <v>3052</v>
      </c>
      <c r="DMK1" s="2" t="s">
        <v>3053</v>
      </c>
      <c r="DML1" s="2" t="s">
        <v>3054</v>
      </c>
      <c r="DMM1" s="2" t="s">
        <v>3055</v>
      </c>
      <c r="DMN1" s="2" t="s">
        <v>3056</v>
      </c>
      <c r="DMO1" s="2" t="s">
        <v>3057</v>
      </c>
      <c r="DMP1" s="2" t="s">
        <v>3058</v>
      </c>
      <c r="DMQ1" s="2" t="s">
        <v>3059</v>
      </c>
      <c r="DMR1" s="2" t="s">
        <v>3060</v>
      </c>
      <c r="DMS1" s="2" t="s">
        <v>3061</v>
      </c>
      <c r="DMT1" s="2" t="s">
        <v>3062</v>
      </c>
      <c r="DMU1" s="2" t="s">
        <v>3063</v>
      </c>
      <c r="DMV1" s="2" t="s">
        <v>3064</v>
      </c>
      <c r="DMW1" s="2" t="s">
        <v>3065</v>
      </c>
      <c r="DMX1" s="2" t="s">
        <v>3066</v>
      </c>
      <c r="DMY1" s="2" t="s">
        <v>3067</v>
      </c>
      <c r="DMZ1" s="2" t="s">
        <v>3068</v>
      </c>
      <c r="DNA1" s="2" t="s">
        <v>3069</v>
      </c>
      <c r="DNB1" s="2" t="s">
        <v>3070</v>
      </c>
      <c r="DNC1" s="2" t="s">
        <v>3071</v>
      </c>
      <c r="DND1" s="2" t="s">
        <v>3072</v>
      </c>
      <c r="DNE1" s="2" t="s">
        <v>3073</v>
      </c>
      <c r="DNF1" s="2" t="s">
        <v>3074</v>
      </c>
      <c r="DNG1" s="2" t="s">
        <v>3075</v>
      </c>
      <c r="DNH1" s="2" t="s">
        <v>3076</v>
      </c>
      <c r="DNI1" s="2" t="s">
        <v>3077</v>
      </c>
      <c r="DNJ1" s="2" t="s">
        <v>3078</v>
      </c>
      <c r="DNK1" s="2" t="s">
        <v>3079</v>
      </c>
      <c r="DNL1" s="2" t="s">
        <v>3080</v>
      </c>
      <c r="DNM1" s="2" t="s">
        <v>3081</v>
      </c>
      <c r="DNN1" s="2" t="s">
        <v>3082</v>
      </c>
      <c r="DNO1" s="2" t="s">
        <v>3083</v>
      </c>
      <c r="DNP1" s="2" t="s">
        <v>3084</v>
      </c>
      <c r="DNQ1" s="2" t="s">
        <v>3085</v>
      </c>
      <c r="DNR1" s="2" t="s">
        <v>3086</v>
      </c>
      <c r="DNS1" s="2" t="s">
        <v>3087</v>
      </c>
      <c r="DNT1" s="2" t="s">
        <v>3088</v>
      </c>
      <c r="DNU1" s="2" t="s">
        <v>3089</v>
      </c>
      <c r="DNV1" s="2" t="s">
        <v>3090</v>
      </c>
      <c r="DNW1" s="2" t="s">
        <v>3091</v>
      </c>
      <c r="DNX1" s="2" t="s">
        <v>3092</v>
      </c>
      <c r="DNY1" s="2" t="s">
        <v>3093</v>
      </c>
      <c r="DNZ1" s="2" t="s">
        <v>3094</v>
      </c>
      <c r="DOA1" s="2" t="s">
        <v>3095</v>
      </c>
      <c r="DOB1" s="2" t="s">
        <v>3096</v>
      </c>
      <c r="DOC1" s="2" t="s">
        <v>3097</v>
      </c>
      <c r="DOD1" s="2" t="s">
        <v>3098</v>
      </c>
      <c r="DOE1" s="2" t="s">
        <v>3099</v>
      </c>
      <c r="DOF1" s="2" t="s">
        <v>3100</v>
      </c>
      <c r="DOG1" s="2" t="s">
        <v>3101</v>
      </c>
      <c r="DOH1" s="2" t="s">
        <v>3102</v>
      </c>
      <c r="DOI1" s="2" t="s">
        <v>3103</v>
      </c>
      <c r="DOJ1" s="2" t="s">
        <v>3104</v>
      </c>
      <c r="DOK1" s="2" t="s">
        <v>3105</v>
      </c>
      <c r="DOL1" s="2" t="s">
        <v>3106</v>
      </c>
      <c r="DOM1" s="2" t="s">
        <v>3107</v>
      </c>
      <c r="DON1" s="2" t="s">
        <v>3108</v>
      </c>
      <c r="DOO1" s="2" t="s">
        <v>3109</v>
      </c>
      <c r="DOP1" s="2" t="s">
        <v>3110</v>
      </c>
      <c r="DOQ1" s="2" t="s">
        <v>3111</v>
      </c>
      <c r="DOR1" s="2" t="s">
        <v>3112</v>
      </c>
      <c r="DOS1" s="2" t="s">
        <v>3113</v>
      </c>
      <c r="DOT1" s="2" t="s">
        <v>3114</v>
      </c>
      <c r="DOU1" s="2" t="s">
        <v>3115</v>
      </c>
      <c r="DOV1" s="2" t="s">
        <v>3116</v>
      </c>
      <c r="DOW1" s="2" t="s">
        <v>3117</v>
      </c>
      <c r="DOX1" s="2" t="s">
        <v>3118</v>
      </c>
      <c r="DOY1" s="2" t="s">
        <v>3119</v>
      </c>
      <c r="DOZ1" s="2" t="s">
        <v>3120</v>
      </c>
      <c r="DPA1" s="2" t="s">
        <v>3121</v>
      </c>
      <c r="DPB1" s="2" t="s">
        <v>3122</v>
      </c>
      <c r="DPC1" s="2" t="s">
        <v>3123</v>
      </c>
      <c r="DPD1" s="2" t="s">
        <v>3124</v>
      </c>
      <c r="DPE1" s="2" t="s">
        <v>3125</v>
      </c>
      <c r="DPF1" s="2" t="s">
        <v>3126</v>
      </c>
      <c r="DPG1" s="2" t="s">
        <v>3127</v>
      </c>
      <c r="DPH1" s="2" t="s">
        <v>3128</v>
      </c>
      <c r="DPI1" s="2" t="s">
        <v>3129</v>
      </c>
      <c r="DPJ1" s="2" t="s">
        <v>3130</v>
      </c>
      <c r="DPK1" s="2" t="s">
        <v>3131</v>
      </c>
      <c r="DPL1" s="2" t="s">
        <v>3132</v>
      </c>
      <c r="DPM1" s="2" t="s">
        <v>3133</v>
      </c>
      <c r="DPN1" s="2" t="s">
        <v>3134</v>
      </c>
      <c r="DPO1" s="2" t="s">
        <v>3135</v>
      </c>
      <c r="DPP1" s="2" t="s">
        <v>3136</v>
      </c>
      <c r="DPQ1" s="2" t="s">
        <v>3137</v>
      </c>
      <c r="DPR1" s="2" t="s">
        <v>3138</v>
      </c>
      <c r="DPS1" s="2" t="s">
        <v>3139</v>
      </c>
      <c r="DPT1" s="2" t="s">
        <v>3140</v>
      </c>
      <c r="DPU1" s="2" t="s">
        <v>3141</v>
      </c>
      <c r="DPV1" s="2" t="s">
        <v>3142</v>
      </c>
      <c r="DPW1" s="2" t="s">
        <v>3143</v>
      </c>
      <c r="DPX1" s="2" t="s">
        <v>3144</v>
      </c>
      <c r="DPY1" s="2" t="s">
        <v>3145</v>
      </c>
      <c r="DPZ1" s="2" t="s">
        <v>3146</v>
      </c>
      <c r="DQA1" s="2" t="s">
        <v>3147</v>
      </c>
      <c r="DQB1" s="2" t="s">
        <v>3148</v>
      </c>
      <c r="DQC1" s="2" t="s">
        <v>3149</v>
      </c>
      <c r="DQD1" s="2" t="s">
        <v>3150</v>
      </c>
      <c r="DQE1" s="2" t="s">
        <v>3151</v>
      </c>
      <c r="DQF1" s="2" t="s">
        <v>3152</v>
      </c>
      <c r="DQG1" s="2" t="s">
        <v>3153</v>
      </c>
      <c r="DQH1" s="2" t="s">
        <v>3154</v>
      </c>
      <c r="DQI1" s="2" t="s">
        <v>3155</v>
      </c>
      <c r="DQJ1" s="2" t="s">
        <v>3156</v>
      </c>
      <c r="DQK1" s="2" t="s">
        <v>3157</v>
      </c>
      <c r="DQL1" s="2" t="s">
        <v>3158</v>
      </c>
      <c r="DQM1" s="2" t="s">
        <v>3159</v>
      </c>
      <c r="DQN1" s="2" t="s">
        <v>3160</v>
      </c>
      <c r="DQO1" s="2" t="s">
        <v>3161</v>
      </c>
      <c r="DQP1" s="2" t="s">
        <v>3162</v>
      </c>
      <c r="DQQ1" s="2" t="s">
        <v>3163</v>
      </c>
      <c r="DQR1" s="2" t="s">
        <v>3164</v>
      </c>
      <c r="DQS1" s="2" t="s">
        <v>3165</v>
      </c>
      <c r="DQT1" s="2" t="s">
        <v>3166</v>
      </c>
      <c r="DQU1" s="2" t="s">
        <v>3167</v>
      </c>
      <c r="DQV1" s="2" t="s">
        <v>3168</v>
      </c>
      <c r="DQW1" s="2" t="s">
        <v>3169</v>
      </c>
      <c r="DQX1" s="2" t="s">
        <v>3170</v>
      </c>
      <c r="DQY1" s="2" t="s">
        <v>3171</v>
      </c>
      <c r="DQZ1" s="2" t="s">
        <v>3172</v>
      </c>
      <c r="DRA1" s="2" t="s">
        <v>3173</v>
      </c>
      <c r="DRB1" s="2" t="s">
        <v>3174</v>
      </c>
      <c r="DRC1" s="2" t="s">
        <v>3175</v>
      </c>
      <c r="DRD1" s="2" t="s">
        <v>3176</v>
      </c>
      <c r="DRE1" s="2" t="s">
        <v>3177</v>
      </c>
      <c r="DRF1" s="2" t="s">
        <v>3178</v>
      </c>
      <c r="DRG1" s="2" t="s">
        <v>3179</v>
      </c>
      <c r="DRH1" s="2" t="s">
        <v>3180</v>
      </c>
      <c r="DRI1" s="2" t="s">
        <v>3181</v>
      </c>
      <c r="DRJ1" s="2" t="s">
        <v>3182</v>
      </c>
      <c r="DRK1" s="2" t="s">
        <v>3183</v>
      </c>
      <c r="DRL1" s="2" t="s">
        <v>3184</v>
      </c>
      <c r="DRM1" s="2" t="s">
        <v>3185</v>
      </c>
      <c r="DRN1" s="2" t="s">
        <v>3186</v>
      </c>
      <c r="DRO1" s="2" t="s">
        <v>3187</v>
      </c>
      <c r="DRP1" s="2" t="s">
        <v>3188</v>
      </c>
      <c r="DRQ1" s="2" t="s">
        <v>3189</v>
      </c>
      <c r="DRR1" s="2" t="s">
        <v>3190</v>
      </c>
      <c r="DRS1" s="2" t="s">
        <v>3191</v>
      </c>
      <c r="DRT1" s="2" t="s">
        <v>3192</v>
      </c>
      <c r="DRU1" s="2" t="s">
        <v>3193</v>
      </c>
      <c r="DRV1" s="2" t="s">
        <v>3194</v>
      </c>
      <c r="DRW1" s="2" t="s">
        <v>3195</v>
      </c>
      <c r="DRX1" s="2" t="s">
        <v>3196</v>
      </c>
      <c r="DRY1" s="2" t="s">
        <v>3197</v>
      </c>
      <c r="DRZ1" s="2" t="s">
        <v>3198</v>
      </c>
      <c r="DSA1" s="2" t="s">
        <v>3199</v>
      </c>
      <c r="DSB1" s="2" t="s">
        <v>3200</v>
      </c>
      <c r="DSC1" s="2" t="s">
        <v>3201</v>
      </c>
      <c r="DSD1" s="2" t="s">
        <v>3202</v>
      </c>
      <c r="DSE1" s="2" t="s">
        <v>3203</v>
      </c>
      <c r="DSF1" s="2" t="s">
        <v>3204</v>
      </c>
      <c r="DSG1" s="2" t="s">
        <v>3205</v>
      </c>
      <c r="DSH1" s="2" t="s">
        <v>3206</v>
      </c>
      <c r="DSI1" s="2" t="s">
        <v>3207</v>
      </c>
      <c r="DSJ1" s="2" t="s">
        <v>3208</v>
      </c>
      <c r="DSK1" s="2" t="s">
        <v>3209</v>
      </c>
      <c r="DSL1" s="2" t="s">
        <v>3210</v>
      </c>
      <c r="DSM1" s="2" t="s">
        <v>3211</v>
      </c>
      <c r="DSN1" s="2" t="s">
        <v>3212</v>
      </c>
      <c r="DSO1" s="2" t="s">
        <v>3213</v>
      </c>
      <c r="DSP1" s="2" t="s">
        <v>3214</v>
      </c>
      <c r="DSQ1" s="2" t="s">
        <v>3215</v>
      </c>
      <c r="DSR1" s="2" t="s">
        <v>3216</v>
      </c>
      <c r="DSS1" s="2" t="s">
        <v>3217</v>
      </c>
      <c r="DST1" s="2" t="s">
        <v>3218</v>
      </c>
      <c r="DSU1" s="2" t="s">
        <v>3219</v>
      </c>
      <c r="DSV1" s="2" t="s">
        <v>3220</v>
      </c>
      <c r="DSW1" s="2" t="s">
        <v>3221</v>
      </c>
      <c r="DSX1" s="2" t="s">
        <v>3222</v>
      </c>
      <c r="DSY1" s="2" t="s">
        <v>3223</v>
      </c>
      <c r="DSZ1" s="2" t="s">
        <v>3224</v>
      </c>
      <c r="DTA1" s="2" t="s">
        <v>3225</v>
      </c>
      <c r="DTB1" s="2" t="s">
        <v>3226</v>
      </c>
      <c r="DTC1" s="2" t="s">
        <v>3227</v>
      </c>
      <c r="DTD1" s="2" t="s">
        <v>3228</v>
      </c>
      <c r="DTE1" s="2" t="s">
        <v>3229</v>
      </c>
      <c r="DTF1" s="2" t="s">
        <v>3230</v>
      </c>
      <c r="DTG1" s="2" t="s">
        <v>3231</v>
      </c>
      <c r="DTH1" s="2" t="s">
        <v>3232</v>
      </c>
      <c r="DTI1" s="2" t="s">
        <v>3233</v>
      </c>
      <c r="DTJ1" s="2" t="s">
        <v>3234</v>
      </c>
      <c r="DTK1" s="2" t="s">
        <v>3235</v>
      </c>
      <c r="DTL1" s="2" t="s">
        <v>3236</v>
      </c>
      <c r="DTM1" s="2" t="s">
        <v>3237</v>
      </c>
      <c r="DTN1" s="2" t="s">
        <v>3238</v>
      </c>
      <c r="DTO1" s="2" t="s">
        <v>3239</v>
      </c>
      <c r="DTP1" s="2" t="s">
        <v>3240</v>
      </c>
      <c r="DTQ1" s="2" t="s">
        <v>3241</v>
      </c>
      <c r="DTR1" s="2" t="s">
        <v>3242</v>
      </c>
      <c r="DTS1" s="2" t="s">
        <v>3243</v>
      </c>
      <c r="DTT1" s="2" t="s">
        <v>3244</v>
      </c>
      <c r="DTU1" s="2" t="s">
        <v>3245</v>
      </c>
      <c r="DTV1" s="2" t="s">
        <v>3246</v>
      </c>
      <c r="DTW1" s="2" t="s">
        <v>3247</v>
      </c>
      <c r="DTX1" s="2" t="s">
        <v>3248</v>
      </c>
      <c r="DTY1" s="2" t="s">
        <v>3249</v>
      </c>
      <c r="DTZ1" s="2" t="s">
        <v>3250</v>
      </c>
      <c r="DUA1" s="2" t="s">
        <v>3251</v>
      </c>
      <c r="DUB1" s="2" t="s">
        <v>3252</v>
      </c>
      <c r="DUC1" s="2" t="s">
        <v>3253</v>
      </c>
      <c r="DUD1" s="2" t="s">
        <v>3254</v>
      </c>
      <c r="DUE1" s="2" t="s">
        <v>3255</v>
      </c>
      <c r="DUF1" s="2" t="s">
        <v>3256</v>
      </c>
      <c r="DUG1" s="2" t="s">
        <v>3257</v>
      </c>
      <c r="DUH1" s="2" t="s">
        <v>3258</v>
      </c>
      <c r="DUI1" s="2" t="s">
        <v>3259</v>
      </c>
      <c r="DUJ1" s="2" t="s">
        <v>3260</v>
      </c>
      <c r="DUK1" s="2" t="s">
        <v>3261</v>
      </c>
      <c r="DUL1" s="2" t="s">
        <v>3262</v>
      </c>
      <c r="DUM1" s="2" t="s">
        <v>3263</v>
      </c>
      <c r="DUN1" s="2" t="s">
        <v>3264</v>
      </c>
      <c r="DUO1" s="2" t="s">
        <v>3265</v>
      </c>
      <c r="DUP1" s="2" t="s">
        <v>3266</v>
      </c>
      <c r="DUQ1" s="2" t="s">
        <v>3267</v>
      </c>
      <c r="DUR1" s="2" t="s">
        <v>3268</v>
      </c>
      <c r="DUS1" s="2" t="s">
        <v>3269</v>
      </c>
      <c r="DUT1" s="2" t="s">
        <v>3270</v>
      </c>
      <c r="DUU1" s="2" t="s">
        <v>3271</v>
      </c>
      <c r="DUV1" s="2" t="s">
        <v>3272</v>
      </c>
      <c r="DUW1" s="2" t="s">
        <v>3273</v>
      </c>
      <c r="DUX1" s="2" t="s">
        <v>3274</v>
      </c>
      <c r="DUY1" s="2" t="s">
        <v>3275</v>
      </c>
      <c r="DUZ1" s="2" t="s">
        <v>3276</v>
      </c>
      <c r="DVA1" s="2" t="s">
        <v>3277</v>
      </c>
      <c r="DVB1" s="2" t="s">
        <v>3278</v>
      </c>
      <c r="DVC1" s="2" t="s">
        <v>3279</v>
      </c>
      <c r="DVD1" s="2" t="s">
        <v>3280</v>
      </c>
      <c r="DVE1" s="2" t="s">
        <v>3281</v>
      </c>
      <c r="DVF1" s="2" t="s">
        <v>3282</v>
      </c>
      <c r="DVG1" s="2" t="s">
        <v>3283</v>
      </c>
      <c r="DVH1" s="2" t="s">
        <v>3284</v>
      </c>
      <c r="DVI1" s="2" t="s">
        <v>3285</v>
      </c>
      <c r="DVJ1" s="2" t="s">
        <v>3286</v>
      </c>
      <c r="DVK1" s="2" t="s">
        <v>3287</v>
      </c>
      <c r="DVL1" s="2" t="s">
        <v>3288</v>
      </c>
      <c r="DVM1" s="2" t="s">
        <v>3289</v>
      </c>
      <c r="DVN1" s="2" t="s">
        <v>3290</v>
      </c>
      <c r="DVO1" s="2" t="s">
        <v>3291</v>
      </c>
      <c r="DVP1" s="2" t="s">
        <v>3292</v>
      </c>
      <c r="DVQ1" s="2" t="s">
        <v>3293</v>
      </c>
      <c r="DVR1" s="2" t="s">
        <v>3294</v>
      </c>
      <c r="DVS1" s="2" t="s">
        <v>3295</v>
      </c>
      <c r="DVT1" s="2" t="s">
        <v>3296</v>
      </c>
      <c r="DVU1" s="2" t="s">
        <v>3297</v>
      </c>
      <c r="DVV1" s="2" t="s">
        <v>3298</v>
      </c>
      <c r="DVW1" s="2" t="s">
        <v>3299</v>
      </c>
      <c r="DVX1" s="2" t="s">
        <v>3300</v>
      </c>
      <c r="DVY1" s="2" t="s">
        <v>3301</v>
      </c>
      <c r="DVZ1" s="2" t="s">
        <v>3302</v>
      </c>
      <c r="DWA1" s="2" t="s">
        <v>3303</v>
      </c>
      <c r="DWB1" s="2" t="s">
        <v>3304</v>
      </c>
      <c r="DWC1" s="2" t="s">
        <v>3305</v>
      </c>
      <c r="DWD1" s="2" t="s">
        <v>3306</v>
      </c>
      <c r="DWE1" s="2" t="s">
        <v>3307</v>
      </c>
      <c r="DWF1" s="2" t="s">
        <v>3308</v>
      </c>
      <c r="DWG1" s="2" t="s">
        <v>3309</v>
      </c>
      <c r="DWH1" s="2" t="s">
        <v>3310</v>
      </c>
      <c r="DWI1" s="2" t="s">
        <v>3311</v>
      </c>
      <c r="DWJ1" s="2" t="s">
        <v>3312</v>
      </c>
      <c r="DWK1" s="2" t="s">
        <v>3313</v>
      </c>
      <c r="DWL1" s="2" t="s">
        <v>3314</v>
      </c>
      <c r="DWM1" s="2" t="s">
        <v>3315</v>
      </c>
      <c r="DWN1" s="2" t="s">
        <v>3316</v>
      </c>
      <c r="DWO1" s="2" t="s">
        <v>3317</v>
      </c>
      <c r="DWP1" s="2" t="s">
        <v>3318</v>
      </c>
      <c r="DWQ1" s="2" t="s">
        <v>3319</v>
      </c>
      <c r="DWR1" s="2" t="s">
        <v>3320</v>
      </c>
      <c r="DWS1" s="2" t="s">
        <v>3321</v>
      </c>
      <c r="DWT1" s="2" t="s">
        <v>3322</v>
      </c>
      <c r="DWU1" s="2" t="s">
        <v>3323</v>
      </c>
      <c r="DWV1" s="2" t="s">
        <v>3324</v>
      </c>
      <c r="DWW1" s="2" t="s">
        <v>3325</v>
      </c>
      <c r="DWX1" s="2" t="s">
        <v>3326</v>
      </c>
      <c r="DWY1" s="2" t="s">
        <v>3327</v>
      </c>
      <c r="DWZ1" s="2" t="s">
        <v>3328</v>
      </c>
      <c r="DXA1" s="2" t="s">
        <v>3329</v>
      </c>
      <c r="DXB1" s="2" t="s">
        <v>3330</v>
      </c>
      <c r="DXC1" s="2" t="s">
        <v>3331</v>
      </c>
      <c r="DXD1" s="2" t="s">
        <v>3332</v>
      </c>
      <c r="DXE1" s="2" t="s">
        <v>3333</v>
      </c>
      <c r="DXF1" s="2" t="s">
        <v>3334</v>
      </c>
      <c r="DXG1" s="2" t="s">
        <v>3335</v>
      </c>
      <c r="DXH1" s="2" t="s">
        <v>3336</v>
      </c>
      <c r="DXI1" s="2" t="s">
        <v>3337</v>
      </c>
      <c r="DXJ1" s="2" t="s">
        <v>3338</v>
      </c>
      <c r="DXK1" s="2" t="s">
        <v>3339</v>
      </c>
      <c r="DXL1" s="2" t="s">
        <v>3340</v>
      </c>
      <c r="DXM1" s="2" t="s">
        <v>3341</v>
      </c>
      <c r="DXN1" s="2" t="s">
        <v>3342</v>
      </c>
      <c r="DXO1" s="2" t="s">
        <v>3343</v>
      </c>
      <c r="DXP1" s="2" t="s">
        <v>3344</v>
      </c>
      <c r="DXQ1" s="2" t="s">
        <v>3345</v>
      </c>
      <c r="DXR1" s="2" t="s">
        <v>3346</v>
      </c>
      <c r="DXS1" s="2" t="s">
        <v>3347</v>
      </c>
      <c r="DXT1" s="2" t="s">
        <v>3348</v>
      </c>
      <c r="DXU1" s="2" t="s">
        <v>3349</v>
      </c>
      <c r="DXV1" s="2" t="s">
        <v>3350</v>
      </c>
      <c r="DXW1" s="2" t="s">
        <v>3351</v>
      </c>
      <c r="DXX1" s="2" t="s">
        <v>3352</v>
      </c>
      <c r="DXY1" s="2" t="s">
        <v>3353</v>
      </c>
      <c r="DXZ1" s="2" t="s">
        <v>3354</v>
      </c>
      <c r="DYA1" s="2" t="s">
        <v>3355</v>
      </c>
      <c r="DYB1" s="2" t="s">
        <v>3356</v>
      </c>
      <c r="DYC1" s="2" t="s">
        <v>3357</v>
      </c>
      <c r="DYD1" s="2" t="s">
        <v>3358</v>
      </c>
      <c r="DYE1" s="2" t="s">
        <v>3359</v>
      </c>
      <c r="DYF1" s="2" t="s">
        <v>3360</v>
      </c>
      <c r="DYG1" s="2" t="s">
        <v>3361</v>
      </c>
      <c r="DYH1" s="2" t="s">
        <v>3362</v>
      </c>
      <c r="DYI1" s="2" t="s">
        <v>3363</v>
      </c>
      <c r="DYJ1" s="2" t="s">
        <v>3364</v>
      </c>
      <c r="DYK1" s="2" t="s">
        <v>3365</v>
      </c>
      <c r="DYL1" s="2" t="s">
        <v>3366</v>
      </c>
      <c r="DYM1" s="2" t="s">
        <v>3367</v>
      </c>
      <c r="DYN1" s="2" t="s">
        <v>3368</v>
      </c>
      <c r="DYO1" s="2" t="s">
        <v>3369</v>
      </c>
      <c r="DYP1" s="2" t="s">
        <v>3370</v>
      </c>
      <c r="DYQ1" s="2" t="s">
        <v>3371</v>
      </c>
      <c r="DYR1" s="2" t="s">
        <v>3372</v>
      </c>
      <c r="DYS1" s="2" t="s">
        <v>3373</v>
      </c>
      <c r="DYT1" s="2" t="s">
        <v>3374</v>
      </c>
      <c r="DYU1" s="2" t="s">
        <v>3375</v>
      </c>
      <c r="DYV1" s="2" t="s">
        <v>3376</v>
      </c>
      <c r="DYW1" s="2" t="s">
        <v>3377</v>
      </c>
      <c r="DYX1" s="2" t="s">
        <v>3378</v>
      </c>
      <c r="DYY1" s="2" t="s">
        <v>3379</v>
      </c>
      <c r="DYZ1" s="2" t="s">
        <v>3380</v>
      </c>
      <c r="DZA1" s="2" t="s">
        <v>3381</v>
      </c>
      <c r="DZB1" s="2" t="s">
        <v>3382</v>
      </c>
      <c r="DZC1" s="2" t="s">
        <v>3383</v>
      </c>
      <c r="DZD1" s="2" t="s">
        <v>3384</v>
      </c>
      <c r="DZE1" s="2" t="s">
        <v>3385</v>
      </c>
      <c r="DZF1" s="2" t="s">
        <v>3386</v>
      </c>
      <c r="DZG1" s="2" t="s">
        <v>3387</v>
      </c>
      <c r="DZH1" s="2" t="s">
        <v>3388</v>
      </c>
      <c r="DZI1" s="2" t="s">
        <v>3389</v>
      </c>
      <c r="DZJ1" s="2" t="s">
        <v>3390</v>
      </c>
      <c r="DZK1" s="2" t="s">
        <v>3391</v>
      </c>
      <c r="DZL1" s="2" t="s">
        <v>3392</v>
      </c>
      <c r="DZM1" s="2" t="s">
        <v>3393</v>
      </c>
      <c r="DZN1" s="2" t="s">
        <v>3394</v>
      </c>
      <c r="DZO1" s="2" t="s">
        <v>3395</v>
      </c>
      <c r="DZP1" s="2" t="s">
        <v>3396</v>
      </c>
      <c r="DZQ1" s="2" t="s">
        <v>3397</v>
      </c>
      <c r="DZR1" s="2" t="s">
        <v>3398</v>
      </c>
      <c r="DZS1" s="2" t="s">
        <v>3399</v>
      </c>
      <c r="DZT1" s="2" t="s">
        <v>3400</v>
      </c>
      <c r="DZU1" s="2" t="s">
        <v>3401</v>
      </c>
      <c r="DZV1" s="2" t="s">
        <v>3402</v>
      </c>
      <c r="DZW1" s="2" t="s">
        <v>3403</v>
      </c>
      <c r="DZX1" s="2" t="s">
        <v>3404</v>
      </c>
      <c r="DZY1" s="2" t="s">
        <v>3405</v>
      </c>
      <c r="DZZ1" s="2" t="s">
        <v>3406</v>
      </c>
      <c r="EAA1" s="2" t="s">
        <v>3407</v>
      </c>
      <c r="EAB1" s="2" t="s">
        <v>3408</v>
      </c>
      <c r="EAC1" s="2" t="s">
        <v>3409</v>
      </c>
      <c r="EAD1" s="2" t="s">
        <v>3410</v>
      </c>
      <c r="EAE1" s="2" t="s">
        <v>3411</v>
      </c>
      <c r="EAF1" s="2" t="s">
        <v>3412</v>
      </c>
      <c r="EAG1" s="2" t="s">
        <v>3413</v>
      </c>
      <c r="EAH1" s="2" t="s">
        <v>3414</v>
      </c>
      <c r="EAI1" s="2" t="s">
        <v>3415</v>
      </c>
      <c r="EAJ1" s="2" t="s">
        <v>3416</v>
      </c>
      <c r="EAK1" s="2" t="s">
        <v>3417</v>
      </c>
      <c r="EAL1" s="2" t="s">
        <v>3418</v>
      </c>
      <c r="EAM1" s="2" t="s">
        <v>3419</v>
      </c>
      <c r="EAN1" s="2" t="s">
        <v>3420</v>
      </c>
      <c r="EAO1" s="2" t="s">
        <v>3421</v>
      </c>
      <c r="EAP1" s="2" t="s">
        <v>3422</v>
      </c>
      <c r="EAQ1" s="2" t="s">
        <v>3423</v>
      </c>
      <c r="EAR1" s="2" t="s">
        <v>3424</v>
      </c>
      <c r="EAS1" s="2" t="s">
        <v>3425</v>
      </c>
      <c r="EAT1" s="2" t="s">
        <v>3426</v>
      </c>
      <c r="EAU1" s="2" t="s">
        <v>3427</v>
      </c>
      <c r="EAV1" s="2" t="s">
        <v>3428</v>
      </c>
      <c r="EAW1" s="2" t="s">
        <v>3429</v>
      </c>
      <c r="EAX1" s="2" t="s">
        <v>3430</v>
      </c>
      <c r="EAY1" s="2" t="s">
        <v>3431</v>
      </c>
      <c r="EAZ1" s="2" t="s">
        <v>3432</v>
      </c>
      <c r="EBA1" s="2" t="s">
        <v>3433</v>
      </c>
      <c r="EBB1" s="2" t="s">
        <v>3434</v>
      </c>
      <c r="EBC1" s="2" t="s">
        <v>3435</v>
      </c>
      <c r="EBD1" s="2" t="s">
        <v>3436</v>
      </c>
      <c r="EBE1" s="2" t="s">
        <v>3437</v>
      </c>
      <c r="EBF1" s="2" t="s">
        <v>3438</v>
      </c>
      <c r="EBG1" s="2" t="s">
        <v>3439</v>
      </c>
      <c r="EBH1" s="2" t="s">
        <v>3440</v>
      </c>
      <c r="EBI1" s="2" t="s">
        <v>3441</v>
      </c>
      <c r="EBJ1" s="2" t="s">
        <v>3442</v>
      </c>
      <c r="EBK1" s="2" t="s">
        <v>3443</v>
      </c>
      <c r="EBL1" s="2" t="s">
        <v>3444</v>
      </c>
      <c r="EBM1" s="2" t="s">
        <v>3445</v>
      </c>
      <c r="EBN1" s="2" t="s">
        <v>3446</v>
      </c>
      <c r="EBO1" s="2" t="s">
        <v>3447</v>
      </c>
      <c r="EBP1" s="2" t="s">
        <v>3448</v>
      </c>
      <c r="EBQ1" s="2" t="s">
        <v>3449</v>
      </c>
      <c r="EBR1" s="2" t="s">
        <v>3450</v>
      </c>
      <c r="EBS1" s="2" t="s">
        <v>3451</v>
      </c>
      <c r="EBT1" s="2" t="s">
        <v>3452</v>
      </c>
      <c r="EBU1" s="2" t="s">
        <v>3453</v>
      </c>
      <c r="EBV1" s="2" t="s">
        <v>3454</v>
      </c>
      <c r="EBW1" s="2" t="s">
        <v>3455</v>
      </c>
      <c r="EBX1" s="2" t="s">
        <v>3456</v>
      </c>
      <c r="EBY1" s="2" t="s">
        <v>3457</v>
      </c>
      <c r="EBZ1" s="2" t="s">
        <v>3458</v>
      </c>
      <c r="ECA1" s="2" t="s">
        <v>3459</v>
      </c>
      <c r="ECB1" s="2" t="s">
        <v>3460</v>
      </c>
      <c r="ECC1" s="2" t="s">
        <v>3461</v>
      </c>
      <c r="ECD1" s="2" t="s">
        <v>3462</v>
      </c>
      <c r="ECE1" s="2" t="s">
        <v>3463</v>
      </c>
      <c r="ECF1" s="2" t="s">
        <v>3464</v>
      </c>
      <c r="ECG1" s="2" t="s">
        <v>3465</v>
      </c>
      <c r="ECH1" s="2" t="s">
        <v>3466</v>
      </c>
      <c r="ECI1" s="2" t="s">
        <v>3467</v>
      </c>
      <c r="ECJ1" s="2" t="s">
        <v>3468</v>
      </c>
      <c r="ECK1" s="2" t="s">
        <v>3469</v>
      </c>
      <c r="ECL1" s="2" t="s">
        <v>3470</v>
      </c>
      <c r="ECM1" s="2" t="s">
        <v>3471</v>
      </c>
      <c r="ECN1" s="2" t="s">
        <v>3472</v>
      </c>
      <c r="ECO1" s="2" t="s">
        <v>3473</v>
      </c>
      <c r="ECP1" s="2" t="s">
        <v>3474</v>
      </c>
      <c r="ECQ1" s="2" t="s">
        <v>3475</v>
      </c>
      <c r="ECR1" s="2" t="s">
        <v>3476</v>
      </c>
      <c r="ECS1" s="2" t="s">
        <v>3477</v>
      </c>
      <c r="ECT1" s="2" t="s">
        <v>3478</v>
      </c>
      <c r="ECU1" s="2" t="s">
        <v>3479</v>
      </c>
      <c r="ECV1" s="2" t="s">
        <v>3480</v>
      </c>
      <c r="ECW1" s="2" t="s">
        <v>3481</v>
      </c>
      <c r="ECX1" s="2" t="s">
        <v>3482</v>
      </c>
      <c r="ECY1" s="2" t="s">
        <v>3483</v>
      </c>
      <c r="ECZ1" s="2" t="s">
        <v>3484</v>
      </c>
      <c r="EDA1" s="2" t="s">
        <v>3485</v>
      </c>
      <c r="EDB1" s="2" t="s">
        <v>3486</v>
      </c>
      <c r="EDC1" s="2" t="s">
        <v>3487</v>
      </c>
      <c r="EDD1" s="2" t="s">
        <v>3488</v>
      </c>
      <c r="EDE1" s="2" t="s">
        <v>3489</v>
      </c>
    </row>
    <row r="2" spans="1:3493" x14ac:dyDescent="0.3">
      <c r="A2" s="3" t="s">
        <v>1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1</v>
      </c>
      <c r="BNO2">
        <v>0</v>
      </c>
      <c r="BNP2">
        <v>0</v>
      </c>
      <c r="BNQ2">
        <v>1</v>
      </c>
      <c r="BNR2">
        <v>0</v>
      </c>
      <c r="BNS2">
        <v>0</v>
      </c>
      <c r="BNT2">
        <v>1</v>
      </c>
      <c r="BNU2">
        <v>0</v>
      </c>
      <c r="BNV2">
        <v>0</v>
      </c>
      <c r="BNW2">
        <v>1</v>
      </c>
      <c r="BNX2">
        <v>0</v>
      </c>
      <c r="BNY2">
        <v>1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1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1</v>
      </c>
      <c r="BOR2">
        <v>0</v>
      </c>
      <c r="BOS2">
        <v>0</v>
      </c>
      <c r="BOT2">
        <v>1</v>
      </c>
      <c r="BOU2">
        <v>0</v>
      </c>
      <c r="BOV2">
        <v>0</v>
      </c>
      <c r="BOW2">
        <v>0</v>
      </c>
      <c r="BOX2">
        <v>0</v>
      </c>
      <c r="BOY2">
        <v>1</v>
      </c>
      <c r="BOZ2">
        <v>0</v>
      </c>
      <c r="BPA2">
        <v>0</v>
      </c>
      <c r="BPB2">
        <v>1</v>
      </c>
      <c r="BPC2">
        <v>1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1</v>
      </c>
      <c r="BQG2">
        <v>1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1</v>
      </c>
      <c r="BQN2">
        <v>0</v>
      </c>
      <c r="BQO2">
        <v>1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1</v>
      </c>
      <c r="BRC2">
        <v>0</v>
      </c>
      <c r="BRD2">
        <v>0</v>
      </c>
      <c r="BRE2">
        <v>1</v>
      </c>
      <c r="BRF2">
        <v>1</v>
      </c>
      <c r="BRG2">
        <v>0</v>
      </c>
      <c r="BRH2">
        <v>0</v>
      </c>
      <c r="BRI2">
        <v>0</v>
      </c>
      <c r="BRJ2">
        <v>1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1</v>
      </c>
      <c r="BRQ2">
        <v>0</v>
      </c>
      <c r="BRR2">
        <v>0</v>
      </c>
      <c r="BRS2">
        <v>0</v>
      </c>
      <c r="BRT2">
        <v>1</v>
      </c>
      <c r="BRU2">
        <v>0</v>
      </c>
      <c r="BRV2">
        <v>1</v>
      </c>
      <c r="BRW2">
        <v>0</v>
      </c>
      <c r="BRX2">
        <v>0</v>
      </c>
      <c r="BRY2">
        <v>0</v>
      </c>
      <c r="BRZ2">
        <v>1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1</v>
      </c>
      <c r="BSG2">
        <v>0</v>
      </c>
      <c r="BSH2">
        <v>1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1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1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1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1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1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1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1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1</v>
      </c>
      <c r="EBJ2">
        <v>0</v>
      </c>
      <c r="EBK2">
        <v>1</v>
      </c>
      <c r="EBL2">
        <v>1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1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</row>
    <row r="4" spans="1:3493" x14ac:dyDescent="0.3">
      <c r="A4" s="2" t="s">
        <v>5266</v>
      </c>
      <c r="B4" t="s">
        <v>5267</v>
      </c>
      <c r="C4">
        <v>1400</v>
      </c>
      <c r="D4">
        <v>1400</v>
      </c>
      <c r="E4">
        <v>1400</v>
      </c>
      <c r="F4">
        <v>1400</v>
      </c>
      <c r="G4">
        <v>1400</v>
      </c>
      <c r="H4">
        <v>1400</v>
      </c>
      <c r="I4">
        <v>1400</v>
      </c>
      <c r="J4">
        <v>1400</v>
      </c>
      <c r="K4">
        <v>1400</v>
      </c>
      <c r="L4">
        <v>1400</v>
      </c>
      <c r="M4">
        <v>2800</v>
      </c>
      <c r="N4">
        <v>2800</v>
      </c>
      <c r="O4">
        <v>2800</v>
      </c>
      <c r="P4">
        <v>2800</v>
      </c>
      <c r="Q4">
        <v>2800</v>
      </c>
      <c r="R4">
        <v>2800</v>
      </c>
      <c r="S4">
        <v>2800</v>
      </c>
      <c r="T4">
        <v>2800</v>
      </c>
      <c r="U4">
        <v>2800</v>
      </c>
      <c r="V4">
        <v>2800</v>
      </c>
      <c r="W4">
        <v>2800</v>
      </c>
      <c r="X4">
        <v>2800</v>
      </c>
      <c r="Y4">
        <v>2800</v>
      </c>
      <c r="Z4">
        <v>2800</v>
      </c>
      <c r="AA4">
        <v>2800</v>
      </c>
      <c r="AB4">
        <v>2800</v>
      </c>
      <c r="AC4">
        <v>2800</v>
      </c>
      <c r="AD4">
        <v>2800</v>
      </c>
      <c r="AE4">
        <v>2800</v>
      </c>
      <c r="AF4">
        <v>2800</v>
      </c>
      <c r="AG4">
        <v>2800</v>
      </c>
      <c r="AH4">
        <v>2800</v>
      </c>
      <c r="AI4">
        <v>2800</v>
      </c>
      <c r="AJ4">
        <v>2800</v>
      </c>
      <c r="AK4">
        <v>2800</v>
      </c>
      <c r="AL4">
        <v>2800</v>
      </c>
      <c r="AM4">
        <v>2800</v>
      </c>
      <c r="AN4">
        <v>2800</v>
      </c>
      <c r="AO4">
        <v>2800</v>
      </c>
      <c r="AP4">
        <v>2800</v>
      </c>
      <c r="AQ4">
        <v>2800</v>
      </c>
      <c r="AR4">
        <v>2800</v>
      </c>
      <c r="AS4">
        <v>2800</v>
      </c>
      <c r="AT4">
        <v>2800</v>
      </c>
      <c r="AU4">
        <v>2800</v>
      </c>
      <c r="AV4">
        <v>2800</v>
      </c>
      <c r="AW4">
        <v>2800</v>
      </c>
      <c r="AX4">
        <v>2800</v>
      </c>
      <c r="AY4">
        <v>2800</v>
      </c>
      <c r="AZ4">
        <v>2800</v>
      </c>
      <c r="BA4">
        <v>2800</v>
      </c>
      <c r="BB4">
        <v>2800</v>
      </c>
      <c r="BC4">
        <v>2800</v>
      </c>
      <c r="BD4">
        <v>2800</v>
      </c>
      <c r="BE4">
        <v>2800</v>
      </c>
      <c r="BF4">
        <v>2800</v>
      </c>
      <c r="BG4">
        <v>2800</v>
      </c>
      <c r="BH4">
        <v>2800</v>
      </c>
      <c r="BI4">
        <v>2800</v>
      </c>
      <c r="BJ4">
        <v>2800</v>
      </c>
      <c r="BK4">
        <v>2800</v>
      </c>
      <c r="BL4">
        <v>2800</v>
      </c>
      <c r="BM4">
        <v>2800</v>
      </c>
      <c r="BN4">
        <v>2800</v>
      </c>
      <c r="BO4">
        <v>2800</v>
      </c>
      <c r="BP4">
        <v>2800</v>
      </c>
      <c r="BQ4">
        <v>2800</v>
      </c>
      <c r="BR4">
        <v>2800</v>
      </c>
      <c r="BS4">
        <v>2800</v>
      </c>
      <c r="BT4">
        <v>2800</v>
      </c>
      <c r="BU4">
        <v>4200</v>
      </c>
      <c r="BV4">
        <v>4200</v>
      </c>
      <c r="BW4">
        <v>4200</v>
      </c>
      <c r="BX4">
        <v>4200</v>
      </c>
      <c r="BY4">
        <v>4200</v>
      </c>
      <c r="BZ4">
        <v>4200</v>
      </c>
      <c r="CA4">
        <v>4200</v>
      </c>
      <c r="CB4">
        <v>4200</v>
      </c>
      <c r="CC4">
        <v>4200</v>
      </c>
      <c r="CD4">
        <v>4200</v>
      </c>
      <c r="CE4">
        <v>4200</v>
      </c>
      <c r="CF4">
        <v>4200</v>
      </c>
      <c r="CG4">
        <v>4200</v>
      </c>
      <c r="CH4">
        <v>4200</v>
      </c>
      <c r="CI4">
        <v>4200</v>
      </c>
      <c r="CJ4">
        <v>4200</v>
      </c>
      <c r="CK4">
        <v>4200</v>
      </c>
      <c r="CL4">
        <v>4200</v>
      </c>
      <c r="CM4">
        <v>4200</v>
      </c>
      <c r="CN4">
        <v>4200</v>
      </c>
      <c r="CO4">
        <v>4200</v>
      </c>
      <c r="CP4">
        <v>4200</v>
      </c>
      <c r="CQ4">
        <v>4200</v>
      </c>
      <c r="CR4">
        <v>4200</v>
      </c>
      <c r="CS4">
        <v>4200</v>
      </c>
      <c r="CT4">
        <v>4200</v>
      </c>
      <c r="CU4">
        <v>4200</v>
      </c>
      <c r="CV4">
        <v>4200</v>
      </c>
      <c r="CW4">
        <v>4200</v>
      </c>
      <c r="CX4">
        <v>4200</v>
      </c>
      <c r="CY4">
        <v>4200</v>
      </c>
      <c r="CZ4">
        <v>4200</v>
      </c>
      <c r="DA4">
        <v>4200</v>
      </c>
      <c r="DB4">
        <v>4200</v>
      </c>
      <c r="DC4">
        <v>4200</v>
      </c>
      <c r="DD4">
        <v>4200</v>
      </c>
      <c r="DE4">
        <v>4200</v>
      </c>
      <c r="DF4">
        <v>4200</v>
      </c>
      <c r="DG4">
        <v>4200</v>
      </c>
      <c r="DH4">
        <v>4200</v>
      </c>
      <c r="DI4">
        <v>4200</v>
      </c>
      <c r="DJ4">
        <v>4200</v>
      </c>
      <c r="DK4">
        <v>4200</v>
      </c>
      <c r="DL4">
        <v>4200</v>
      </c>
      <c r="DM4">
        <v>4200</v>
      </c>
      <c r="DN4">
        <v>4200</v>
      </c>
      <c r="DO4">
        <v>4200</v>
      </c>
      <c r="DP4">
        <v>4200</v>
      </c>
      <c r="DQ4">
        <v>4200</v>
      </c>
      <c r="DR4">
        <v>4200</v>
      </c>
      <c r="DS4">
        <v>4200</v>
      </c>
      <c r="DT4">
        <v>4200</v>
      </c>
      <c r="DU4">
        <v>4200</v>
      </c>
      <c r="DV4">
        <v>4200</v>
      </c>
      <c r="DW4">
        <v>4200</v>
      </c>
      <c r="DX4">
        <v>4200</v>
      </c>
      <c r="DY4">
        <v>4200</v>
      </c>
      <c r="DZ4">
        <v>4200</v>
      </c>
      <c r="EA4">
        <v>4200</v>
      </c>
      <c r="EB4">
        <v>4200</v>
      </c>
      <c r="EC4">
        <v>4200</v>
      </c>
      <c r="ED4">
        <v>4200</v>
      </c>
      <c r="EE4">
        <v>4200</v>
      </c>
      <c r="EF4">
        <v>4200</v>
      </c>
      <c r="EG4">
        <v>4200</v>
      </c>
      <c r="EH4">
        <v>4200</v>
      </c>
      <c r="EI4">
        <v>4200</v>
      </c>
      <c r="EJ4">
        <v>4200</v>
      </c>
      <c r="EK4">
        <v>4200</v>
      </c>
      <c r="EL4">
        <v>4200</v>
      </c>
      <c r="EM4">
        <v>4200</v>
      </c>
      <c r="EN4">
        <v>4200</v>
      </c>
      <c r="EO4">
        <v>4200</v>
      </c>
      <c r="EP4">
        <v>4200</v>
      </c>
      <c r="EQ4">
        <v>4200</v>
      </c>
      <c r="ER4">
        <v>4200</v>
      </c>
      <c r="ES4">
        <v>4200</v>
      </c>
      <c r="ET4">
        <v>4200</v>
      </c>
      <c r="EU4">
        <v>4200</v>
      </c>
      <c r="EV4">
        <v>4200</v>
      </c>
      <c r="EW4">
        <v>4200</v>
      </c>
      <c r="EX4">
        <v>4200</v>
      </c>
      <c r="EY4">
        <v>4200</v>
      </c>
      <c r="EZ4">
        <v>4200</v>
      </c>
      <c r="FA4">
        <v>4200</v>
      </c>
      <c r="FB4">
        <v>4200</v>
      </c>
      <c r="FC4">
        <v>4200</v>
      </c>
      <c r="FD4">
        <v>4200</v>
      </c>
      <c r="FE4">
        <v>4200</v>
      </c>
      <c r="FF4">
        <v>4200</v>
      </c>
      <c r="FG4">
        <v>4200</v>
      </c>
      <c r="FH4">
        <v>4200</v>
      </c>
      <c r="FI4">
        <v>4200</v>
      </c>
      <c r="FJ4">
        <v>4200</v>
      </c>
      <c r="FK4">
        <v>4200</v>
      </c>
      <c r="FL4">
        <v>4200</v>
      </c>
      <c r="FM4">
        <v>4200</v>
      </c>
      <c r="FN4">
        <v>4200</v>
      </c>
      <c r="FO4">
        <v>4200</v>
      </c>
      <c r="FP4">
        <v>4200</v>
      </c>
      <c r="FQ4">
        <v>4200</v>
      </c>
      <c r="FR4">
        <v>4200</v>
      </c>
      <c r="FS4">
        <v>4200</v>
      </c>
      <c r="FT4">
        <v>4200</v>
      </c>
      <c r="FU4">
        <v>4200</v>
      </c>
      <c r="FV4">
        <v>4200</v>
      </c>
      <c r="FW4">
        <v>4200</v>
      </c>
      <c r="FX4">
        <v>4200</v>
      </c>
      <c r="FY4">
        <v>4200</v>
      </c>
      <c r="FZ4">
        <v>4200</v>
      </c>
      <c r="GA4">
        <v>4200</v>
      </c>
      <c r="GB4">
        <v>4200</v>
      </c>
      <c r="GC4">
        <v>4200</v>
      </c>
      <c r="GD4">
        <v>4200</v>
      </c>
      <c r="GE4">
        <v>4200</v>
      </c>
      <c r="GF4">
        <v>4200</v>
      </c>
      <c r="GG4">
        <v>4200</v>
      </c>
      <c r="GH4">
        <v>4200</v>
      </c>
      <c r="GI4">
        <v>4200</v>
      </c>
      <c r="GJ4">
        <v>4200</v>
      </c>
      <c r="GK4">
        <v>4200</v>
      </c>
      <c r="GL4">
        <v>4200</v>
      </c>
      <c r="GM4">
        <v>4200</v>
      </c>
      <c r="GN4">
        <v>4200</v>
      </c>
      <c r="GO4">
        <v>4200</v>
      </c>
      <c r="GP4">
        <v>4200</v>
      </c>
      <c r="GQ4">
        <v>4200</v>
      </c>
      <c r="GR4">
        <v>4200</v>
      </c>
      <c r="GS4">
        <v>4200</v>
      </c>
      <c r="GT4">
        <v>4200</v>
      </c>
      <c r="GU4">
        <v>4200</v>
      </c>
      <c r="GV4">
        <v>4200</v>
      </c>
      <c r="GW4">
        <v>4200</v>
      </c>
      <c r="GX4">
        <v>4200</v>
      </c>
      <c r="GY4">
        <v>4200</v>
      </c>
      <c r="GZ4">
        <v>4200</v>
      </c>
      <c r="HA4">
        <v>4200</v>
      </c>
      <c r="HB4">
        <v>4200</v>
      </c>
      <c r="HC4">
        <v>4200</v>
      </c>
      <c r="HD4">
        <v>4200</v>
      </c>
      <c r="HE4">
        <v>4200</v>
      </c>
      <c r="HF4">
        <v>4200</v>
      </c>
      <c r="HG4">
        <v>4200</v>
      </c>
      <c r="HH4">
        <v>4200</v>
      </c>
      <c r="HI4">
        <v>4200</v>
      </c>
      <c r="HJ4">
        <v>4200</v>
      </c>
      <c r="HK4">
        <v>4200</v>
      </c>
      <c r="HL4">
        <v>4200</v>
      </c>
      <c r="HM4">
        <v>4200</v>
      </c>
      <c r="HN4">
        <v>4200</v>
      </c>
      <c r="HO4">
        <v>4200</v>
      </c>
      <c r="HP4">
        <v>4200</v>
      </c>
      <c r="HQ4">
        <v>4200</v>
      </c>
      <c r="HR4">
        <v>4200</v>
      </c>
      <c r="HS4">
        <v>4200</v>
      </c>
      <c r="HT4">
        <v>4200</v>
      </c>
      <c r="HU4">
        <v>4200</v>
      </c>
      <c r="HV4">
        <v>4200</v>
      </c>
      <c r="HW4">
        <v>4200</v>
      </c>
      <c r="HX4">
        <v>4200</v>
      </c>
      <c r="HY4">
        <v>4200</v>
      </c>
      <c r="HZ4">
        <v>4200</v>
      </c>
      <c r="IA4">
        <v>4200</v>
      </c>
      <c r="IB4">
        <v>4200</v>
      </c>
      <c r="IC4">
        <v>4200</v>
      </c>
      <c r="ID4">
        <v>4200</v>
      </c>
      <c r="IE4">
        <v>4200</v>
      </c>
      <c r="IF4">
        <v>4200</v>
      </c>
      <c r="IG4">
        <v>4200</v>
      </c>
      <c r="IH4">
        <v>4200</v>
      </c>
      <c r="II4">
        <v>4200</v>
      </c>
      <c r="IJ4">
        <v>4200</v>
      </c>
      <c r="IK4">
        <v>4200</v>
      </c>
      <c r="IL4">
        <v>4200</v>
      </c>
      <c r="IM4">
        <v>4200</v>
      </c>
      <c r="IN4">
        <v>4200</v>
      </c>
      <c r="IO4">
        <v>4200</v>
      </c>
      <c r="IP4">
        <v>4200</v>
      </c>
      <c r="IQ4">
        <v>4200</v>
      </c>
      <c r="IR4">
        <v>4200</v>
      </c>
      <c r="IS4">
        <v>4200</v>
      </c>
      <c r="IT4">
        <v>4200</v>
      </c>
      <c r="IU4">
        <v>4200</v>
      </c>
      <c r="IV4">
        <v>4200</v>
      </c>
      <c r="IW4">
        <v>4200</v>
      </c>
      <c r="IX4">
        <v>4200</v>
      </c>
      <c r="IY4">
        <v>4200</v>
      </c>
      <c r="IZ4">
        <v>4200</v>
      </c>
      <c r="JA4">
        <v>4200</v>
      </c>
      <c r="JB4">
        <v>4200</v>
      </c>
      <c r="JC4">
        <v>4200</v>
      </c>
      <c r="JD4">
        <v>4200</v>
      </c>
      <c r="JE4">
        <v>4200</v>
      </c>
      <c r="JF4">
        <v>4200</v>
      </c>
      <c r="JG4">
        <v>4200</v>
      </c>
      <c r="JH4">
        <v>4200</v>
      </c>
      <c r="JI4">
        <v>4200</v>
      </c>
      <c r="JJ4">
        <v>4200</v>
      </c>
      <c r="JK4">
        <v>4200</v>
      </c>
      <c r="JL4">
        <v>4200</v>
      </c>
      <c r="JM4">
        <v>4200</v>
      </c>
      <c r="JN4">
        <v>4200</v>
      </c>
      <c r="JO4">
        <v>4200</v>
      </c>
      <c r="JP4">
        <v>4200</v>
      </c>
      <c r="JQ4">
        <v>4200</v>
      </c>
      <c r="JR4">
        <v>4200</v>
      </c>
      <c r="JS4">
        <v>4200</v>
      </c>
      <c r="JT4">
        <v>4200</v>
      </c>
      <c r="JU4">
        <v>4200</v>
      </c>
      <c r="JV4">
        <v>4200</v>
      </c>
      <c r="JW4">
        <v>4200</v>
      </c>
      <c r="JX4">
        <v>4200</v>
      </c>
      <c r="JY4">
        <v>4200</v>
      </c>
      <c r="JZ4">
        <v>4200</v>
      </c>
      <c r="KA4">
        <v>4200</v>
      </c>
      <c r="KB4">
        <v>4200</v>
      </c>
      <c r="KC4">
        <v>4200</v>
      </c>
      <c r="KD4">
        <v>4200</v>
      </c>
      <c r="KE4">
        <v>4200</v>
      </c>
      <c r="KF4">
        <v>4200</v>
      </c>
      <c r="KG4">
        <v>4200</v>
      </c>
      <c r="KH4">
        <v>4200</v>
      </c>
      <c r="KI4">
        <v>4200</v>
      </c>
      <c r="KJ4">
        <v>4200</v>
      </c>
      <c r="KK4">
        <v>4200</v>
      </c>
      <c r="KL4">
        <v>4200</v>
      </c>
      <c r="KM4">
        <v>4200</v>
      </c>
      <c r="KN4">
        <v>4200</v>
      </c>
      <c r="KO4">
        <v>4200</v>
      </c>
      <c r="KP4">
        <v>4200</v>
      </c>
      <c r="KQ4">
        <v>4200</v>
      </c>
      <c r="KR4">
        <v>4200</v>
      </c>
      <c r="KS4">
        <v>4200</v>
      </c>
      <c r="KT4">
        <v>4200</v>
      </c>
      <c r="KU4">
        <v>4200</v>
      </c>
      <c r="KV4">
        <v>4200</v>
      </c>
      <c r="KW4">
        <v>4200</v>
      </c>
      <c r="KX4">
        <v>4200</v>
      </c>
      <c r="KY4">
        <v>4200</v>
      </c>
      <c r="KZ4">
        <v>4200</v>
      </c>
      <c r="LA4">
        <v>4200</v>
      </c>
      <c r="LB4">
        <v>4200</v>
      </c>
      <c r="LC4">
        <v>4200</v>
      </c>
      <c r="LD4">
        <v>4200</v>
      </c>
      <c r="LE4">
        <v>4200</v>
      </c>
      <c r="LF4">
        <v>4200</v>
      </c>
      <c r="LG4">
        <v>4200</v>
      </c>
      <c r="LH4">
        <v>4200</v>
      </c>
      <c r="LI4">
        <v>4200</v>
      </c>
      <c r="LJ4">
        <v>4200</v>
      </c>
      <c r="LK4">
        <v>4200</v>
      </c>
      <c r="LL4">
        <v>4200</v>
      </c>
      <c r="LM4">
        <v>4200</v>
      </c>
      <c r="LN4">
        <v>4200</v>
      </c>
      <c r="LO4">
        <v>4200</v>
      </c>
      <c r="LP4">
        <v>4200</v>
      </c>
      <c r="LQ4">
        <v>4200</v>
      </c>
      <c r="LR4">
        <v>4200</v>
      </c>
      <c r="LS4">
        <v>4200</v>
      </c>
      <c r="LT4">
        <v>4200</v>
      </c>
      <c r="LU4">
        <v>4200</v>
      </c>
      <c r="LV4">
        <v>4200</v>
      </c>
      <c r="LW4">
        <v>4200</v>
      </c>
      <c r="LX4">
        <v>4200</v>
      </c>
      <c r="LY4">
        <v>4200</v>
      </c>
      <c r="LZ4">
        <v>4200</v>
      </c>
      <c r="MA4">
        <v>4200</v>
      </c>
      <c r="MB4">
        <v>4200</v>
      </c>
      <c r="MC4">
        <v>4200</v>
      </c>
      <c r="MD4">
        <v>4200</v>
      </c>
      <c r="ME4">
        <v>4200</v>
      </c>
      <c r="MF4">
        <v>4200</v>
      </c>
      <c r="MG4">
        <v>4200</v>
      </c>
      <c r="MH4">
        <v>4200</v>
      </c>
      <c r="MI4">
        <v>4200</v>
      </c>
      <c r="MJ4">
        <v>4200</v>
      </c>
      <c r="MK4">
        <v>4200</v>
      </c>
      <c r="ML4">
        <v>4200</v>
      </c>
      <c r="MM4">
        <v>4200</v>
      </c>
      <c r="MN4">
        <v>4200</v>
      </c>
      <c r="MO4">
        <v>4200</v>
      </c>
      <c r="MP4">
        <v>4200</v>
      </c>
      <c r="MQ4">
        <v>4200</v>
      </c>
      <c r="MR4">
        <v>4200</v>
      </c>
      <c r="MS4">
        <v>4200</v>
      </c>
      <c r="MT4">
        <v>4200</v>
      </c>
      <c r="MU4">
        <v>4200</v>
      </c>
      <c r="MV4">
        <v>4200</v>
      </c>
      <c r="MW4">
        <v>4200</v>
      </c>
      <c r="MX4">
        <v>4200</v>
      </c>
      <c r="MY4">
        <v>4200</v>
      </c>
      <c r="MZ4">
        <v>4200</v>
      </c>
      <c r="NA4">
        <v>4200</v>
      </c>
      <c r="NB4">
        <v>4200</v>
      </c>
      <c r="NC4">
        <v>4200</v>
      </c>
      <c r="ND4">
        <v>4200</v>
      </c>
      <c r="NE4">
        <v>4200</v>
      </c>
      <c r="NF4">
        <v>4200</v>
      </c>
      <c r="NG4">
        <v>4200</v>
      </c>
      <c r="NH4">
        <v>4200</v>
      </c>
      <c r="NI4">
        <v>4200</v>
      </c>
      <c r="NJ4">
        <v>4200</v>
      </c>
      <c r="NK4">
        <v>4200</v>
      </c>
      <c r="NL4">
        <v>4200</v>
      </c>
      <c r="NM4">
        <v>4200</v>
      </c>
      <c r="NN4">
        <v>4200</v>
      </c>
      <c r="NO4">
        <v>4200</v>
      </c>
      <c r="NP4">
        <v>4200</v>
      </c>
      <c r="NQ4">
        <v>4200</v>
      </c>
      <c r="NR4">
        <v>4200</v>
      </c>
      <c r="NS4">
        <v>4200</v>
      </c>
      <c r="NT4">
        <v>4200</v>
      </c>
      <c r="NU4">
        <v>4200</v>
      </c>
      <c r="NV4">
        <v>4200</v>
      </c>
      <c r="NW4">
        <v>4200</v>
      </c>
      <c r="NX4">
        <v>4200</v>
      </c>
      <c r="NY4">
        <v>4200</v>
      </c>
      <c r="NZ4">
        <v>4200</v>
      </c>
      <c r="OA4">
        <v>4200</v>
      </c>
      <c r="OB4">
        <v>4200</v>
      </c>
      <c r="OC4">
        <v>4200</v>
      </c>
      <c r="OD4">
        <v>4200</v>
      </c>
      <c r="OE4">
        <v>4200</v>
      </c>
      <c r="OF4">
        <v>4200</v>
      </c>
      <c r="OG4">
        <v>4200</v>
      </c>
      <c r="OH4">
        <v>4200</v>
      </c>
      <c r="OI4">
        <v>4200</v>
      </c>
      <c r="OJ4">
        <v>4200</v>
      </c>
      <c r="OK4">
        <v>4200</v>
      </c>
      <c r="OL4">
        <v>4200</v>
      </c>
      <c r="OM4">
        <v>4200</v>
      </c>
      <c r="ON4">
        <v>4200</v>
      </c>
      <c r="OO4">
        <v>4200</v>
      </c>
      <c r="OP4">
        <v>4200</v>
      </c>
      <c r="OQ4">
        <v>4200</v>
      </c>
      <c r="OR4">
        <v>4200</v>
      </c>
      <c r="OS4">
        <v>4200</v>
      </c>
      <c r="OT4">
        <v>4200</v>
      </c>
      <c r="OU4">
        <v>4200</v>
      </c>
      <c r="OV4">
        <v>4200</v>
      </c>
      <c r="OW4">
        <v>4200</v>
      </c>
      <c r="OX4">
        <v>4200</v>
      </c>
      <c r="OY4">
        <v>4200</v>
      </c>
      <c r="OZ4">
        <v>4200</v>
      </c>
      <c r="PA4">
        <v>4200</v>
      </c>
      <c r="PB4">
        <v>4200</v>
      </c>
      <c r="PC4">
        <v>4200</v>
      </c>
      <c r="PD4">
        <v>4200</v>
      </c>
      <c r="PE4">
        <v>4200</v>
      </c>
      <c r="PF4">
        <v>4200</v>
      </c>
      <c r="PG4">
        <v>4200</v>
      </c>
      <c r="PH4">
        <v>4200</v>
      </c>
      <c r="PI4">
        <v>4200</v>
      </c>
      <c r="PJ4">
        <v>4200</v>
      </c>
      <c r="PK4">
        <v>4200</v>
      </c>
      <c r="PL4">
        <v>4200</v>
      </c>
      <c r="PM4">
        <v>4200</v>
      </c>
      <c r="PN4">
        <v>4200</v>
      </c>
      <c r="PO4">
        <v>4200</v>
      </c>
      <c r="PP4">
        <v>4200</v>
      </c>
      <c r="PQ4">
        <v>4200</v>
      </c>
      <c r="PR4">
        <v>4200</v>
      </c>
      <c r="PS4">
        <v>4200</v>
      </c>
      <c r="PT4">
        <v>4200</v>
      </c>
      <c r="PU4">
        <v>4200</v>
      </c>
      <c r="PV4">
        <v>4200</v>
      </c>
      <c r="PW4">
        <v>4200</v>
      </c>
      <c r="PX4">
        <v>4200</v>
      </c>
      <c r="PY4">
        <v>4200</v>
      </c>
      <c r="PZ4">
        <v>4200</v>
      </c>
      <c r="QA4">
        <v>4200</v>
      </c>
      <c r="QB4">
        <v>4200</v>
      </c>
      <c r="QC4">
        <v>4200</v>
      </c>
      <c r="QD4">
        <v>4200</v>
      </c>
      <c r="QE4">
        <v>4200</v>
      </c>
      <c r="QF4">
        <v>4200</v>
      </c>
      <c r="QG4">
        <v>4200</v>
      </c>
      <c r="QH4">
        <v>4200</v>
      </c>
      <c r="QI4">
        <v>4200</v>
      </c>
      <c r="QJ4">
        <v>4200</v>
      </c>
      <c r="QK4">
        <v>4200</v>
      </c>
      <c r="QL4">
        <v>4200</v>
      </c>
      <c r="QM4">
        <v>4200</v>
      </c>
      <c r="QN4">
        <v>4200</v>
      </c>
      <c r="QO4">
        <v>4200</v>
      </c>
      <c r="QP4">
        <v>4200</v>
      </c>
      <c r="QQ4">
        <v>4200</v>
      </c>
      <c r="QR4">
        <v>4200</v>
      </c>
      <c r="QS4">
        <v>4200</v>
      </c>
      <c r="QT4">
        <v>4200</v>
      </c>
      <c r="QU4">
        <v>4200</v>
      </c>
      <c r="QV4">
        <v>4200</v>
      </c>
      <c r="QW4">
        <v>4200</v>
      </c>
      <c r="QX4">
        <v>4200</v>
      </c>
      <c r="QY4">
        <v>4200</v>
      </c>
      <c r="QZ4">
        <v>4200</v>
      </c>
      <c r="RA4">
        <v>4200</v>
      </c>
      <c r="RB4">
        <v>4200</v>
      </c>
      <c r="RC4">
        <v>4200</v>
      </c>
      <c r="RD4">
        <v>4200</v>
      </c>
      <c r="RE4">
        <v>4200</v>
      </c>
      <c r="RF4">
        <v>4200</v>
      </c>
      <c r="RG4">
        <v>4200</v>
      </c>
      <c r="RH4">
        <v>4200</v>
      </c>
      <c r="RI4">
        <v>4200</v>
      </c>
      <c r="RJ4">
        <v>4200</v>
      </c>
      <c r="RK4">
        <v>4200</v>
      </c>
      <c r="RL4">
        <v>4200</v>
      </c>
      <c r="RM4">
        <v>4200</v>
      </c>
      <c r="RN4">
        <v>4200</v>
      </c>
      <c r="RO4">
        <v>4200</v>
      </c>
      <c r="RP4">
        <v>4200</v>
      </c>
      <c r="RQ4">
        <v>4200</v>
      </c>
      <c r="RR4">
        <v>4200</v>
      </c>
      <c r="RS4">
        <v>4200</v>
      </c>
      <c r="RT4">
        <v>4200</v>
      </c>
      <c r="RU4">
        <v>4200</v>
      </c>
      <c r="RV4">
        <v>4200</v>
      </c>
      <c r="RW4">
        <v>4200</v>
      </c>
      <c r="RX4">
        <v>4200</v>
      </c>
      <c r="RY4">
        <v>4200</v>
      </c>
      <c r="RZ4">
        <v>4200</v>
      </c>
      <c r="SA4">
        <v>4200</v>
      </c>
      <c r="SB4">
        <v>4200</v>
      </c>
      <c r="SC4">
        <v>4200</v>
      </c>
      <c r="SD4">
        <v>4200</v>
      </c>
      <c r="SE4">
        <v>4200</v>
      </c>
      <c r="SF4">
        <v>4200</v>
      </c>
      <c r="SG4">
        <v>4200</v>
      </c>
      <c r="SH4">
        <v>4200</v>
      </c>
      <c r="SI4">
        <v>4200</v>
      </c>
      <c r="SJ4">
        <v>4200</v>
      </c>
      <c r="SK4">
        <v>4200</v>
      </c>
      <c r="SL4">
        <v>4200</v>
      </c>
      <c r="SM4">
        <v>4200</v>
      </c>
      <c r="SN4">
        <v>4200</v>
      </c>
      <c r="SO4">
        <v>4200</v>
      </c>
      <c r="SP4">
        <v>4200</v>
      </c>
      <c r="SQ4">
        <v>4200</v>
      </c>
      <c r="SR4">
        <v>4200</v>
      </c>
      <c r="SS4">
        <v>4200</v>
      </c>
      <c r="ST4">
        <v>4200</v>
      </c>
      <c r="SU4">
        <v>4200</v>
      </c>
      <c r="SV4">
        <v>4200</v>
      </c>
      <c r="SW4">
        <v>4200</v>
      </c>
      <c r="SX4">
        <v>4200</v>
      </c>
      <c r="SY4">
        <v>4200</v>
      </c>
      <c r="SZ4">
        <v>4200</v>
      </c>
      <c r="TA4">
        <v>4200</v>
      </c>
      <c r="TB4">
        <v>4200</v>
      </c>
      <c r="TC4">
        <v>4200</v>
      </c>
      <c r="TD4">
        <v>4200</v>
      </c>
      <c r="TE4">
        <v>4200</v>
      </c>
      <c r="TF4">
        <v>4200</v>
      </c>
      <c r="TG4">
        <v>4200</v>
      </c>
      <c r="TH4">
        <v>4200</v>
      </c>
      <c r="TI4">
        <v>4200</v>
      </c>
      <c r="TJ4">
        <v>4200</v>
      </c>
      <c r="TK4">
        <v>4200</v>
      </c>
      <c r="TL4">
        <v>4200</v>
      </c>
      <c r="TM4">
        <v>4200</v>
      </c>
      <c r="TN4">
        <v>4200</v>
      </c>
      <c r="TO4">
        <v>4200</v>
      </c>
      <c r="TP4">
        <v>4200</v>
      </c>
      <c r="TQ4">
        <v>4200</v>
      </c>
      <c r="TR4">
        <v>4200</v>
      </c>
      <c r="TS4">
        <v>4200</v>
      </c>
      <c r="TT4">
        <v>4200</v>
      </c>
      <c r="TU4">
        <v>4200</v>
      </c>
      <c r="TV4">
        <v>4200</v>
      </c>
      <c r="TW4">
        <v>4200</v>
      </c>
      <c r="TX4">
        <v>4200</v>
      </c>
      <c r="TY4">
        <v>4200</v>
      </c>
      <c r="TZ4">
        <v>4200</v>
      </c>
      <c r="UA4">
        <v>4200</v>
      </c>
      <c r="UB4">
        <v>4200</v>
      </c>
      <c r="UC4">
        <v>4200</v>
      </c>
      <c r="UD4">
        <v>4200</v>
      </c>
      <c r="UE4">
        <v>4200</v>
      </c>
      <c r="UF4">
        <v>4200</v>
      </c>
      <c r="UG4">
        <v>4200</v>
      </c>
      <c r="UH4">
        <v>4200</v>
      </c>
      <c r="UI4">
        <v>4200</v>
      </c>
      <c r="UJ4">
        <v>4200</v>
      </c>
      <c r="UK4">
        <v>4200</v>
      </c>
      <c r="UL4">
        <v>4200</v>
      </c>
      <c r="UM4">
        <v>4200</v>
      </c>
      <c r="UN4">
        <v>4200</v>
      </c>
      <c r="UO4">
        <v>4200</v>
      </c>
      <c r="UP4">
        <v>4200</v>
      </c>
      <c r="UQ4">
        <v>4200</v>
      </c>
      <c r="UR4">
        <v>4200</v>
      </c>
      <c r="US4">
        <v>4200</v>
      </c>
      <c r="UT4">
        <v>4200</v>
      </c>
      <c r="UU4">
        <v>4200</v>
      </c>
      <c r="UV4">
        <v>4200</v>
      </c>
      <c r="UW4">
        <v>4200</v>
      </c>
      <c r="UX4">
        <v>4200</v>
      </c>
      <c r="UY4">
        <v>4200</v>
      </c>
      <c r="UZ4">
        <v>4200</v>
      </c>
      <c r="VA4">
        <v>4200</v>
      </c>
      <c r="VB4">
        <v>4200</v>
      </c>
      <c r="VC4">
        <v>4200</v>
      </c>
      <c r="VD4">
        <v>4200</v>
      </c>
      <c r="VE4">
        <v>4200</v>
      </c>
      <c r="VF4">
        <v>4200</v>
      </c>
      <c r="VG4">
        <v>4200</v>
      </c>
      <c r="VH4">
        <v>5600</v>
      </c>
      <c r="VI4">
        <v>5600</v>
      </c>
      <c r="VJ4">
        <v>5600</v>
      </c>
      <c r="VK4">
        <v>5600</v>
      </c>
      <c r="VL4">
        <v>5600</v>
      </c>
      <c r="VM4">
        <v>5600</v>
      </c>
      <c r="VN4">
        <v>5600</v>
      </c>
      <c r="VO4">
        <v>5600</v>
      </c>
      <c r="VP4">
        <v>5600</v>
      </c>
      <c r="VQ4">
        <v>5600</v>
      </c>
      <c r="VR4">
        <v>5600</v>
      </c>
      <c r="VS4">
        <v>5600</v>
      </c>
      <c r="VT4">
        <v>5600</v>
      </c>
      <c r="VU4">
        <v>5600</v>
      </c>
      <c r="VV4">
        <v>5600</v>
      </c>
      <c r="VW4">
        <v>5600</v>
      </c>
      <c r="VX4">
        <v>5600</v>
      </c>
      <c r="VY4">
        <v>5600</v>
      </c>
      <c r="VZ4">
        <v>5600</v>
      </c>
      <c r="WA4">
        <v>5600</v>
      </c>
      <c r="WB4">
        <v>5600</v>
      </c>
      <c r="WC4">
        <v>5600</v>
      </c>
      <c r="WD4">
        <v>5600</v>
      </c>
      <c r="WE4">
        <v>5600</v>
      </c>
      <c r="WF4">
        <v>5600</v>
      </c>
      <c r="WG4">
        <v>5600</v>
      </c>
      <c r="WH4">
        <v>5600</v>
      </c>
      <c r="WI4">
        <v>5600</v>
      </c>
      <c r="WJ4">
        <v>5600</v>
      </c>
      <c r="WK4">
        <v>5600</v>
      </c>
      <c r="WL4">
        <v>5600</v>
      </c>
      <c r="WM4">
        <v>5600</v>
      </c>
      <c r="WN4">
        <v>5600</v>
      </c>
      <c r="WO4">
        <v>5600</v>
      </c>
      <c r="WP4">
        <v>5600</v>
      </c>
      <c r="WQ4">
        <v>5600</v>
      </c>
      <c r="WR4">
        <v>5600</v>
      </c>
      <c r="WS4">
        <v>5600</v>
      </c>
      <c r="WT4">
        <v>5600</v>
      </c>
      <c r="WU4">
        <v>5600</v>
      </c>
      <c r="WV4">
        <v>5600</v>
      </c>
      <c r="WW4">
        <v>5600</v>
      </c>
      <c r="WX4">
        <v>5600</v>
      </c>
      <c r="WY4">
        <v>5600</v>
      </c>
      <c r="WZ4">
        <v>5600</v>
      </c>
      <c r="XA4">
        <v>5600</v>
      </c>
      <c r="XB4">
        <v>5600</v>
      </c>
      <c r="XC4">
        <v>5600</v>
      </c>
      <c r="XD4">
        <v>5600</v>
      </c>
      <c r="XE4">
        <v>5600</v>
      </c>
      <c r="XF4">
        <v>5600</v>
      </c>
      <c r="XG4">
        <v>5600</v>
      </c>
      <c r="XH4">
        <v>5600</v>
      </c>
      <c r="XI4">
        <v>5600</v>
      </c>
      <c r="XJ4">
        <v>5600</v>
      </c>
      <c r="XK4">
        <v>5600</v>
      </c>
      <c r="XL4">
        <v>5600</v>
      </c>
      <c r="XM4">
        <v>5600</v>
      </c>
      <c r="XN4">
        <v>5600</v>
      </c>
      <c r="XO4">
        <v>5600</v>
      </c>
      <c r="XP4">
        <v>5600</v>
      </c>
      <c r="XQ4">
        <v>5600</v>
      </c>
      <c r="XR4">
        <v>5600</v>
      </c>
      <c r="XS4">
        <v>5600</v>
      </c>
      <c r="XT4">
        <v>5600</v>
      </c>
      <c r="XU4">
        <v>5600</v>
      </c>
      <c r="XV4">
        <v>5600</v>
      </c>
      <c r="XW4">
        <v>5600</v>
      </c>
      <c r="XX4">
        <v>5600</v>
      </c>
      <c r="XY4">
        <v>5600</v>
      </c>
      <c r="XZ4">
        <v>5600</v>
      </c>
      <c r="YA4">
        <v>5600</v>
      </c>
      <c r="YB4">
        <v>5600</v>
      </c>
      <c r="YC4">
        <v>5600</v>
      </c>
      <c r="YD4">
        <v>5600</v>
      </c>
      <c r="YE4">
        <v>5600</v>
      </c>
      <c r="YF4">
        <v>5600</v>
      </c>
      <c r="YG4">
        <v>5600</v>
      </c>
      <c r="YH4">
        <v>5600</v>
      </c>
      <c r="YI4">
        <v>5600</v>
      </c>
      <c r="YJ4">
        <v>5600</v>
      </c>
      <c r="YK4">
        <v>5600</v>
      </c>
      <c r="YL4">
        <v>5600</v>
      </c>
      <c r="YM4">
        <v>5600</v>
      </c>
      <c r="YN4">
        <v>5600</v>
      </c>
      <c r="YO4">
        <v>5600</v>
      </c>
      <c r="YP4">
        <v>5600</v>
      </c>
      <c r="YQ4">
        <v>5600</v>
      </c>
      <c r="YR4">
        <v>5600</v>
      </c>
      <c r="YS4">
        <v>5600</v>
      </c>
      <c r="YT4">
        <v>5600</v>
      </c>
      <c r="YU4">
        <v>5600</v>
      </c>
      <c r="YV4">
        <v>5600</v>
      </c>
      <c r="YW4">
        <v>5600</v>
      </c>
      <c r="YX4">
        <v>5600</v>
      </c>
      <c r="YY4">
        <v>5600</v>
      </c>
      <c r="YZ4">
        <v>5600</v>
      </c>
      <c r="ZA4">
        <v>5600</v>
      </c>
      <c r="ZB4">
        <v>5600</v>
      </c>
      <c r="ZC4">
        <v>5600</v>
      </c>
      <c r="ZD4">
        <v>5600</v>
      </c>
      <c r="ZE4">
        <v>5600</v>
      </c>
      <c r="ZF4">
        <v>5600</v>
      </c>
      <c r="ZG4">
        <v>5600</v>
      </c>
      <c r="ZH4">
        <v>5600</v>
      </c>
      <c r="ZI4">
        <v>5600</v>
      </c>
      <c r="ZJ4">
        <v>5600</v>
      </c>
      <c r="ZK4">
        <v>5600</v>
      </c>
      <c r="ZL4">
        <v>5600</v>
      </c>
      <c r="ZM4">
        <v>5600</v>
      </c>
      <c r="ZN4">
        <v>5600</v>
      </c>
      <c r="ZO4">
        <v>5600</v>
      </c>
      <c r="ZP4">
        <v>5600</v>
      </c>
      <c r="ZQ4">
        <v>5600</v>
      </c>
      <c r="ZR4">
        <v>5600</v>
      </c>
      <c r="ZS4">
        <v>5600</v>
      </c>
      <c r="ZT4">
        <v>5600</v>
      </c>
      <c r="ZU4">
        <v>5600</v>
      </c>
      <c r="ZV4">
        <v>5600</v>
      </c>
      <c r="ZW4">
        <v>5600</v>
      </c>
      <c r="ZX4">
        <v>5600</v>
      </c>
      <c r="ZY4">
        <v>5600</v>
      </c>
      <c r="ZZ4">
        <v>5600</v>
      </c>
      <c r="AAA4">
        <v>5600</v>
      </c>
      <c r="AAB4">
        <v>5600</v>
      </c>
      <c r="AAC4">
        <v>5600</v>
      </c>
      <c r="AAD4">
        <v>5600</v>
      </c>
      <c r="AAE4">
        <v>5600</v>
      </c>
      <c r="AAF4">
        <v>5600</v>
      </c>
      <c r="AAG4">
        <v>5600</v>
      </c>
      <c r="AAH4">
        <v>5600</v>
      </c>
      <c r="AAI4">
        <v>5600</v>
      </c>
      <c r="AAJ4">
        <v>5600</v>
      </c>
      <c r="AAK4">
        <v>5600</v>
      </c>
      <c r="AAL4">
        <v>5600</v>
      </c>
      <c r="AAM4">
        <v>5600</v>
      </c>
      <c r="AAN4">
        <v>5600</v>
      </c>
      <c r="AAO4">
        <v>5600</v>
      </c>
      <c r="AAP4">
        <v>5600</v>
      </c>
      <c r="AAQ4">
        <v>5600</v>
      </c>
      <c r="AAR4">
        <v>5600</v>
      </c>
      <c r="AAS4">
        <v>5600</v>
      </c>
      <c r="AAT4">
        <v>5600</v>
      </c>
      <c r="AAU4">
        <v>5600</v>
      </c>
      <c r="AAV4">
        <v>5600</v>
      </c>
      <c r="AAW4">
        <v>5600</v>
      </c>
      <c r="AAX4">
        <v>5600</v>
      </c>
      <c r="AAY4">
        <v>5600</v>
      </c>
      <c r="AAZ4">
        <v>5600</v>
      </c>
      <c r="ABA4">
        <v>5600</v>
      </c>
      <c r="ABB4">
        <v>5600</v>
      </c>
      <c r="ABC4">
        <v>5600</v>
      </c>
      <c r="ABD4">
        <v>5600</v>
      </c>
      <c r="ABE4">
        <v>5600</v>
      </c>
      <c r="ABF4">
        <v>5600</v>
      </c>
      <c r="ABG4">
        <v>5600</v>
      </c>
      <c r="ABH4">
        <v>5600</v>
      </c>
      <c r="ABI4">
        <v>5600</v>
      </c>
      <c r="ABJ4">
        <v>5600</v>
      </c>
      <c r="ABK4">
        <v>5600</v>
      </c>
      <c r="ABL4">
        <v>5600</v>
      </c>
      <c r="ABM4">
        <v>5600</v>
      </c>
      <c r="ABN4">
        <v>5600</v>
      </c>
      <c r="ABO4">
        <v>5600</v>
      </c>
      <c r="ABP4">
        <v>5600</v>
      </c>
      <c r="ABQ4">
        <v>5600</v>
      </c>
      <c r="ABR4">
        <v>5600</v>
      </c>
      <c r="ABS4">
        <v>5600</v>
      </c>
      <c r="ABT4">
        <v>5600</v>
      </c>
      <c r="ABU4">
        <v>5600</v>
      </c>
      <c r="ABV4">
        <v>5600</v>
      </c>
      <c r="ABW4">
        <v>5600</v>
      </c>
      <c r="ABX4">
        <v>5600</v>
      </c>
      <c r="ABY4">
        <v>5600</v>
      </c>
      <c r="ABZ4">
        <v>5600</v>
      </c>
      <c r="ACA4">
        <v>5600</v>
      </c>
      <c r="ACB4">
        <v>5600</v>
      </c>
      <c r="ACC4">
        <v>5600</v>
      </c>
      <c r="ACD4">
        <v>5600</v>
      </c>
      <c r="ACE4">
        <v>5600</v>
      </c>
      <c r="ACF4">
        <v>5600</v>
      </c>
      <c r="ACG4">
        <v>5600</v>
      </c>
      <c r="ACH4">
        <v>5600</v>
      </c>
      <c r="ACI4">
        <v>5600</v>
      </c>
      <c r="ACJ4">
        <v>5600</v>
      </c>
      <c r="ACK4">
        <v>5600</v>
      </c>
      <c r="ACL4">
        <v>5600</v>
      </c>
      <c r="ACM4">
        <v>5600</v>
      </c>
      <c r="ACN4">
        <v>5600</v>
      </c>
      <c r="ACO4">
        <v>5600</v>
      </c>
      <c r="ACP4">
        <v>5600</v>
      </c>
      <c r="ACQ4">
        <v>5600</v>
      </c>
      <c r="ACR4">
        <v>5600</v>
      </c>
      <c r="ACS4">
        <v>5600</v>
      </c>
      <c r="ACT4">
        <v>5600</v>
      </c>
      <c r="ACU4">
        <v>5600</v>
      </c>
      <c r="ACV4">
        <v>5600</v>
      </c>
      <c r="ACW4">
        <v>5600</v>
      </c>
      <c r="ACX4">
        <v>5600</v>
      </c>
      <c r="ACY4">
        <v>5600</v>
      </c>
      <c r="ACZ4">
        <v>5600</v>
      </c>
      <c r="ADA4">
        <v>5600</v>
      </c>
      <c r="ADB4">
        <v>5600</v>
      </c>
      <c r="ADC4">
        <v>5600</v>
      </c>
      <c r="ADD4">
        <v>5600</v>
      </c>
      <c r="ADE4">
        <v>5600</v>
      </c>
      <c r="ADF4">
        <v>5600</v>
      </c>
      <c r="ADG4">
        <v>5600</v>
      </c>
      <c r="ADH4">
        <v>5600</v>
      </c>
      <c r="ADI4">
        <v>5600</v>
      </c>
      <c r="ADJ4">
        <v>5600</v>
      </c>
      <c r="ADK4">
        <v>5600</v>
      </c>
      <c r="ADL4">
        <v>5600</v>
      </c>
      <c r="ADM4">
        <v>5600</v>
      </c>
      <c r="ADN4">
        <v>5600</v>
      </c>
      <c r="ADO4">
        <v>5600</v>
      </c>
      <c r="ADP4">
        <v>5600</v>
      </c>
      <c r="ADQ4">
        <v>5600</v>
      </c>
      <c r="ADR4">
        <v>5600</v>
      </c>
      <c r="ADS4">
        <v>5600</v>
      </c>
      <c r="ADT4">
        <v>5600</v>
      </c>
      <c r="ADU4">
        <v>5600</v>
      </c>
      <c r="ADV4">
        <v>5600</v>
      </c>
      <c r="ADW4">
        <v>5600</v>
      </c>
      <c r="ADX4">
        <v>5600</v>
      </c>
      <c r="ADY4">
        <v>5600</v>
      </c>
      <c r="ADZ4">
        <v>5600</v>
      </c>
      <c r="AEA4">
        <v>5600</v>
      </c>
      <c r="AEB4">
        <v>5600</v>
      </c>
      <c r="AEC4">
        <v>5600</v>
      </c>
      <c r="AED4">
        <v>5600</v>
      </c>
      <c r="AEE4">
        <v>5600</v>
      </c>
      <c r="AEF4">
        <v>5600</v>
      </c>
      <c r="AEG4">
        <v>5600</v>
      </c>
      <c r="AEH4">
        <v>5600</v>
      </c>
      <c r="AEI4">
        <v>5600</v>
      </c>
      <c r="AEJ4">
        <v>5600</v>
      </c>
      <c r="AEK4">
        <v>5600</v>
      </c>
      <c r="AEL4">
        <v>5600</v>
      </c>
      <c r="AEM4">
        <v>5600</v>
      </c>
      <c r="AEN4">
        <v>5600</v>
      </c>
      <c r="AEO4">
        <v>5600</v>
      </c>
      <c r="AEP4">
        <v>5600</v>
      </c>
      <c r="AEQ4">
        <v>5600</v>
      </c>
      <c r="AER4">
        <v>5600</v>
      </c>
      <c r="AES4">
        <v>5600</v>
      </c>
      <c r="AET4">
        <v>5600</v>
      </c>
      <c r="AEU4">
        <v>5600</v>
      </c>
      <c r="AEV4">
        <v>5600</v>
      </c>
      <c r="AEW4">
        <v>5600</v>
      </c>
      <c r="AEX4">
        <v>5600</v>
      </c>
      <c r="AEY4">
        <v>5600</v>
      </c>
      <c r="AEZ4">
        <v>5600</v>
      </c>
      <c r="AFA4">
        <v>5600</v>
      </c>
      <c r="AFB4">
        <v>5600</v>
      </c>
      <c r="AFC4">
        <v>5600</v>
      </c>
      <c r="AFD4">
        <v>5600</v>
      </c>
      <c r="AFE4">
        <v>5600</v>
      </c>
      <c r="AFF4">
        <v>5600</v>
      </c>
      <c r="AFG4">
        <v>5600</v>
      </c>
      <c r="AFH4">
        <v>5600</v>
      </c>
      <c r="AFI4">
        <v>5600</v>
      </c>
      <c r="AFJ4">
        <v>5600</v>
      </c>
      <c r="AFK4">
        <v>5600</v>
      </c>
      <c r="AFL4">
        <v>5600</v>
      </c>
      <c r="AFM4">
        <v>5600</v>
      </c>
      <c r="AFN4">
        <v>5600</v>
      </c>
      <c r="AFO4">
        <v>5600</v>
      </c>
      <c r="AFP4">
        <v>5600</v>
      </c>
      <c r="AFQ4">
        <v>5600</v>
      </c>
      <c r="AFR4">
        <v>5600</v>
      </c>
      <c r="AFS4">
        <v>5600</v>
      </c>
      <c r="AFT4">
        <v>5600</v>
      </c>
      <c r="AFU4">
        <v>5600</v>
      </c>
      <c r="AFV4">
        <v>5600</v>
      </c>
      <c r="AFW4">
        <v>5600</v>
      </c>
      <c r="AFX4">
        <v>5600</v>
      </c>
      <c r="AFY4">
        <v>5600</v>
      </c>
      <c r="AFZ4">
        <v>5600</v>
      </c>
      <c r="AGA4">
        <v>5600</v>
      </c>
      <c r="AGB4">
        <v>5600</v>
      </c>
      <c r="AGC4">
        <v>5600</v>
      </c>
      <c r="AGD4">
        <v>5600</v>
      </c>
      <c r="AGE4">
        <v>5600</v>
      </c>
      <c r="AGF4">
        <v>5600</v>
      </c>
      <c r="AGG4">
        <v>5600</v>
      </c>
      <c r="AGH4">
        <v>5600</v>
      </c>
      <c r="AGI4">
        <v>5600</v>
      </c>
      <c r="AGJ4">
        <v>5600</v>
      </c>
      <c r="AGK4">
        <v>5600</v>
      </c>
      <c r="AGL4">
        <v>5600</v>
      </c>
      <c r="AGM4">
        <v>5600</v>
      </c>
      <c r="AGN4">
        <v>5600</v>
      </c>
      <c r="AGO4">
        <v>5600</v>
      </c>
      <c r="AGP4">
        <v>5600</v>
      </c>
      <c r="AGQ4">
        <v>5600</v>
      </c>
      <c r="AGR4">
        <v>5600</v>
      </c>
      <c r="AGS4">
        <v>5600</v>
      </c>
      <c r="AGT4">
        <v>5600</v>
      </c>
      <c r="AGU4">
        <v>5600</v>
      </c>
      <c r="AGV4">
        <v>5600</v>
      </c>
      <c r="AGW4">
        <v>5600</v>
      </c>
      <c r="AGX4">
        <v>5600</v>
      </c>
      <c r="AGY4">
        <v>5600</v>
      </c>
      <c r="AGZ4">
        <v>5600</v>
      </c>
      <c r="AHA4">
        <v>5600</v>
      </c>
      <c r="AHB4">
        <v>5600</v>
      </c>
      <c r="AHC4">
        <v>5600</v>
      </c>
      <c r="AHD4">
        <v>5600</v>
      </c>
      <c r="AHE4">
        <v>5600</v>
      </c>
      <c r="AHF4">
        <v>5600</v>
      </c>
      <c r="AHG4">
        <v>5600</v>
      </c>
      <c r="AHH4">
        <v>5600</v>
      </c>
      <c r="AHI4">
        <v>5600</v>
      </c>
      <c r="AHJ4">
        <v>5600</v>
      </c>
      <c r="AHK4">
        <v>5600</v>
      </c>
      <c r="AHL4">
        <v>5600</v>
      </c>
      <c r="AHM4">
        <v>5600</v>
      </c>
      <c r="AHN4">
        <v>5600</v>
      </c>
      <c r="AHO4">
        <v>5600</v>
      </c>
      <c r="AHP4">
        <v>5600</v>
      </c>
      <c r="AHQ4">
        <v>5600</v>
      </c>
      <c r="AHR4">
        <v>5600</v>
      </c>
      <c r="AHS4">
        <v>5600</v>
      </c>
      <c r="AHT4">
        <v>5600</v>
      </c>
      <c r="AHU4">
        <v>5600</v>
      </c>
      <c r="AHV4">
        <v>5600</v>
      </c>
      <c r="AHW4">
        <v>5600</v>
      </c>
      <c r="AHX4">
        <v>5600</v>
      </c>
      <c r="AHY4">
        <v>5600</v>
      </c>
      <c r="AHZ4">
        <v>5600</v>
      </c>
      <c r="AIA4">
        <v>5600</v>
      </c>
      <c r="AIB4">
        <v>5600</v>
      </c>
      <c r="AIC4">
        <v>5600</v>
      </c>
      <c r="AID4">
        <v>5600</v>
      </c>
      <c r="AIE4">
        <v>5600</v>
      </c>
      <c r="AIF4">
        <v>5600</v>
      </c>
      <c r="AIG4">
        <v>5600</v>
      </c>
      <c r="AIH4">
        <v>5600</v>
      </c>
      <c r="AII4">
        <v>5600</v>
      </c>
      <c r="AIJ4">
        <v>5600</v>
      </c>
      <c r="AIK4">
        <v>5600</v>
      </c>
      <c r="AIL4">
        <v>5600</v>
      </c>
      <c r="AIM4">
        <v>5600</v>
      </c>
      <c r="AIN4">
        <v>5600</v>
      </c>
      <c r="AIO4">
        <v>5600</v>
      </c>
      <c r="AIP4">
        <v>5600</v>
      </c>
      <c r="AIQ4">
        <v>5600</v>
      </c>
      <c r="AIR4">
        <v>5600</v>
      </c>
      <c r="AIS4">
        <v>5600</v>
      </c>
      <c r="AIT4">
        <v>5600</v>
      </c>
      <c r="AIU4">
        <v>5600</v>
      </c>
      <c r="AIV4">
        <v>5600</v>
      </c>
      <c r="AIW4">
        <v>5600</v>
      </c>
      <c r="AIX4">
        <v>5600</v>
      </c>
      <c r="AIY4">
        <v>5600</v>
      </c>
      <c r="AIZ4">
        <v>5600</v>
      </c>
      <c r="AJA4">
        <v>5600</v>
      </c>
      <c r="AJB4">
        <v>5600</v>
      </c>
      <c r="AJC4">
        <v>5600</v>
      </c>
      <c r="AJD4">
        <v>5600</v>
      </c>
      <c r="AJE4">
        <v>5600</v>
      </c>
      <c r="AJF4">
        <v>5600</v>
      </c>
      <c r="AJG4">
        <v>5600</v>
      </c>
      <c r="AJH4">
        <v>5600</v>
      </c>
      <c r="AJI4">
        <v>5600</v>
      </c>
      <c r="AJJ4">
        <v>5600</v>
      </c>
      <c r="AJK4">
        <v>5600</v>
      </c>
      <c r="AJL4">
        <v>5600</v>
      </c>
      <c r="AJM4">
        <v>5600</v>
      </c>
      <c r="AJN4">
        <v>5600</v>
      </c>
      <c r="AJO4">
        <v>5600</v>
      </c>
      <c r="AJP4">
        <v>5600</v>
      </c>
      <c r="AJQ4">
        <v>5600</v>
      </c>
      <c r="AJR4">
        <v>5600</v>
      </c>
      <c r="AJS4">
        <v>5600</v>
      </c>
      <c r="AJT4">
        <v>5600</v>
      </c>
      <c r="AJU4">
        <v>5600</v>
      </c>
      <c r="AJV4">
        <v>5600</v>
      </c>
      <c r="AJW4">
        <v>5600</v>
      </c>
      <c r="AJX4">
        <v>5600</v>
      </c>
      <c r="AJY4">
        <v>5600</v>
      </c>
      <c r="AJZ4">
        <v>5600</v>
      </c>
      <c r="AKA4">
        <v>5600</v>
      </c>
      <c r="AKB4">
        <v>5600</v>
      </c>
      <c r="AKC4">
        <v>5600</v>
      </c>
      <c r="AKD4">
        <v>5600</v>
      </c>
      <c r="AKE4">
        <v>5600</v>
      </c>
      <c r="AKF4">
        <v>5600</v>
      </c>
      <c r="AKG4">
        <v>5600</v>
      </c>
      <c r="AKH4">
        <v>5600</v>
      </c>
      <c r="AKI4">
        <v>5600</v>
      </c>
      <c r="AKJ4">
        <v>5600</v>
      </c>
      <c r="AKK4">
        <v>5600</v>
      </c>
      <c r="AKL4">
        <v>5600</v>
      </c>
      <c r="AKM4">
        <v>5600</v>
      </c>
      <c r="AKN4">
        <v>5600</v>
      </c>
      <c r="AKO4">
        <v>5600</v>
      </c>
      <c r="AKP4">
        <v>5600</v>
      </c>
      <c r="AKQ4">
        <v>5600</v>
      </c>
      <c r="AKR4">
        <v>5600</v>
      </c>
      <c r="AKS4">
        <v>5600</v>
      </c>
      <c r="AKT4">
        <v>5600</v>
      </c>
      <c r="AKU4">
        <v>5600</v>
      </c>
      <c r="AKV4">
        <v>5600</v>
      </c>
      <c r="AKW4">
        <v>5600</v>
      </c>
      <c r="AKX4">
        <v>5600</v>
      </c>
      <c r="AKY4">
        <v>5600</v>
      </c>
      <c r="AKZ4">
        <v>5600</v>
      </c>
      <c r="ALA4">
        <v>5600</v>
      </c>
      <c r="ALB4">
        <v>5600</v>
      </c>
      <c r="ALC4">
        <v>5600</v>
      </c>
      <c r="ALD4">
        <v>5600</v>
      </c>
      <c r="ALE4">
        <v>5600</v>
      </c>
      <c r="ALF4">
        <v>5600</v>
      </c>
      <c r="ALG4">
        <v>5600</v>
      </c>
      <c r="ALH4">
        <v>5600</v>
      </c>
      <c r="ALI4">
        <v>5600</v>
      </c>
      <c r="ALJ4">
        <v>5600</v>
      </c>
      <c r="ALK4">
        <v>5600</v>
      </c>
      <c r="ALL4">
        <v>5600</v>
      </c>
      <c r="ALM4">
        <v>5600</v>
      </c>
      <c r="ALN4">
        <v>5600</v>
      </c>
      <c r="ALO4">
        <v>5600</v>
      </c>
      <c r="ALP4">
        <v>5600</v>
      </c>
      <c r="ALQ4">
        <v>5600</v>
      </c>
      <c r="ALR4">
        <v>5600</v>
      </c>
      <c r="ALS4">
        <v>5600</v>
      </c>
      <c r="ALT4">
        <v>5600</v>
      </c>
      <c r="ALU4">
        <v>5600</v>
      </c>
      <c r="ALV4">
        <v>5600</v>
      </c>
      <c r="ALW4">
        <v>5600</v>
      </c>
      <c r="ALX4">
        <v>5600</v>
      </c>
      <c r="ALY4">
        <v>5600</v>
      </c>
      <c r="ALZ4">
        <v>5600</v>
      </c>
      <c r="AMA4">
        <v>5600</v>
      </c>
      <c r="AMB4">
        <v>5600</v>
      </c>
      <c r="AMC4">
        <v>5600</v>
      </c>
      <c r="AMD4">
        <v>5600</v>
      </c>
      <c r="AME4">
        <v>5600</v>
      </c>
      <c r="AMF4">
        <v>5600</v>
      </c>
      <c r="AMG4">
        <v>5600</v>
      </c>
      <c r="AMH4">
        <v>5600</v>
      </c>
      <c r="AMI4">
        <v>5600</v>
      </c>
      <c r="AMJ4">
        <v>5600</v>
      </c>
      <c r="AMK4">
        <v>5600</v>
      </c>
      <c r="AML4">
        <v>5600</v>
      </c>
      <c r="AMM4">
        <v>5600</v>
      </c>
      <c r="AMN4">
        <v>5600</v>
      </c>
      <c r="AMO4">
        <v>5600</v>
      </c>
      <c r="AMP4">
        <v>5600</v>
      </c>
      <c r="AMQ4">
        <v>5600</v>
      </c>
      <c r="AMR4">
        <v>5600</v>
      </c>
      <c r="AMS4">
        <v>5600</v>
      </c>
      <c r="AMT4">
        <v>5600</v>
      </c>
      <c r="AMU4">
        <v>5600</v>
      </c>
      <c r="AMV4">
        <v>5600</v>
      </c>
      <c r="AMW4">
        <v>5600</v>
      </c>
      <c r="AMX4">
        <v>5600</v>
      </c>
      <c r="AMY4">
        <v>5600</v>
      </c>
      <c r="AMZ4">
        <v>5600</v>
      </c>
      <c r="ANA4">
        <v>5600</v>
      </c>
      <c r="ANB4">
        <v>5600</v>
      </c>
      <c r="ANC4">
        <v>5600</v>
      </c>
      <c r="AND4">
        <v>5600</v>
      </c>
      <c r="ANE4">
        <v>5600</v>
      </c>
      <c r="ANF4">
        <v>5600</v>
      </c>
      <c r="ANG4">
        <v>5600</v>
      </c>
      <c r="ANH4">
        <v>5600</v>
      </c>
      <c r="ANI4">
        <v>5600</v>
      </c>
      <c r="ANJ4">
        <v>5600</v>
      </c>
      <c r="ANK4">
        <v>5600</v>
      </c>
      <c r="ANL4">
        <v>5600</v>
      </c>
      <c r="ANM4">
        <v>5600</v>
      </c>
      <c r="ANN4">
        <v>5600</v>
      </c>
      <c r="ANO4">
        <v>5600</v>
      </c>
      <c r="ANP4">
        <v>5600</v>
      </c>
      <c r="ANQ4">
        <v>5600</v>
      </c>
      <c r="ANR4">
        <v>5600</v>
      </c>
      <c r="ANS4">
        <v>5600</v>
      </c>
      <c r="ANT4">
        <v>5600</v>
      </c>
      <c r="ANU4">
        <v>5600</v>
      </c>
      <c r="ANV4">
        <v>5600</v>
      </c>
      <c r="ANW4">
        <v>5600</v>
      </c>
      <c r="ANX4">
        <v>5600</v>
      </c>
      <c r="ANY4">
        <v>5600</v>
      </c>
      <c r="ANZ4">
        <v>5600</v>
      </c>
      <c r="AOA4">
        <v>5600</v>
      </c>
      <c r="AOB4">
        <v>5600</v>
      </c>
      <c r="AOC4">
        <v>5600</v>
      </c>
      <c r="AOD4">
        <v>5600</v>
      </c>
      <c r="AOE4">
        <v>5600</v>
      </c>
      <c r="AOF4">
        <v>5600</v>
      </c>
      <c r="AOG4">
        <v>5600</v>
      </c>
      <c r="AOH4">
        <v>5600</v>
      </c>
      <c r="AOI4">
        <v>5600</v>
      </c>
      <c r="AOJ4">
        <v>5600</v>
      </c>
      <c r="AOK4">
        <v>5600</v>
      </c>
      <c r="AOL4">
        <v>5600</v>
      </c>
      <c r="AOM4">
        <v>5600</v>
      </c>
      <c r="AON4">
        <v>5600</v>
      </c>
      <c r="AOO4">
        <v>5600</v>
      </c>
      <c r="AOP4">
        <v>5600</v>
      </c>
      <c r="AOQ4">
        <v>5600</v>
      </c>
      <c r="AOR4">
        <v>5600</v>
      </c>
      <c r="AOS4">
        <v>5600</v>
      </c>
      <c r="AOT4">
        <v>5600</v>
      </c>
      <c r="AOU4">
        <v>5600</v>
      </c>
      <c r="AOV4">
        <v>5600</v>
      </c>
      <c r="AOW4">
        <v>5600</v>
      </c>
      <c r="AOX4">
        <v>5600</v>
      </c>
      <c r="AOY4">
        <v>5600</v>
      </c>
      <c r="AOZ4">
        <v>5600</v>
      </c>
      <c r="APA4">
        <v>5600</v>
      </c>
      <c r="APB4">
        <v>5600</v>
      </c>
      <c r="APC4">
        <v>5600</v>
      </c>
      <c r="APD4">
        <v>5600</v>
      </c>
      <c r="APE4">
        <v>5600</v>
      </c>
      <c r="APF4">
        <v>5600</v>
      </c>
      <c r="APG4">
        <v>5600</v>
      </c>
      <c r="APH4">
        <v>5600</v>
      </c>
      <c r="API4">
        <v>5600</v>
      </c>
      <c r="APJ4">
        <v>5600</v>
      </c>
      <c r="APK4">
        <v>5600</v>
      </c>
      <c r="APL4">
        <v>5600</v>
      </c>
      <c r="APM4">
        <v>5600</v>
      </c>
      <c r="APN4">
        <v>5600</v>
      </c>
      <c r="APO4">
        <v>5600</v>
      </c>
      <c r="APP4">
        <v>5600</v>
      </c>
      <c r="APQ4">
        <v>5600</v>
      </c>
      <c r="APR4">
        <v>5600</v>
      </c>
      <c r="APS4">
        <v>5600</v>
      </c>
      <c r="APT4">
        <v>5600</v>
      </c>
      <c r="APU4">
        <v>5600</v>
      </c>
      <c r="APV4">
        <v>5600</v>
      </c>
      <c r="APW4">
        <v>5600</v>
      </c>
      <c r="APX4">
        <v>5600</v>
      </c>
      <c r="APY4">
        <v>5600</v>
      </c>
      <c r="APZ4">
        <v>5600</v>
      </c>
      <c r="AQA4">
        <v>5600</v>
      </c>
      <c r="AQB4">
        <v>5600</v>
      </c>
      <c r="AQC4">
        <v>5600</v>
      </c>
      <c r="AQD4">
        <v>5600</v>
      </c>
      <c r="AQE4">
        <v>5600</v>
      </c>
      <c r="AQF4">
        <v>5600</v>
      </c>
      <c r="AQG4">
        <v>5600</v>
      </c>
      <c r="AQH4">
        <v>5600</v>
      </c>
      <c r="AQI4">
        <v>5600</v>
      </c>
      <c r="AQJ4">
        <v>5600</v>
      </c>
      <c r="AQK4">
        <v>5600</v>
      </c>
      <c r="AQL4">
        <v>5600</v>
      </c>
      <c r="AQM4">
        <v>5600</v>
      </c>
      <c r="AQN4">
        <v>5600</v>
      </c>
      <c r="AQO4">
        <v>5600</v>
      </c>
      <c r="AQP4">
        <v>5600</v>
      </c>
      <c r="AQQ4">
        <v>5600</v>
      </c>
      <c r="AQR4">
        <v>5600</v>
      </c>
      <c r="AQS4">
        <v>5600</v>
      </c>
      <c r="AQT4">
        <v>5600</v>
      </c>
      <c r="AQU4">
        <v>5600</v>
      </c>
      <c r="AQV4">
        <v>5600</v>
      </c>
      <c r="AQW4">
        <v>5600</v>
      </c>
      <c r="AQX4">
        <v>5600</v>
      </c>
      <c r="AQY4">
        <v>5600</v>
      </c>
      <c r="AQZ4">
        <v>5600</v>
      </c>
      <c r="ARA4">
        <v>5600</v>
      </c>
      <c r="ARB4">
        <v>5600</v>
      </c>
      <c r="ARC4">
        <v>5600</v>
      </c>
      <c r="ARD4">
        <v>5600</v>
      </c>
      <c r="ARE4">
        <v>5600</v>
      </c>
      <c r="ARF4">
        <v>5600</v>
      </c>
      <c r="ARG4">
        <v>5600</v>
      </c>
      <c r="ARH4">
        <v>5600</v>
      </c>
      <c r="ARI4">
        <v>5600</v>
      </c>
      <c r="ARJ4">
        <v>5600</v>
      </c>
      <c r="ARK4">
        <v>5600</v>
      </c>
      <c r="ARL4">
        <v>5600</v>
      </c>
      <c r="ARM4">
        <v>5600</v>
      </c>
      <c r="ARN4">
        <v>5600</v>
      </c>
      <c r="ARO4">
        <v>5600</v>
      </c>
      <c r="ARP4">
        <v>5600</v>
      </c>
      <c r="ARQ4">
        <v>5600</v>
      </c>
      <c r="ARR4">
        <v>5600</v>
      </c>
      <c r="ARS4">
        <v>5600</v>
      </c>
      <c r="ART4">
        <v>5600</v>
      </c>
      <c r="ARU4">
        <v>5600</v>
      </c>
      <c r="ARV4">
        <v>5600</v>
      </c>
      <c r="ARW4">
        <v>5600</v>
      </c>
      <c r="ARX4">
        <v>5600</v>
      </c>
      <c r="ARY4">
        <v>5600</v>
      </c>
      <c r="ARZ4">
        <v>5600</v>
      </c>
      <c r="ASA4">
        <v>5600</v>
      </c>
      <c r="ASB4">
        <v>5600</v>
      </c>
      <c r="ASC4">
        <v>5600</v>
      </c>
      <c r="ASD4">
        <v>5600</v>
      </c>
      <c r="ASE4">
        <v>5600</v>
      </c>
      <c r="ASF4">
        <v>5600</v>
      </c>
      <c r="ASG4">
        <v>5600</v>
      </c>
      <c r="ASH4">
        <v>5600</v>
      </c>
      <c r="ASI4">
        <v>5600</v>
      </c>
      <c r="ASJ4">
        <v>5600</v>
      </c>
      <c r="ASK4">
        <v>5600</v>
      </c>
      <c r="ASL4">
        <v>5600</v>
      </c>
      <c r="ASM4">
        <v>5600</v>
      </c>
      <c r="ASN4">
        <v>5600</v>
      </c>
      <c r="ASO4">
        <v>5600</v>
      </c>
      <c r="ASP4">
        <v>5600</v>
      </c>
      <c r="ASQ4">
        <v>5600</v>
      </c>
      <c r="ASR4">
        <v>5600</v>
      </c>
      <c r="ASS4">
        <v>5600</v>
      </c>
      <c r="AST4">
        <v>5600</v>
      </c>
      <c r="ASU4">
        <v>5600</v>
      </c>
      <c r="ASV4">
        <v>5600</v>
      </c>
      <c r="ASW4">
        <v>5600</v>
      </c>
      <c r="ASX4">
        <v>5600</v>
      </c>
      <c r="ASY4">
        <v>5600</v>
      </c>
      <c r="ASZ4">
        <v>5600</v>
      </c>
      <c r="ATA4">
        <v>5600</v>
      </c>
      <c r="ATB4">
        <v>5600</v>
      </c>
      <c r="ATC4">
        <v>5600</v>
      </c>
      <c r="ATD4">
        <v>5600</v>
      </c>
      <c r="ATE4">
        <v>5600</v>
      </c>
      <c r="ATF4">
        <v>5600</v>
      </c>
      <c r="ATG4">
        <v>5600</v>
      </c>
      <c r="ATH4">
        <v>5600</v>
      </c>
      <c r="ATI4">
        <v>5600</v>
      </c>
      <c r="ATJ4">
        <v>5600</v>
      </c>
      <c r="ATK4">
        <v>5600</v>
      </c>
      <c r="ATL4">
        <v>5600</v>
      </c>
      <c r="ATM4">
        <v>5600</v>
      </c>
      <c r="ATN4">
        <v>5600</v>
      </c>
      <c r="ATO4">
        <v>5600</v>
      </c>
      <c r="ATP4">
        <v>5600</v>
      </c>
      <c r="ATQ4">
        <v>5600</v>
      </c>
      <c r="ATR4">
        <v>5600</v>
      </c>
      <c r="ATS4">
        <v>5600</v>
      </c>
      <c r="ATT4">
        <v>5600</v>
      </c>
      <c r="ATU4">
        <v>5600</v>
      </c>
      <c r="ATV4">
        <v>5600</v>
      </c>
      <c r="ATW4">
        <v>5600</v>
      </c>
      <c r="ATX4">
        <v>5600</v>
      </c>
      <c r="ATY4">
        <v>5600</v>
      </c>
      <c r="ATZ4">
        <v>5600</v>
      </c>
      <c r="AUA4">
        <v>5600</v>
      </c>
      <c r="AUB4">
        <v>5600</v>
      </c>
      <c r="AUC4">
        <v>5600</v>
      </c>
      <c r="AUD4">
        <v>5600</v>
      </c>
      <c r="AUE4">
        <v>5600</v>
      </c>
      <c r="AUF4">
        <v>5600</v>
      </c>
      <c r="AUG4">
        <v>5600</v>
      </c>
      <c r="AUH4">
        <v>5600</v>
      </c>
      <c r="AUI4">
        <v>5600</v>
      </c>
      <c r="AUJ4">
        <v>5600</v>
      </c>
      <c r="AUK4">
        <v>5600</v>
      </c>
      <c r="AUL4">
        <v>5600</v>
      </c>
      <c r="AUM4">
        <v>5600</v>
      </c>
      <c r="AUN4">
        <v>5600</v>
      </c>
      <c r="AUO4">
        <v>5600</v>
      </c>
      <c r="AUP4">
        <v>5600</v>
      </c>
      <c r="AUQ4">
        <v>5600</v>
      </c>
      <c r="AUR4">
        <v>5600</v>
      </c>
      <c r="AUS4">
        <v>5600</v>
      </c>
      <c r="AUT4">
        <v>5600</v>
      </c>
      <c r="AUU4">
        <v>5600</v>
      </c>
      <c r="AUV4">
        <v>5600</v>
      </c>
      <c r="AUW4">
        <v>5600</v>
      </c>
      <c r="AUX4">
        <v>5600</v>
      </c>
      <c r="AUY4">
        <v>5600</v>
      </c>
      <c r="AUZ4">
        <v>5600</v>
      </c>
      <c r="AVA4">
        <v>5600</v>
      </c>
      <c r="AVB4">
        <v>5600</v>
      </c>
      <c r="AVC4">
        <v>5600</v>
      </c>
      <c r="AVD4">
        <v>5600</v>
      </c>
      <c r="AVE4">
        <v>5600</v>
      </c>
      <c r="AVF4">
        <v>5600</v>
      </c>
      <c r="AVG4">
        <v>5600</v>
      </c>
      <c r="AVH4">
        <v>5600</v>
      </c>
      <c r="AVI4">
        <v>5600</v>
      </c>
      <c r="AVJ4">
        <v>5600</v>
      </c>
      <c r="AVK4">
        <v>5600</v>
      </c>
      <c r="AVL4">
        <v>5600</v>
      </c>
      <c r="AVM4">
        <v>5600</v>
      </c>
      <c r="AVN4">
        <v>5600</v>
      </c>
      <c r="AVO4">
        <v>5600</v>
      </c>
      <c r="AVP4">
        <v>5600</v>
      </c>
      <c r="AVQ4">
        <v>5600</v>
      </c>
      <c r="AVR4">
        <v>5600</v>
      </c>
      <c r="AVS4">
        <v>5600</v>
      </c>
      <c r="AVT4">
        <v>5600</v>
      </c>
      <c r="AVU4">
        <v>5600</v>
      </c>
      <c r="AVV4">
        <v>5600</v>
      </c>
      <c r="AVW4">
        <v>5600</v>
      </c>
      <c r="AVX4">
        <v>5600</v>
      </c>
      <c r="AVY4">
        <v>5600</v>
      </c>
      <c r="AVZ4">
        <v>5600</v>
      </c>
      <c r="AWA4">
        <v>5600</v>
      </c>
      <c r="AWB4">
        <v>5600</v>
      </c>
      <c r="AWC4">
        <v>5600</v>
      </c>
      <c r="AWD4">
        <v>5600</v>
      </c>
      <c r="AWE4">
        <v>5600</v>
      </c>
      <c r="AWF4">
        <v>5600</v>
      </c>
      <c r="AWG4">
        <v>5600</v>
      </c>
      <c r="AWH4">
        <v>5600</v>
      </c>
      <c r="AWI4">
        <v>5600</v>
      </c>
      <c r="AWJ4">
        <v>5600</v>
      </c>
      <c r="AWK4">
        <v>5600</v>
      </c>
      <c r="AWL4">
        <v>5600</v>
      </c>
      <c r="AWM4">
        <v>5600</v>
      </c>
      <c r="AWN4">
        <v>5600</v>
      </c>
      <c r="AWO4">
        <v>5600</v>
      </c>
      <c r="AWP4">
        <v>5600</v>
      </c>
      <c r="AWQ4">
        <v>5600</v>
      </c>
      <c r="AWR4">
        <v>5600</v>
      </c>
      <c r="AWS4">
        <v>5600</v>
      </c>
      <c r="AWT4">
        <v>5600</v>
      </c>
      <c r="AWU4">
        <v>5600</v>
      </c>
      <c r="AWV4">
        <v>5600</v>
      </c>
      <c r="AWW4">
        <v>5600</v>
      </c>
      <c r="AWX4">
        <v>5600</v>
      </c>
      <c r="AWY4">
        <v>5600</v>
      </c>
      <c r="AWZ4">
        <v>5600</v>
      </c>
      <c r="AXA4">
        <v>5600</v>
      </c>
      <c r="AXB4">
        <v>5600</v>
      </c>
      <c r="AXC4">
        <v>5600</v>
      </c>
      <c r="AXD4">
        <v>5600</v>
      </c>
      <c r="AXE4">
        <v>5600</v>
      </c>
      <c r="AXF4">
        <v>5600</v>
      </c>
      <c r="AXG4">
        <v>5600</v>
      </c>
      <c r="AXH4">
        <v>5600</v>
      </c>
      <c r="AXI4">
        <v>5600</v>
      </c>
      <c r="AXJ4">
        <v>5600</v>
      </c>
      <c r="AXK4">
        <v>5600</v>
      </c>
      <c r="AXL4">
        <v>5600</v>
      </c>
      <c r="AXM4">
        <v>5600</v>
      </c>
      <c r="AXN4">
        <v>5600</v>
      </c>
      <c r="AXO4">
        <v>5600</v>
      </c>
      <c r="AXP4">
        <v>5600</v>
      </c>
      <c r="AXQ4">
        <v>5600</v>
      </c>
      <c r="AXR4">
        <v>5600</v>
      </c>
      <c r="AXS4">
        <v>5600</v>
      </c>
      <c r="AXT4">
        <v>5600</v>
      </c>
      <c r="AXU4">
        <v>5600</v>
      </c>
      <c r="AXV4">
        <v>5600</v>
      </c>
      <c r="AXW4">
        <v>5600</v>
      </c>
      <c r="AXX4">
        <v>5600</v>
      </c>
      <c r="AXY4">
        <v>5600</v>
      </c>
      <c r="AXZ4">
        <v>5600</v>
      </c>
      <c r="AYA4">
        <v>5600</v>
      </c>
      <c r="AYB4">
        <v>5600</v>
      </c>
      <c r="AYC4">
        <v>5600</v>
      </c>
      <c r="AYD4">
        <v>5600</v>
      </c>
      <c r="AYE4">
        <v>5600</v>
      </c>
      <c r="AYF4">
        <v>5600</v>
      </c>
      <c r="AYG4">
        <v>5600</v>
      </c>
      <c r="AYH4">
        <v>5600</v>
      </c>
      <c r="AYI4">
        <v>5600</v>
      </c>
      <c r="AYJ4">
        <v>5600</v>
      </c>
      <c r="AYK4">
        <v>5600</v>
      </c>
      <c r="AYL4">
        <v>5600</v>
      </c>
      <c r="AYM4">
        <v>5600</v>
      </c>
      <c r="AYN4">
        <v>5600</v>
      </c>
      <c r="AYO4">
        <v>5600</v>
      </c>
      <c r="AYP4">
        <v>5600</v>
      </c>
      <c r="AYQ4">
        <v>5600</v>
      </c>
      <c r="AYR4">
        <v>5600</v>
      </c>
      <c r="AYS4">
        <v>5600</v>
      </c>
      <c r="AYT4">
        <v>5600</v>
      </c>
      <c r="AYU4">
        <v>5600</v>
      </c>
      <c r="AYV4">
        <v>5600</v>
      </c>
      <c r="AYW4">
        <v>5600</v>
      </c>
      <c r="AYX4">
        <v>5600</v>
      </c>
      <c r="AYY4">
        <v>5600</v>
      </c>
      <c r="AYZ4">
        <v>5600</v>
      </c>
      <c r="AZA4">
        <v>5600</v>
      </c>
      <c r="AZB4">
        <v>5600</v>
      </c>
      <c r="AZC4">
        <v>5600</v>
      </c>
      <c r="AZD4">
        <v>5600</v>
      </c>
      <c r="AZE4">
        <v>5600</v>
      </c>
      <c r="AZF4">
        <v>5600</v>
      </c>
      <c r="AZG4">
        <v>5600</v>
      </c>
      <c r="AZH4">
        <v>5600</v>
      </c>
      <c r="AZI4">
        <v>5600</v>
      </c>
      <c r="AZJ4">
        <v>5600</v>
      </c>
      <c r="AZK4">
        <v>5600</v>
      </c>
      <c r="AZL4">
        <v>5600</v>
      </c>
      <c r="AZM4">
        <v>5600</v>
      </c>
      <c r="AZN4">
        <v>5600</v>
      </c>
      <c r="AZO4">
        <v>5600</v>
      </c>
      <c r="AZP4">
        <v>5600</v>
      </c>
      <c r="AZQ4">
        <v>5600</v>
      </c>
      <c r="AZR4">
        <v>5600</v>
      </c>
      <c r="AZS4">
        <v>5600</v>
      </c>
      <c r="AZT4">
        <v>5600</v>
      </c>
      <c r="AZU4">
        <v>5600</v>
      </c>
      <c r="AZV4">
        <v>5600</v>
      </c>
      <c r="AZW4">
        <v>5600</v>
      </c>
      <c r="AZX4">
        <v>5600</v>
      </c>
      <c r="AZY4">
        <v>5600</v>
      </c>
      <c r="AZZ4">
        <v>5600</v>
      </c>
      <c r="BAA4">
        <v>5600</v>
      </c>
      <c r="BAB4">
        <v>5600</v>
      </c>
      <c r="BAC4">
        <v>5600</v>
      </c>
      <c r="BAD4">
        <v>5600</v>
      </c>
      <c r="BAE4">
        <v>5600</v>
      </c>
      <c r="BAF4">
        <v>5600</v>
      </c>
      <c r="BAG4">
        <v>5600</v>
      </c>
      <c r="BAH4">
        <v>5600</v>
      </c>
      <c r="BAI4">
        <v>5600</v>
      </c>
      <c r="BAJ4">
        <v>5600</v>
      </c>
      <c r="BAK4">
        <v>5600</v>
      </c>
      <c r="BAL4">
        <v>5600</v>
      </c>
      <c r="BAM4">
        <v>5600</v>
      </c>
      <c r="BAN4">
        <v>5600</v>
      </c>
      <c r="BAO4">
        <v>5600</v>
      </c>
      <c r="BAP4">
        <v>5600</v>
      </c>
      <c r="BAQ4">
        <v>5600</v>
      </c>
      <c r="BAR4">
        <v>5600</v>
      </c>
      <c r="BAS4">
        <v>5600</v>
      </c>
      <c r="BAT4">
        <v>5600</v>
      </c>
      <c r="BAU4">
        <v>5600</v>
      </c>
      <c r="BAV4">
        <v>5600</v>
      </c>
      <c r="BAW4">
        <v>5600</v>
      </c>
      <c r="BAX4">
        <v>5600</v>
      </c>
      <c r="BAY4">
        <v>5600</v>
      </c>
      <c r="BAZ4">
        <v>5600</v>
      </c>
      <c r="BBA4">
        <v>5600</v>
      </c>
      <c r="BBB4">
        <v>5600</v>
      </c>
      <c r="BBC4">
        <v>5600</v>
      </c>
      <c r="BBD4">
        <v>5600</v>
      </c>
      <c r="BBE4">
        <v>5600</v>
      </c>
      <c r="BBF4">
        <v>5600</v>
      </c>
      <c r="BBG4">
        <v>5600</v>
      </c>
      <c r="BBH4">
        <v>5600</v>
      </c>
      <c r="BBI4">
        <v>5600</v>
      </c>
      <c r="BBJ4">
        <v>5600</v>
      </c>
      <c r="BBK4">
        <v>5600</v>
      </c>
      <c r="BBL4">
        <v>5600</v>
      </c>
      <c r="BBM4">
        <v>5600</v>
      </c>
      <c r="BBN4">
        <v>5600</v>
      </c>
      <c r="BBO4">
        <v>5600</v>
      </c>
      <c r="BBP4">
        <v>5600</v>
      </c>
      <c r="BBQ4">
        <v>5600</v>
      </c>
      <c r="BBR4">
        <v>5600</v>
      </c>
      <c r="BBS4">
        <v>5600</v>
      </c>
      <c r="BBT4">
        <v>5600</v>
      </c>
      <c r="BBU4">
        <v>5600</v>
      </c>
      <c r="BBV4">
        <v>5600</v>
      </c>
      <c r="BBW4">
        <v>5600</v>
      </c>
      <c r="BBX4">
        <v>5600</v>
      </c>
      <c r="BBY4">
        <v>5600</v>
      </c>
      <c r="BBZ4">
        <v>5600</v>
      </c>
      <c r="BCA4">
        <v>5600</v>
      </c>
      <c r="BCB4">
        <v>5600</v>
      </c>
      <c r="BCC4">
        <v>5600</v>
      </c>
      <c r="BCD4">
        <v>5600</v>
      </c>
      <c r="BCE4">
        <v>5600</v>
      </c>
      <c r="BCF4">
        <v>5600</v>
      </c>
      <c r="BCG4">
        <v>5600</v>
      </c>
      <c r="BCH4">
        <v>5600</v>
      </c>
      <c r="BCI4">
        <v>5600</v>
      </c>
      <c r="BCJ4">
        <v>5600</v>
      </c>
      <c r="BCK4">
        <v>5600</v>
      </c>
      <c r="BCL4">
        <v>5600</v>
      </c>
      <c r="BCM4">
        <v>5600</v>
      </c>
      <c r="BCN4">
        <v>5600</v>
      </c>
      <c r="BCO4">
        <v>5600</v>
      </c>
      <c r="BCP4">
        <v>5600</v>
      </c>
      <c r="BCQ4">
        <v>5600</v>
      </c>
      <c r="BCR4">
        <v>5600</v>
      </c>
      <c r="BCS4">
        <v>5600</v>
      </c>
      <c r="BCT4">
        <v>5600</v>
      </c>
      <c r="BCU4">
        <v>5600</v>
      </c>
      <c r="BCV4">
        <v>5600</v>
      </c>
      <c r="BCW4">
        <v>5600</v>
      </c>
      <c r="BCX4">
        <v>5600</v>
      </c>
      <c r="BCY4">
        <v>5600</v>
      </c>
      <c r="BCZ4">
        <v>5600</v>
      </c>
      <c r="BDA4">
        <v>5600</v>
      </c>
      <c r="BDB4">
        <v>5600</v>
      </c>
      <c r="BDC4">
        <v>5600</v>
      </c>
      <c r="BDD4">
        <v>5600</v>
      </c>
      <c r="BDE4">
        <v>5600</v>
      </c>
      <c r="BDF4">
        <v>5600</v>
      </c>
      <c r="BDG4">
        <v>5600</v>
      </c>
      <c r="BDH4">
        <v>5600</v>
      </c>
      <c r="BDI4">
        <v>5600</v>
      </c>
      <c r="BDJ4">
        <v>5600</v>
      </c>
      <c r="BDK4">
        <v>5600</v>
      </c>
      <c r="BDL4">
        <v>5600</v>
      </c>
      <c r="BDM4">
        <v>5600</v>
      </c>
      <c r="BDN4">
        <v>5600</v>
      </c>
      <c r="BDO4">
        <v>5600</v>
      </c>
      <c r="BDP4">
        <v>5600</v>
      </c>
      <c r="BDQ4">
        <v>5600</v>
      </c>
      <c r="BDR4">
        <v>5600</v>
      </c>
      <c r="BDS4">
        <v>5600</v>
      </c>
      <c r="BDT4">
        <v>5600</v>
      </c>
      <c r="BDU4">
        <v>5600</v>
      </c>
      <c r="BDV4">
        <v>5600</v>
      </c>
      <c r="BDW4">
        <v>5600</v>
      </c>
      <c r="BDX4">
        <v>5600</v>
      </c>
      <c r="BDY4">
        <v>5600</v>
      </c>
      <c r="BDZ4">
        <v>5600</v>
      </c>
      <c r="BEA4">
        <v>5600</v>
      </c>
      <c r="BEB4">
        <v>5600</v>
      </c>
      <c r="BEC4">
        <v>5600</v>
      </c>
      <c r="BED4">
        <v>5600</v>
      </c>
      <c r="BEE4">
        <v>5600</v>
      </c>
      <c r="BEF4">
        <v>5600</v>
      </c>
      <c r="BEG4">
        <v>5600</v>
      </c>
      <c r="BEH4">
        <v>5600</v>
      </c>
      <c r="BEI4">
        <v>5600</v>
      </c>
      <c r="BEJ4">
        <v>5600</v>
      </c>
      <c r="BEK4">
        <v>5600</v>
      </c>
      <c r="BEL4">
        <v>5600</v>
      </c>
      <c r="BEM4">
        <v>5600</v>
      </c>
      <c r="BEN4">
        <v>5600</v>
      </c>
      <c r="BEO4">
        <v>5600</v>
      </c>
      <c r="BEP4">
        <v>5600</v>
      </c>
      <c r="BEQ4">
        <v>5600</v>
      </c>
      <c r="BER4">
        <v>5600</v>
      </c>
      <c r="BES4">
        <v>5600</v>
      </c>
      <c r="BET4">
        <v>5600</v>
      </c>
      <c r="BEU4">
        <v>5600</v>
      </c>
      <c r="BEV4">
        <v>5600</v>
      </c>
      <c r="BEW4">
        <v>5600</v>
      </c>
      <c r="BEX4">
        <v>5600</v>
      </c>
      <c r="BEY4">
        <v>5600</v>
      </c>
      <c r="BEZ4">
        <v>5600</v>
      </c>
      <c r="BFA4">
        <v>5600</v>
      </c>
      <c r="BFB4">
        <v>5600</v>
      </c>
      <c r="BFC4">
        <v>5600</v>
      </c>
      <c r="BFD4">
        <v>5600</v>
      </c>
      <c r="BFE4">
        <v>5600</v>
      </c>
      <c r="BFF4">
        <v>5600</v>
      </c>
      <c r="BFG4">
        <v>5600</v>
      </c>
      <c r="BFH4">
        <v>5600</v>
      </c>
      <c r="BFI4">
        <v>5600</v>
      </c>
      <c r="BFJ4">
        <v>5600</v>
      </c>
      <c r="BFK4">
        <v>5600</v>
      </c>
      <c r="BFL4">
        <v>5600</v>
      </c>
      <c r="BFM4">
        <v>5600</v>
      </c>
      <c r="BFN4">
        <v>5600</v>
      </c>
      <c r="BFO4">
        <v>5600</v>
      </c>
      <c r="BFP4">
        <v>5600</v>
      </c>
      <c r="BFQ4">
        <v>5600</v>
      </c>
      <c r="BFR4">
        <v>5600</v>
      </c>
      <c r="BFS4">
        <v>5600</v>
      </c>
      <c r="BFT4">
        <v>5600</v>
      </c>
      <c r="BFU4">
        <v>5600</v>
      </c>
      <c r="BFV4">
        <v>5600</v>
      </c>
      <c r="BFW4">
        <v>5600</v>
      </c>
      <c r="BFX4">
        <v>5600</v>
      </c>
      <c r="BFY4">
        <v>5600</v>
      </c>
      <c r="BFZ4">
        <v>5600</v>
      </c>
      <c r="BGA4">
        <v>5600</v>
      </c>
      <c r="BGB4">
        <v>5600</v>
      </c>
      <c r="BGC4">
        <v>5600</v>
      </c>
      <c r="BGD4">
        <v>5600</v>
      </c>
      <c r="BGE4">
        <v>5600</v>
      </c>
      <c r="BGF4">
        <v>5600</v>
      </c>
      <c r="BGG4">
        <v>5600</v>
      </c>
      <c r="BGH4">
        <v>5600</v>
      </c>
      <c r="BGI4">
        <v>5600</v>
      </c>
      <c r="BGJ4">
        <v>5600</v>
      </c>
      <c r="BGK4">
        <v>5600</v>
      </c>
      <c r="BGL4">
        <v>5600</v>
      </c>
      <c r="BGM4">
        <v>5600</v>
      </c>
      <c r="BGN4">
        <v>5600</v>
      </c>
      <c r="BGO4">
        <v>5600</v>
      </c>
      <c r="BGP4">
        <v>5600</v>
      </c>
      <c r="BGQ4">
        <v>5600</v>
      </c>
      <c r="BGR4">
        <v>5600</v>
      </c>
      <c r="BGS4">
        <v>5600</v>
      </c>
      <c r="BGT4">
        <v>5600</v>
      </c>
      <c r="BGU4">
        <v>5600</v>
      </c>
      <c r="BGV4">
        <v>5600</v>
      </c>
      <c r="BGW4">
        <v>5600</v>
      </c>
      <c r="BGX4">
        <v>5600</v>
      </c>
      <c r="BGY4">
        <v>5600</v>
      </c>
      <c r="BGZ4">
        <v>5600</v>
      </c>
      <c r="BHA4">
        <v>5600</v>
      </c>
      <c r="BHB4">
        <v>5600</v>
      </c>
      <c r="BHC4">
        <v>5600</v>
      </c>
      <c r="BHD4">
        <v>5600</v>
      </c>
      <c r="BHE4">
        <v>5600</v>
      </c>
      <c r="BHF4">
        <v>5600</v>
      </c>
      <c r="BHG4">
        <v>5600</v>
      </c>
      <c r="BHH4">
        <v>5600</v>
      </c>
      <c r="BHI4">
        <v>5600</v>
      </c>
      <c r="BHJ4">
        <v>5600</v>
      </c>
      <c r="BHK4">
        <v>5600</v>
      </c>
      <c r="BHL4">
        <v>5600</v>
      </c>
      <c r="BHM4">
        <v>5600</v>
      </c>
      <c r="BHN4">
        <v>5600</v>
      </c>
      <c r="BHO4">
        <v>5600</v>
      </c>
      <c r="BHP4">
        <v>5600</v>
      </c>
      <c r="BHQ4">
        <v>5600</v>
      </c>
      <c r="BHR4">
        <v>5600</v>
      </c>
      <c r="BHS4">
        <v>5600</v>
      </c>
      <c r="BHT4">
        <v>5600</v>
      </c>
      <c r="BHU4">
        <v>5600</v>
      </c>
      <c r="BHV4">
        <v>5600</v>
      </c>
      <c r="BHW4">
        <v>5600</v>
      </c>
      <c r="BHX4">
        <v>5600</v>
      </c>
      <c r="BHY4">
        <v>5600</v>
      </c>
      <c r="BHZ4">
        <v>5600</v>
      </c>
      <c r="BIA4">
        <v>5600</v>
      </c>
      <c r="BIB4">
        <v>5600</v>
      </c>
      <c r="BIC4">
        <v>5600</v>
      </c>
      <c r="BID4">
        <v>5600</v>
      </c>
      <c r="BIE4">
        <v>5600</v>
      </c>
      <c r="BIF4">
        <v>5600</v>
      </c>
      <c r="BIG4">
        <v>5600</v>
      </c>
      <c r="BIH4">
        <v>5600</v>
      </c>
      <c r="BII4">
        <v>5600</v>
      </c>
      <c r="BIJ4">
        <v>5600</v>
      </c>
      <c r="BIK4">
        <v>5600</v>
      </c>
      <c r="BIL4">
        <v>5600</v>
      </c>
      <c r="BIM4">
        <v>5600</v>
      </c>
      <c r="BIN4">
        <v>5600</v>
      </c>
      <c r="BIO4">
        <v>5600</v>
      </c>
      <c r="BIP4">
        <v>5600</v>
      </c>
      <c r="BIQ4">
        <v>5600</v>
      </c>
      <c r="BIR4">
        <v>5600</v>
      </c>
      <c r="BIS4">
        <v>5600</v>
      </c>
      <c r="BIT4">
        <v>5600</v>
      </c>
      <c r="BIU4">
        <v>5600</v>
      </c>
      <c r="BIV4">
        <v>5600</v>
      </c>
      <c r="BIW4">
        <v>5600</v>
      </c>
      <c r="BIX4">
        <v>5600</v>
      </c>
      <c r="BIY4">
        <v>5600</v>
      </c>
      <c r="BIZ4">
        <v>5600</v>
      </c>
      <c r="BJA4">
        <v>5600</v>
      </c>
      <c r="BJB4">
        <v>5600</v>
      </c>
      <c r="BJC4">
        <v>5600</v>
      </c>
      <c r="BJD4">
        <v>5600</v>
      </c>
      <c r="BJE4">
        <v>5600</v>
      </c>
      <c r="BJF4">
        <v>5600</v>
      </c>
      <c r="BJG4">
        <v>5600</v>
      </c>
      <c r="BJH4">
        <v>5600</v>
      </c>
      <c r="BJI4">
        <v>5600</v>
      </c>
      <c r="BJJ4">
        <v>5600</v>
      </c>
      <c r="BJK4">
        <v>5600</v>
      </c>
      <c r="BJL4">
        <v>5600</v>
      </c>
      <c r="BJM4">
        <v>5600</v>
      </c>
      <c r="BJN4">
        <v>5600</v>
      </c>
      <c r="BJO4">
        <v>5600</v>
      </c>
      <c r="BJP4">
        <v>5600</v>
      </c>
      <c r="BJQ4">
        <v>5600</v>
      </c>
      <c r="BJR4">
        <v>5600</v>
      </c>
      <c r="BJS4">
        <v>5600</v>
      </c>
      <c r="BJT4">
        <v>5600</v>
      </c>
      <c r="BJU4">
        <v>5600</v>
      </c>
      <c r="BJV4">
        <v>5600</v>
      </c>
      <c r="BJW4">
        <v>5600</v>
      </c>
      <c r="BJX4">
        <v>5600</v>
      </c>
      <c r="BJY4">
        <v>5600</v>
      </c>
      <c r="BJZ4">
        <v>5600</v>
      </c>
      <c r="BKA4">
        <v>5600</v>
      </c>
      <c r="BKB4">
        <v>5600</v>
      </c>
      <c r="BKC4">
        <v>5600</v>
      </c>
      <c r="BKD4">
        <v>5600</v>
      </c>
      <c r="BKE4">
        <v>5600</v>
      </c>
      <c r="BKF4">
        <v>5600</v>
      </c>
      <c r="BKG4">
        <v>5600</v>
      </c>
      <c r="BKH4">
        <v>5600</v>
      </c>
      <c r="BKI4">
        <v>5600</v>
      </c>
      <c r="BKJ4">
        <v>5600</v>
      </c>
      <c r="BKK4">
        <v>5600</v>
      </c>
      <c r="BKL4">
        <v>5600</v>
      </c>
      <c r="BKM4">
        <v>5600</v>
      </c>
      <c r="BKN4">
        <v>5600</v>
      </c>
      <c r="BKO4">
        <v>5600</v>
      </c>
      <c r="BKP4">
        <v>5600</v>
      </c>
      <c r="BKQ4">
        <v>5600</v>
      </c>
      <c r="BKR4">
        <v>5600</v>
      </c>
      <c r="BKS4">
        <v>5600</v>
      </c>
      <c r="BKT4">
        <v>5600</v>
      </c>
      <c r="BKU4">
        <v>5600</v>
      </c>
      <c r="BKV4">
        <v>5600</v>
      </c>
      <c r="BKW4">
        <v>5600</v>
      </c>
      <c r="BKX4">
        <v>5600</v>
      </c>
      <c r="BKY4">
        <v>5600</v>
      </c>
      <c r="BKZ4">
        <v>5600</v>
      </c>
      <c r="BLA4">
        <v>5600</v>
      </c>
      <c r="BLB4">
        <v>5600</v>
      </c>
      <c r="BLC4">
        <v>5600</v>
      </c>
      <c r="BLD4">
        <v>5600</v>
      </c>
      <c r="BLE4">
        <v>5600</v>
      </c>
      <c r="BLF4">
        <v>5600</v>
      </c>
      <c r="BLG4">
        <v>5600</v>
      </c>
      <c r="BLH4">
        <v>5600</v>
      </c>
      <c r="BLI4">
        <v>5600</v>
      </c>
      <c r="BLJ4">
        <v>5600</v>
      </c>
      <c r="BLK4">
        <v>5600</v>
      </c>
      <c r="BLL4">
        <v>5600</v>
      </c>
      <c r="BLM4">
        <v>5600</v>
      </c>
      <c r="BLN4">
        <v>5600</v>
      </c>
      <c r="BLO4">
        <v>5600</v>
      </c>
      <c r="BLP4">
        <v>5600</v>
      </c>
      <c r="BLQ4">
        <v>5600</v>
      </c>
      <c r="BLR4">
        <v>5600</v>
      </c>
      <c r="BLS4">
        <v>5600</v>
      </c>
      <c r="BLT4">
        <v>5600</v>
      </c>
      <c r="BLU4">
        <v>5600</v>
      </c>
      <c r="BLV4">
        <v>5600</v>
      </c>
      <c r="BLW4">
        <v>5600</v>
      </c>
      <c r="BLX4">
        <v>5600</v>
      </c>
      <c r="BLY4">
        <v>5600</v>
      </c>
      <c r="BLZ4">
        <v>5600</v>
      </c>
      <c r="BMA4">
        <v>5600</v>
      </c>
      <c r="BMB4">
        <v>5600</v>
      </c>
      <c r="BMC4">
        <v>5600</v>
      </c>
      <c r="BMD4">
        <v>5600</v>
      </c>
      <c r="BME4">
        <v>5600</v>
      </c>
      <c r="BMF4">
        <v>5600</v>
      </c>
      <c r="BMG4">
        <v>5600</v>
      </c>
      <c r="BMH4">
        <v>5600</v>
      </c>
      <c r="BMI4">
        <v>5600</v>
      </c>
      <c r="BMJ4">
        <v>7000</v>
      </c>
      <c r="BMK4">
        <v>7000</v>
      </c>
      <c r="BML4">
        <v>7000</v>
      </c>
      <c r="BMM4">
        <v>7000</v>
      </c>
      <c r="BMN4">
        <v>7000</v>
      </c>
      <c r="BMO4">
        <v>7000</v>
      </c>
      <c r="BMP4">
        <v>7000</v>
      </c>
      <c r="BMQ4">
        <v>7000</v>
      </c>
      <c r="BMR4">
        <v>7000</v>
      </c>
      <c r="BMS4">
        <v>7000</v>
      </c>
      <c r="BMT4">
        <v>7000</v>
      </c>
      <c r="BMU4">
        <v>7000</v>
      </c>
      <c r="BMV4">
        <v>7000</v>
      </c>
      <c r="BMW4">
        <v>7000</v>
      </c>
      <c r="BMX4">
        <v>7000</v>
      </c>
      <c r="BMY4">
        <v>7000</v>
      </c>
      <c r="BMZ4">
        <v>7000</v>
      </c>
      <c r="BNA4">
        <v>7000</v>
      </c>
      <c r="BNB4">
        <v>7000</v>
      </c>
      <c r="BNC4">
        <v>292.99294444399999</v>
      </c>
      <c r="BND4">
        <v>354.76833333299999</v>
      </c>
      <c r="BNE4">
        <v>376.71516666700001</v>
      </c>
      <c r="BNF4">
        <v>384.70850000000002</v>
      </c>
      <c r="BNG4">
        <v>393.680222222</v>
      </c>
      <c r="BNH4">
        <v>396.80238888899999</v>
      </c>
      <c r="BNI4">
        <v>405.80344444399998</v>
      </c>
      <c r="BNJ4">
        <v>406.31677777800002</v>
      </c>
      <c r="BNK4">
        <v>408.98916666700001</v>
      </c>
      <c r="BNL4">
        <v>438.37261111100003</v>
      </c>
      <c r="BNM4">
        <v>444.94877777800002</v>
      </c>
      <c r="BNN4">
        <v>485.99588888900001</v>
      </c>
      <c r="BNO4">
        <v>490.93855555599998</v>
      </c>
      <c r="BNP4">
        <v>497.547722222</v>
      </c>
      <c r="BNQ4">
        <v>501.44966666699997</v>
      </c>
      <c r="BNR4">
        <v>534.431333333</v>
      </c>
      <c r="BNS4">
        <v>557.19827777800003</v>
      </c>
      <c r="BNT4">
        <v>616.84211111100001</v>
      </c>
      <c r="BNU4">
        <v>646.34288888900005</v>
      </c>
      <c r="BNV4">
        <v>646.545777778</v>
      </c>
      <c r="BNW4">
        <v>655.36594444399998</v>
      </c>
      <c r="BNX4">
        <v>671.66549999999995</v>
      </c>
      <c r="BNY4">
        <v>673.39983333299995</v>
      </c>
      <c r="BNZ4">
        <v>684.32283333299995</v>
      </c>
      <c r="BOA4">
        <v>686.42811111100002</v>
      </c>
      <c r="BOB4">
        <v>695.12850000000003</v>
      </c>
      <c r="BOC4">
        <v>701.67105555600006</v>
      </c>
      <c r="BOD4">
        <v>702.24916666700005</v>
      </c>
      <c r="BOE4">
        <v>714.13711111099997</v>
      </c>
      <c r="BOF4">
        <v>715.92705555600003</v>
      </c>
      <c r="BOG4">
        <v>720.24149999999997</v>
      </c>
      <c r="BOH4">
        <v>732.60305555599996</v>
      </c>
      <c r="BOI4">
        <v>737.73638888899995</v>
      </c>
      <c r="BOJ4">
        <v>738.66283333299998</v>
      </c>
      <c r="BOK4">
        <v>742.07650000000001</v>
      </c>
      <c r="BOL4">
        <v>753.48533333299997</v>
      </c>
      <c r="BOM4">
        <v>757.52538888900006</v>
      </c>
      <c r="BON4">
        <v>758.60522222199995</v>
      </c>
      <c r="BOO4">
        <v>760.54672222199997</v>
      </c>
      <c r="BOP4">
        <v>760.59438888900002</v>
      </c>
      <c r="BOQ4">
        <v>762.700888889</v>
      </c>
      <c r="BOR4">
        <v>762.91538888900004</v>
      </c>
      <c r="BOS4">
        <v>763.24233333300003</v>
      </c>
      <c r="BOT4">
        <v>764.58494444400003</v>
      </c>
      <c r="BOU4">
        <v>765.39161111099997</v>
      </c>
      <c r="BOV4">
        <v>770.03605555599995</v>
      </c>
      <c r="BOW4">
        <v>776.71611111100003</v>
      </c>
      <c r="BOX4">
        <v>781.944777778</v>
      </c>
      <c r="BOY4">
        <v>789.61361111099995</v>
      </c>
      <c r="BOZ4">
        <v>791.41027777800002</v>
      </c>
      <c r="BPA4">
        <v>793.01688888900003</v>
      </c>
      <c r="BPB4">
        <v>799.13166666699999</v>
      </c>
      <c r="BPC4">
        <v>801.75149999999996</v>
      </c>
      <c r="BPD4">
        <v>813.84416666699997</v>
      </c>
      <c r="BPE4">
        <v>824.57100000000003</v>
      </c>
      <c r="BPF4">
        <v>834.316388889</v>
      </c>
      <c r="BPG4">
        <v>838.25622222200002</v>
      </c>
      <c r="BPH4">
        <v>840.61694444399996</v>
      </c>
      <c r="BPI4">
        <v>841.24761111099997</v>
      </c>
      <c r="BPJ4">
        <v>849.82211111100003</v>
      </c>
      <c r="BPK4">
        <v>850.83777777800003</v>
      </c>
      <c r="BPL4">
        <v>857.93888888900005</v>
      </c>
      <c r="BPM4">
        <v>861.33483333300001</v>
      </c>
      <c r="BPN4">
        <v>862.04005555599997</v>
      </c>
      <c r="BPO4">
        <v>870.33588888899999</v>
      </c>
      <c r="BPP4">
        <v>870.84922222199998</v>
      </c>
      <c r="BPQ4">
        <v>872.44605555600003</v>
      </c>
      <c r="BPR4">
        <v>873.52161111099997</v>
      </c>
      <c r="BPS4">
        <v>878.316388889</v>
      </c>
      <c r="BPT4">
        <v>879.48850000000004</v>
      </c>
      <c r="BPU4">
        <v>882.49549999999999</v>
      </c>
      <c r="BPV4">
        <v>883.69158333300004</v>
      </c>
      <c r="BPW4">
        <v>889.61516666700004</v>
      </c>
      <c r="BPX4">
        <v>893.56594444400002</v>
      </c>
      <c r="BPY4">
        <v>914.33766666700001</v>
      </c>
      <c r="BPZ4">
        <v>915.00158333299999</v>
      </c>
      <c r="BQA4">
        <v>921.54172222199998</v>
      </c>
      <c r="BQB4">
        <v>921.944722222</v>
      </c>
      <c r="BQC4">
        <v>924.93449999999996</v>
      </c>
      <c r="BQD4">
        <v>926.73766666699998</v>
      </c>
      <c r="BQE4">
        <v>928.71908333299996</v>
      </c>
      <c r="BQF4">
        <v>929.75241666700003</v>
      </c>
      <c r="BQG4">
        <v>929.94358333299999</v>
      </c>
      <c r="BQH4">
        <v>938.24297222200005</v>
      </c>
      <c r="BQI4">
        <v>940.58605555600002</v>
      </c>
      <c r="BQJ4">
        <v>941.75199999999995</v>
      </c>
      <c r="BQK4">
        <v>941.83638888899998</v>
      </c>
      <c r="BQL4">
        <v>945.39708333299996</v>
      </c>
      <c r="BQM4">
        <v>946.005027778</v>
      </c>
      <c r="BQN4">
        <v>946.005027778</v>
      </c>
      <c r="BQO4">
        <v>951.56608333300005</v>
      </c>
      <c r="BQP4">
        <v>962.33772222200002</v>
      </c>
      <c r="BQQ4">
        <v>965.74341666700002</v>
      </c>
      <c r="BQR4">
        <v>967.14272222199997</v>
      </c>
      <c r="BQS4">
        <v>974.83588888899999</v>
      </c>
      <c r="BQT4">
        <v>975.12091666699996</v>
      </c>
      <c r="BQU4">
        <v>977.08769444400002</v>
      </c>
      <c r="BQV4">
        <v>979.57372222200001</v>
      </c>
      <c r="BQW4">
        <v>982.56349999999998</v>
      </c>
      <c r="BQX4">
        <v>985.70827777800002</v>
      </c>
      <c r="BQY4">
        <v>987.05677777799997</v>
      </c>
      <c r="BQZ4">
        <v>990.18261111100003</v>
      </c>
      <c r="BRA4">
        <v>993.15688888900002</v>
      </c>
      <c r="BRB4">
        <v>997.55458333299998</v>
      </c>
      <c r="BRC4">
        <v>997.58988888900001</v>
      </c>
      <c r="BRD4">
        <v>1001.35552778</v>
      </c>
      <c r="BRE4">
        <v>1001.37791667</v>
      </c>
      <c r="BRF4">
        <v>1001.8894166699999</v>
      </c>
      <c r="BRG4">
        <v>1003.08463889</v>
      </c>
      <c r="BRH4">
        <v>1005.63611111</v>
      </c>
      <c r="BRI4">
        <v>1008.58283333</v>
      </c>
      <c r="BRJ4">
        <v>1014.92491667</v>
      </c>
      <c r="BRK4">
        <v>1021.01469444</v>
      </c>
      <c r="BRL4">
        <v>1026.9572222199999</v>
      </c>
      <c r="BRM4">
        <v>1028.7724444400001</v>
      </c>
      <c r="BRN4">
        <v>1036.02816667</v>
      </c>
      <c r="BRO4">
        <v>1037.4024999999999</v>
      </c>
      <c r="BRP4">
        <v>1039.1298888900001</v>
      </c>
      <c r="BRQ4">
        <v>1040.5240277800001</v>
      </c>
      <c r="BRR4">
        <v>1042.24366667</v>
      </c>
      <c r="BRS4">
        <v>1043.19088889</v>
      </c>
      <c r="BRT4">
        <v>1043.37258333</v>
      </c>
      <c r="BRU4">
        <v>1046.4596666699999</v>
      </c>
      <c r="BRV4">
        <v>1048.175</v>
      </c>
      <c r="BRW4">
        <v>1049.4907777799999</v>
      </c>
      <c r="BRX4">
        <v>1049.8662222200001</v>
      </c>
      <c r="BRY4">
        <v>1052.59938889</v>
      </c>
      <c r="BRZ4">
        <v>1058.2370833299999</v>
      </c>
      <c r="BSA4">
        <v>1066.03444444</v>
      </c>
      <c r="BSB4">
        <v>1067.46647222</v>
      </c>
      <c r="BSC4">
        <v>1076.2179444400001</v>
      </c>
      <c r="BSD4">
        <v>1078.39052778</v>
      </c>
      <c r="BSE4">
        <v>1079.92330556</v>
      </c>
      <c r="BSF4">
        <v>1080.8128333300001</v>
      </c>
      <c r="BSG4">
        <v>1082.0407777800001</v>
      </c>
      <c r="BSH4">
        <v>1083.8542777800001</v>
      </c>
      <c r="BSI4">
        <v>1087.4468333299999</v>
      </c>
      <c r="BSJ4">
        <v>1088.1667222200001</v>
      </c>
      <c r="BSK4">
        <v>1092.5428888900001</v>
      </c>
      <c r="BSL4">
        <v>1092.5489166699999</v>
      </c>
      <c r="BSM4">
        <v>1109.2828888900001</v>
      </c>
      <c r="BSN4">
        <v>1110.2740277800001</v>
      </c>
      <c r="BSO4">
        <v>1115.6266944399999</v>
      </c>
      <c r="BSP4">
        <v>1116.91061111</v>
      </c>
      <c r="BSQ4">
        <v>1118.1635277800001</v>
      </c>
      <c r="BSR4">
        <v>1118.2883888900001</v>
      </c>
      <c r="BSS4">
        <v>1118.3908611100001</v>
      </c>
      <c r="BST4">
        <v>1124.2843055599999</v>
      </c>
      <c r="BSU4">
        <v>1127.3688055600001</v>
      </c>
      <c r="BSV4">
        <v>1135.5717500000001</v>
      </c>
      <c r="BSW4">
        <v>1136.62058333</v>
      </c>
      <c r="BSX4">
        <v>1138.45302778</v>
      </c>
      <c r="BSY4">
        <v>1140.0486666700001</v>
      </c>
      <c r="BSZ4">
        <v>1141.8897222200001</v>
      </c>
      <c r="BTA4">
        <v>1142.6018611100001</v>
      </c>
      <c r="BTB4">
        <v>1150.02377778</v>
      </c>
      <c r="BTC4">
        <v>1151.3498888900001</v>
      </c>
      <c r="BTD4">
        <v>1163.7550555600001</v>
      </c>
      <c r="BTE4">
        <v>1164.04266667</v>
      </c>
      <c r="BTF4">
        <v>1165.7485277799999</v>
      </c>
      <c r="BTG4">
        <v>1166.9299722200001</v>
      </c>
      <c r="BTH4">
        <v>1167.28475</v>
      </c>
      <c r="BTI4">
        <v>1168.85627778</v>
      </c>
      <c r="BTJ4">
        <v>1169.3143888899999</v>
      </c>
      <c r="BTK4">
        <v>1175.23366667</v>
      </c>
      <c r="BTL4">
        <v>1175.2784444399999</v>
      </c>
      <c r="BTM4">
        <v>1176.1231944399999</v>
      </c>
      <c r="BTN4">
        <v>1178.71083333</v>
      </c>
      <c r="BTO4">
        <v>1180.6612500000001</v>
      </c>
      <c r="BTP4">
        <v>1187.5966388899999</v>
      </c>
      <c r="BTQ4">
        <v>1188.45</v>
      </c>
      <c r="BTR4">
        <v>1191.34247222</v>
      </c>
      <c r="BTS4">
        <v>1193.92063889</v>
      </c>
      <c r="BTT4">
        <v>1196.01572222</v>
      </c>
      <c r="BTU4">
        <v>1196.4884722199999</v>
      </c>
      <c r="BTV4">
        <v>1197.3702499999999</v>
      </c>
      <c r="BTW4">
        <v>1203.0320555599999</v>
      </c>
      <c r="BTX4">
        <v>1204.72241667</v>
      </c>
      <c r="BTY4">
        <v>1205.38977778</v>
      </c>
      <c r="BTZ4">
        <v>1205.61022222</v>
      </c>
      <c r="BUA4">
        <v>1205.83066667</v>
      </c>
      <c r="BUB4">
        <v>1206.5540000000001</v>
      </c>
      <c r="BUC4">
        <v>1207.3023055599999</v>
      </c>
      <c r="BUD4">
        <v>1208.05319444</v>
      </c>
      <c r="BUE4">
        <v>1210.7415833299999</v>
      </c>
      <c r="BUF4">
        <v>1211.54586111</v>
      </c>
      <c r="BUG4">
        <v>1215.95044444</v>
      </c>
      <c r="BUH4">
        <v>1216.08994444</v>
      </c>
      <c r="BUI4">
        <v>1216.3741111100001</v>
      </c>
      <c r="BUJ4">
        <v>1216.4886388899999</v>
      </c>
      <c r="BUK4">
        <v>1217.9508055599999</v>
      </c>
      <c r="BUL4">
        <v>1218.0386388899999</v>
      </c>
      <c r="BUM4">
        <v>1220.26633333</v>
      </c>
      <c r="BUN4">
        <v>1220.28872222</v>
      </c>
      <c r="BUO4">
        <v>1224.25069444</v>
      </c>
      <c r="BUP4">
        <v>1225.84461111</v>
      </c>
      <c r="BUQ4">
        <v>1235.3934722199999</v>
      </c>
      <c r="BUR4">
        <v>1242.0541666700001</v>
      </c>
      <c r="BUS4">
        <v>1243.0496111099999</v>
      </c>
      <c r="BUT4">
        <v>1243.3286111100001</v>
      </c>
      <c r="BUU4">
        <v>1245.82927778</v>
      </c>
      <c r="BUV4">
        <v>1246.8186944399999</v>
      </c>
      <c r="BUW4">
        <v>1249.0326111100001</v>
      </c>
      <c r="BUX4">
        <v>1259.5028611099999</v>
      </c>
      <c r="BUY4">
        <v>1259.9359999999999</v>
      </c>
      <c r="BUZ4">
        <v>1260.1504166699999</v>
      </c>
      <c r="BVA4">
        <v>1260.3260833300001</v>
      </c>
      <c r="BVB4">
        <v>1260.44061111</v>
      </c>
      <c r="BVC4">
        <v>1262.6528055599999</v>
      </c>
      <c r="BVD4">
        <v>1267.13919444</v>
      </c>
      <c r="BVE4">
        <v>1267.9813611100001</v>
      </c>
      <c r="BVF4">
        <v>1272.27227778</v>
      </c>
      <c r="BVG4">
        <v>1274.06769444</v>
      </c>
      <c r="BVH4">
        <v>1276.3177777799999</v>
      </c>
      <c r="BVI4">
        <v>1277.7050277799999</v>
      </c>
      <c r="BVJ4">
        <v>1277.96680556</v>
      </c>
      <c r="BVK4">
        <v>1279.6778333300001</v>
      </c>
      <c r="BVL4">
        <v>1283.2876111099999</v>
      </c>
      <c r="BVM4">
        <v>1284.10136111</v>
      </c>
      <c r="BVN4">
        <v>1285.53683333</v>
      </c>
      <c r="BVO4">
        <v>1286.71655556</v>
      </c>
      <c r="BVP4">
        <v>1286.82936111</v>
      </c>
      <c r="BVQ4">
        <v>1287.5389166699999</v>
      </c>
      <c r="BVR4">
        <v>1287.73352778</v>
      </c>
      <c r="BVS4">
        <v>1288.425</v>
      </c>
      <c r="BVT4">
        <v>1288.7944166699999</v>
      </c>
      <c r="BVU4">
        <v>1290.0438888900001</v>
      </c>
      <c r="BVV4">
        <v>1291.71961111</v>
      </c>
      <c r="BVW4">
        <v>1292.6478888900001</v>
      </c>
      <c r="BVX4">
        <v>1294.15741667</v>
      </c>
      <c r="BVY4">
        <v>1294.71886111</v>
      </c>
      <c r="BVZ4">
        <v>1295.10291667</v>
      </c>
      <c r="BWA4">
        <v>1300.8525555599999</v>
      </c>
      <c r="BWB4">
        <v>1301.91430556</v>
      </c>
      <c r="BWC4">
        <v>1303.10263889</v>
      </c>
      <c r="BWD4">
        <v>1303.3747499999999</v>
      </c>
      <c r="BWE4">
        <v>1303.5194166700001</v>
      </c>
      <c r="BWF4">
        <v>1304.0025000000001</v>
      </c>
      <c r="BWG4">
        <v>1306.5686111099999</v>
      </c>
      <c r="BWH4">
        <v>1306.9948611100001</v>
      </c>
      <c r="BWI4">
        <v>1307.8921388900001</v>
      </c>
      <c r="BWJ4">
        <v>1308.39330556</v>
      </c>
      <c r="BWK4">
        <v>1308.93494444</v>
      </c>
      <c r="BWL4">
        <v>1309.3310555600001</v>
      </c>
      <c r="BWM4">
        <v>1309.45419444</v>
      </c>
      <c r="BWN4">
        <v>1309.5842222199999</v>
      </c>
      <c r="BWO4">
        <v>1309.8580555599999</v>
      </c>
      <c r="BWP4">
        <v>1310.1809722200001</v>
      </c>
      <c r="BWQ4">
        <v>1311.7705833299999</v>
      </c>
      <c r="BWR4">
        <v>1312.24333333</v>
      </c>
      <c r="BWS4">
        <v>1313.07258333</v>
      </c>
      <c r="BWT4">
        <v>1313.97072222</v>
      </c>
      <c r="BWU4">
        <v>1314.3496111100001</v>
      </c>
      <c r="BWV4">
        <v>1315.46130556</v>
      </c>
      <c r="BWW4">
        <v>1316.1398611100001</v>
      </c>
      <c r="BWX4">
        <v>1316.3620277800001</v>
      </c>
      <c r="BWY4">
        <v>1318.1781111099999</v>
      </c>
      <c r="BWZ4">
        <v>1319.5817222200001</v>
      </c>
      <c r="BXA4">
        <v>1319.8297222199999</v>
      </c>
      <c r="BXB4">
        <v>1320.44197222</v>
      </c>
      <c r="BXC4">
        <v>1323.72194444</v>
      </c>
      <c r="BXD4">
        <v>1324.33505556</v>
      </c>
      <c r="BXE4">
        <v>1325.0695833299999</v>
      </c>
      <c r="BXF4">
        <v>1326.3250833300001</v>
      </c>
      <c r="BXG4">
        <v>1326.6144166700001</v>
      </c>
      <c r="BXH4">
        <v>1326.87361111</v>
      </c>
      <c r="BXI4">
        <v>1326.8753333300001</v>
      </c>
      <c r="BXJ4">
        <v>1327.4178333299999</v>
      </c>
      <c r="BXK4">
        <v>1327.86475</v>
      </c>
      <c r="BXL4">
        <v>1327.9990833300001</v>
      </c>
      <c r="BXM4">
        <v>1330.9191111099999</v>
      </c>
      <c r="BXN4">
        <v>1331.0155555599999</v>
      </c>
      <c r="BXO4">
        <v>1331.78883333</v>
      </c>
      <c r="BXP4">
        <v>1332.61722222</v>
      </c>
      <c r="BXQ4">
        <v>1333.5162222199999</v>
      </c>
      <c r="BXR4">
        <v>1333.6557222199999</v>
      </c>
      <c r="BXS4">
        <v>1334.5237222200001</v>
      </c>
      <c r="BXT4">
        <v>1335.6758888899999</v>
      </c>
      <c r="BXU4">
        <v>1336.0952500000001</v>
      </c>
      <c r="BXV4">
        <v>1336.20547222</v>
      </c>
      <c r="BXW4">
        <v>1338.4211111100001</v>
      </c>
      <c r="BXX4">
        <v>1339.38469444</v>
      </c>
      <c r="BXY4">
        <v>1340.8322222199999</v>
      </c>
      <c r="BXZ4">
        <v>1341.6881666700001</v>
      </c>
      <c r="BYA4">
        <v>1341.9594166700001</v>
      </c>
      <c r="BYB4">
        <v>1342.6491666700001</v>
      </c>
      <c r="BYC4">
        <v>1343.6144722199999</v>
      </c>
      <c r="BYD4">
        <v>1346.6386944400001</v>
      </c>
      <c r="BYE4">
        <v>1347.20186111</v>
      </c>
      <c r="BYF4">
        <v>1347.56697222</v>
      </c>
      <c r="BYG4">
        <v>1352.7603333300001</v>
      </c>
      <c r="BYH4">
        <v>1355.19383333</v>
      </c>
      <c r="BYI4">
        <v>1356.2977777799999</v>
      </c>
      <c r="BYJ4">
        <v>1357.4034444399999</v>
      </c>
      <c r="BYK4">
        <v>1360.2485555600001</v>
      </c>
      <c r="BYL4">
        <v>1361.42483333</v>
      </c>
      <c r="BYM4">
        <v>1364.04605556</v>
      </c>
      <c r="BYN4">
        <v>1365.4660277800001</v>
      </c>
      <c r="BYO4">
        <v>1365.8182222200001</v>
      </c>
      <c r="BYP4">
        <v>1366.26686111</v>
      </c>
      <c r="BYQ4">
        <v>1366.60613889</v>
      </c>
      <c r="BYR4">
        <v>1368.8243611099999</v>
      </c>
      <c r="BYS4">
        <v>1370.0462777800001</v>
      </c>
      <c r="BYT4">
        <v>1370.28222222</v>
      </c>
      <c r="BYU4">
        <v>1370.66369444</v>
      </c>
      <c r="BYV4">
        <v>1371.0503333300001</v>
      </c>
      <c r="BYW4">
        <v>1371.0709999999999</v>
      </c>
      <c r="BYX4">
        <v>1371.56786111</v>
      </c>
      <c r="BYY4">
        <v>1371.9381388899999</v>
      </c>
      <c r="BYZ4">
        <v>1373.7404444399999</v>
      </c>
      <c r="BZA4">
        <v>1373.74130556</v>
      </c>
      <c r="BZB4">
        <v>1374.0797222199999</v>
      </c>
      <c r="BZC4">
        <v>1374.1882222199999</v>
      </c>
      <c r="BZD4">
        <v>1374.5963888900001</v>
      </c>
      <c r="BZE4">
        <v>1375.30336111</v>
      </c>
      <c r="BZF4">
        <v>1376.7095555599999</v>
      </c>
      <c r="BZG4">
        <v>1376.9127777799999</v>
      </c>
      <c r="BZH4">
        <v>1377.0118055600001</v>
      </c>
      <c r="BZI4">
        <v>1377.0118055600001</v>
      </c>
      <c r="BZJ4">
        <v>1377.3924166700001</v>
      </c>
      <c r="BZK4">
        <v>1377.47336111</v>
      </c>
      <c r="BZL4">
        <v>1377.5594722200001</v>
      </c>
      <c r="BZM4">
        <v>1378.00897222</v>
      </c>
      <c r="BZN4">
        <v>1378.3887222200001</v>
      </c>
      <c r="BZO4">
        <v>1379.2860000000001</v>
      </c>
      <c r="BZP4">
        <v>1379.76219444</v>
      </c>
      <c r="BZQ4">
        <v>1380.50102778</v>
      </c>
      <c r="BZR4">
        <v>1381.28377778</v>
      </c>
      <c r="BZS4">
        <v>1382.8062222200001</v>
      </c>
      <c r="BZT4">
        <v>1384.90216667</v>
      </c>
      <c r="BZU4">
        <v>1385.3981666699999</v>
      </c>
      <c r="BZV4">
        <v>1385.6935277800001</v>
      </c>
      <c r="BZW4">
        <v>1386.08705556</v>
      </c>
      <c r="BZX4">
        <v>1386.3712222199999</v>
      </c>
      <c r="BZY4">
        <v>1387.42608333</v>
      </c>
      <c r="BZZ4">
        <v>1387.9444722200001</v>
      </c>
      <c r="CAA4">
        <v>1389.70113889</v>
      </c>
      <c r="CAB4">
        <v>1390.6225277799999</v>
      </c>
      <c r="CAC4">
        <v>1391.19172222</v>
      </c>
      <c r="CAD4">
        <v>1391.3019444399999</v>
      </c>
      <c r="CAE4">
        <v>1392.0864166700001</v>
      </c>
      <c r="CAF4">
        <v>1392.35594444</v>
      </c>
      <c r="CAG4">
        <v>1392.55486111</v>
      </c>
      <c r="CAH4">
        <v>1394.6904166700001</v>
      </c>
      <c r="CAI4">
        <v>1396.3997222200001</v>
      </c>
      <c r="CAJ4">
        <v>1396.6055277800001</v>
      </c>
      <c r="CAK4">
        <v>1396.80358333</v>
      </c>
      <c r="CAL4">
        <v>1397.1592222199999</v>
      </c>
      <c r="CAM4">
        <v>1401.80319444</v>
      </c>
      <c r="CAN4">
        <v>1401.8677777800001</v>
      </c>
      <c r="CAO4">
        <v>1402.1665833300001</v>
      </c>
      <c r="CAP4">
        <v>1402.7874444399999</v>
      </c>
      <c r="CAQ4">
        <v>1403.59602778</v>
      </c>
      <c r="CAR4">
        <v>1403.8423055600001</v>
      </c>
      <c r="CAS4">
        <v>1405.37852778</v>
      </c>
      <c r="CAT4">
        <v>1405.37938889</v>
      </c>
      <c r="CAU4">
        <v>1406.65555556</v>
      </c>
      <c r="CAV4">
        <v>1406.6624444399999</v>
      </c>
      <c r="CAW4">
        <v>1406.67622222</v>
      </c>
      <c r="CAX4">
        <v>1406.69947222</v>
      </c>
      <c r="CAY4">
        <v>1406.73994444</v>
      </c>
      <c r="CAZ4">
        <v>1406.93541667</v>
      </c>
      <c r="CBA4">
        <v>1407.20580556</v>
      </c>
      <c r="CBB4">
        <v>1408.84966667</v>
      </c>
      <c r="CBC4">
        <v>1409.73747222</v>
      </c>
      <c r="CBD4">
        <v>1410.7708055600001</v>
      </c>
      <c r="CBE4">
        <v>1410.93958333</v>
      </c>
      <c r="CBF4">
        <v>1411.0764999999999</v>
      </c>
      <c r="CBG4">
        <v>1411.39511111</v>
      </c>
      <c r="CBH4">
        <v>1411.4571111099999</v>
      </c>
      <c r="CBI4">
        <v>1411.6233055600001</v>
      </c>
      <c r="CBJ4">
        <v>1411.8394444400001</v>
      </c>
      <c r="CBK4">
        <v>1411.9755</v>
      </c>
      <c r="CBL4">
        <v>1412.00219444</v>
      </c>
      <c r="CBM4">
        <v>1412.0685000000001</v>
      </c>
      <c r="CBN4">
        <v>1412.63080556</v>
      </c>
      <c r="CBO4">
        <v>1412.67213889</v>
      </c>
      <c r="CBP4">
        <v>1412.7789166699999</v>
      </c>
      <c r="CBQ4">
        <v>1412.82025</v>
      </c>
      <c r="CBR4">
        <v>1413.44197222</v>
      </c>
      <c r="CBS4">
        <v>1413.59697222</v>
      </c>
      <c r="CBT4">
        <v>1413.6030000000001</v>
      </c>
      <c r="CBU4">
        <v>1413.87511111</v>
      </c>
      <c r="CBV4">
        <v>1414.4511944400001</v>
      </c>
      <c r="CBW4">
        <v>1414.52266667</v>
      </c>
      <c r="CBX4">
        <v>1414.53816667</v>
      </c>
      <c r="CBY4">
        <v>1414.65269444</v>
      </c>
      <c r="CBZ4">
        <v>1415.0401944400001</v>
      </c>
      <c r="CCA4">
        <v>1415.79108333</v>
      </c>
      <c r="CCB4">
        <v>1416.2664166699999</v>
      </c>
      <c r="CCC4">
        <v>1416.9527222199999</v>
      </c>
      <c r="CCD4">
        <v>1417.32041667</v>
      </c>
      <c r="CCE4">
        <v>1417.75786111</v>
      </c>
      <c r="CCF4">
        <v>1417.97744444</v>
      </c>
      <c r="CCG4">
        <v>1418.1582777799999</v>
      </c>
      <c r="CCH4">
        <v>1418.1935833299999</v>
      </c>
      <c r="CCI4">
        <v>1419.66952778</v>
      </c>
      <c r="CCJ4">
        <v>1420.25336111</v>
      </c>
      <c r="CCK4">
        <v>1420.6176111100001</v>
      </c>
      <c r="CCL4">
        <v>1421.8360833300001</v>
      </c>
      <c r="CCM4">
        <v>1421.8386666700001</v>
      </c>
      <c r="CCN4">
        <v>1422.80827778</v>
      </c>
      <c r="CCO4">
        <v>1422.83152778</v>
      </c>
      <c r="CCP4">
        <v>1422.8676944399999</v>
      </c>
      <c r="CCQ4">
        <v>1423.04938889</v>
      </c>
      <c r="CCR4">
        <v>1425.1195</v>
      </c>
      <c r="CCS4">
        <v>1425.3778333299999</v>
      </c>
      <c r="CCT4">
        <v>1425.5130277799999</v>
      </c>
      <c r="CCU4">
        <v>1425.9168888900001</v>
      </c>
      <c r="CCV4">
        <v>1426.2639166700001</v>
      </c>
      <c r="CCW4">
        <v>1426.41202778</v>
      </c>
      <c r="CCX4">
        <v>1426.4662777799999</v>
      </c>
      <c r="CCY4">
        <v>1426.6109444399999</v>
      </c>
      <c r="CCZ4">
        <v>1426.73580556</v>
      </c>
      <c r="CDA4">
        <v>1426.77111111</v>
      </c>
      <c r="CDB4">
        <v>1428.67416667</v>
      </c>
      <c r="CDC4">
        <v>1429.54475</v>
      </c>
      <c r="CDD4">
        <v>1429.80136111</v>
      </c>
      <c r="CDE4">
        <v>1431.19636111</v>
      </c>
      <c r="CDF4">
        <v>1431.70097222</v>
      </c>
      <c r="CDG4">
        <v>1432.09794444</v>
      </c>
      <c r="CDH4">
        <v>1432.36488889</v>
      </c>
      <c r="CDI4">
        <v>1432.5448611100001</v>
      </c>
      <c r="CDJ4">
        <v>1433.3586111100001</v>
      </c>
      <c r="CDK4">
        <v>1433.91747222</v>
      </c>
      <c r="CDL4">
        <v>1434.2688055599999</v>
      </c>
      <c r="CDM4">
        <v>1434.4970000000001</v>
      </c>
      <c r="CDN4">
        <v>1435.3934166700001</v>
      </c>
      <c r="CDO4">
        <v>1435.9273055599999</v>
      </c>
      <c r="CDP4">
        <v>1436.357</v>
      </c>
      <c r="CDQ4">
        <v>1436.70316667</v>
      </c>
      <c r="CDR4">
        <v>1436.73072222</v>
      </c>
      <c r="CDS4">
        <v>1436.84611111</v>
      </c>
      <c r="CDT4">
        <v>1437.28872222</v>
      </c>
      <c r="CDU4">
        <v>1437.4325277800001</v>
      </c>
      <c r="CDV4">
        <v>1437.7046388900001</v>
      </c>
      <c r="CDW4">
        <v>1437.7985000000001</v>
      </c>
      <c r="CDX4">
        <v>1437.95608333</v>
      </c>
      <c r="CDY4">
        <v>1438.36597222</v>
      </c>
      <c r="CDZ4">
        <v>1438.38922222</v>
      </c>
      <c r="CEA4">
        <v>1438.5166666699999</v>
      </c>
      <c r="CEB4">
        <v>1439.58616667</v>
      </c>
      <c r="CEC4">
        <v>1439.9392222199999</v>
      </c>
      <c r="CED4">
        <v>1440.45847222</v>
      </c>
      <c r="CEE4">
        <v>1440.7409166699999</v>
      </c>
      <c r="CEF4">
        <v>1441.1594166699999</v>
      </c>
      <c r="CEG4">
        <v>1442.08080556</v>
      </c>
      <c r="CEH4">
        <v>1442.278</v>
      </c>
      <c r="CEI4">
        <v>1442.49844444</v>
      </c>
      <c r="CEJ4">
        <v>1442.5845555599999</v>
      </c>
      <c r="CEK4">
        <v>1442.92297222</v>
      </c>
      <c r="CEL4">
        <v>1443.1063888900001</v>
      </c>
      <c r="CEM4">
        <v>1443.1623611099999</v>
      </c>
      <c r="CEN4">
        <v>1443.2303888900001</v>
      </c>
      <c r="CEO4">
        <v>1443.5059444399999</v>
      </c>
      <c r="CEP4">
        <v>1443.57913889</v>
      </c>
      <c r="CEQ4">
        <v>1443.6549166699999</v>
      </c>
      <c r="CER4">
        <v>1444.15091667</v>
      </c>
      <c r="CES4">
        <v>1445.7190000000001</v>
      </c>
      <c r="CET4">
        <v>1445.9506388899999</v>
      </c>
      <c r="CEU4">
        <v>1446.6636388899999</v>
      </c>
      <c r="CEV4">
        <v>1447.29913889</v>
      </c>
      <c r="CEW4">
        <v>1447.3378888899999</v>
      </c>
      <c r="CEX4">
        <v>1447.72452778</v>
      </c>
      <c r="CEY4">
        <v>1447.92172222</v>
      </c>
      <c r="CEZ4">
        <v>1448.0422777799999</v>
      </c>
      <c r="CFA4">
        <v>1448.0595000000001</v>
      </c>
      <c r="CFB4">
        <v>1448.18522222</v>
      </c>
      <c r="CFC4">
        <v>1448.47111111</v>
      </c>
      <c r="CFD4">
        <v>1448.9447222199999</v>
      </c>
      <c r="CFE4">
        <v>1449.42091667</v>
      </c>
      <c r="CFF4">
        <v>1449.5414722200001</v>
      </c>
      <c r="CFG4">
        <v>1449.6758055600001</v>
      </c>
      <c r="CFH4">
        <v>1451.69511111</v>
      </c>
      <c r="CFI4">
        <v>1452.33491667</v>
      </c>
      <c r="CFJ4">
        <v>1452.59583333</v>
      </c>
      <c r="CFK4">
        <v>1453.66275</v>
      </c>
      <c r="CFL4">
        <v>1455.78108333</v>
      </c>
      <c r="CFM4">
        <v>1457.55841667</v>
      </c>
      <c r="CFN4">
        <v>1458.2059722199999</v>
      </c>
      <c r="CFO4">
        <v>1458.52113889</v>
      </c>
      <c r="CFP4">
        <v>1459.5295000000001</v>
      </c>
      <c r="CFQ4">
        <v>1459.84122222</v>
      </c>
      <c r="CFR4">
        <v>1459.92819444</v>
      </c>
      <c r="CFS4">
        <v>1461.26463889</v>
      </c>
      <c r="CFT4">
        <v>1461.46097222</v>
      </c>
      <c r="CFU4">
        <v>1462.19980556</v>
      </c>
      <c r="CFV4">
        <v>1462.40044444</v>
      </c>
      <c r="CFW4">
        <v>1462.99116667</v>
      </c>
      <c r="CFX4">
        <v>1463.2159166700001</v>
      </c>
      <c r="CFY4">
        <v>1463.4682222199999</v>
      </c>
      <c r="CFZ4">
        <v>1464.51016667</v>
      </c>
      <c r="CGA4">
        <v>1464.67980556</v>
      </c>
      <c r="CGB4">
        <v>1465.8956944399999</v>
      </c>
      <c r="CGC4">
        <v>1467.00480556</v>
      </c>
      <c r="CGD4">
        <v>1467.0142777799999</v>
      </c>
      <c r="CGE4">
        <v>1467.10469444</v>
      </c>
      <c r="CGF4">
        <v>1467.5421388899999</v>
      </c>
      <c r="CGG4">
        <v>1468.66933333</v>
      </c>
      <c r="CGH4">
        <v>1470.0720833299999</v>
      </c>
      <c r="CGI4">
        <v>1470.19608333</v>
      </c>
      <c r="CGJ4">
        <v>1470.6309444399999</v>
      </c>
      <c r="CGK4">
        <v>1470.7093055600001</v>
      </c>
      <c r="CGL4">
        <v>1470.75236111</v>
      </c>
      <c r="CGM4">
        <v>1471.5583611100001</v>
      </c>
      <c r="CGN4">
        <v>1471.79</v>
      </c>
      <c r="CGO4">
        <v>1472.64852778</v>
      </c>
      <c r="CGP4">
        <v>1472.94905556</v>
      </c>
      <c r="CGQ4">
        <v>1473.64483333</v>
      </c>
      <c r="CGR4">
        <v>1473.96086111</v>
      </c>
      <c r="CGS4">
        <v>1474.2545</v>
      </c>
      <c r="CGT4">
        <v>1474.3957222199999</v>
      </c>
      <c r="CGU4">
        <v>1474.5610555600001</v>
      </c>
      <c r="CGV4">
        <v>1474.8090555599999</v>
      </c>
      <c r="CGW4">
        <v>1475.0553333299999</v>
      </c>
      <c r="CGX4">
        <v>1475.13713889</v>
      </c>
      <c r="CGY4">
        <v>1475.2025833299999</v>
      </c>
      <c r="CGZ4">
        <v>1475.4032222200001</v>
      </c>
      <c r="CHA4">
        <v>1475.69944444</v>
      </c>
      <c r="CHB4">
        <v>1476.1721944400001</v>
      </c>
      <c r="CHC4">
        <v>1476.6001666699999</v>
      </c>
      <c r="CHD4">
        <v>1477.35794444</v>
      </c>
      <c r="CHE4">
        <v>1477.5241388899999</v>
      </c>
      <c r="CHF4">
        <v>1477.6300555600001</v>
      </c>
      <c r="CHG4">
        <v>1477.79194444</v>
      </c>
      <c r="CHH4">
        <v>1477.96675</v>
      </c>
      <c r="CHI4">
        <v>1478.0141111099999</v>
      </c>
      <c r="CHJ4">
        <v>1478.5195833299999</v>
      </c>
      <c r="CHK4">
        <v>1479.0784444400001</v>
      </c>
      <c r="CHL4">
        <v>1479.2256944400001</v>
      </c>
      <c r="CHM4">
        <v>1479.8207222200001</v>
      </c>
      <c r="CHN4">
        <v>1480.2926111100001</v>
      </c>
      <c r="CHO4">
        <v>1482.0604722200001</v>
      </c>
      <c r="CHP4">
        <v>1482.46519444</v>
      </c>
      <c r="CHQ4">
        <v>1482.74763889</v>
      </c>
      <c r="CHR4">
        <v>1482.8389166699999</v>
      </c>
      <c r="CHS4">
        <v>1484.4311111100001</v>
      </c>
      <c r="CHT4">
        <v>1484.80138889</v>
      </c>
      <c r="CHU4">
        <v>1484.89611111</v>
      </c>
      <c r="CHV4">
        <v>1485.0468055599999</v>
      </c>
      <c r="CHW4">
        <v>1485.2861944399999</v>
      </c>
      <c r="CHX4">
        <v>1485.66508333</v>
      </c>
      <c r="CHY4">
        <v>1485.66594444</v>
      </c>
      <c r="CHZ4">
        <v>1486.23427778</v>
      </c>
      <c r="CIA4">
        <v>1486.5003611100001</v>
      </c>
      <c r="CIB4">
        <v>1487.0041111099999</v>
      </c>
      <c r="CIC4">
        <v>1487.29344444</v>
      </c>
      <c r="CID4">
        <v>1487.79375</v>
      </c>
      <c r="CIE4">
        <v>1487.9608055599999</v>
      </c>
      <c r="CIF4">
        <v>1488.9364444400001</v>
      </c>
      <c r="CIG4">
        <v>1489.84491667</v>
      </c>
      <c r="CIH4">
        <v>1490.0291944400001</v>
      </c>
      <c r="CII4">
        <v>1490.1394166699999</v>
      </c>
      <c r="CIJ4">
        <v>1490.42530556</v>
      </c>
      <c r="CIK4">
        <v>1490.51658333</v>
      </c>
      <c r="CIL4">
        <v>1490.6612500000001</v>
      </c>
      <c r="CIM4">
        <v>1490.8825555599999</v>
      </c>
      <c r="CIN4">
        <v>1491.6868333299999</v>
      </c>
      <c r="CIO4">
        <v>1492.5333055599999</v>
      </c>
      <c r="CIP4">
        <v>1493.16708333</v>
      </c>
      <c r="CIQ4">
        <v>1493.26438889</v>
      </c>
      <c r="CIR4">
        <v>1493.7001111100001</v>
      </c>
      <c r="CIS4">
        <v>1494.0686666700001</v>
      </c>
      <c r="CIT4">
        <v>1494.2727500000001</v>
      </c>
      <c r="CIU4">
        <v>1495.1459166699999</v>
      </c>
      <c r="CIV4">
        <v>1495.2940277800001</v>
      </c>
      <c r="CIW4">
        <v>1495.5471944400001</v>
      </c>
      <c r="CIX4">
        <v>1495.72802778</v>
      </c>
      <c r="CIY4">
        <v>1496.11036111</v>
      </c>
      <c r="CIZ4">
        <v>1496.6726666699999</v>
      </c>
      <c r="CJA4">
        <v>1496.86383333</v>
      </c>
      <c r="CJB4">
        <v>1497.0377777799999</v>
      </c>
      <c r="CJC4">
        <v>1497.76455556</v>
      </c>
      <c r="CJD4">
        <v>1498.5240555600001</v>
      </c>
      <c r="CJE4">
        <v>1499.42822222</v>
      </c>
      <c r="CJF4">
        <v>1499.7158333299999</v>
      </c>
      <c r="CJG4">
        <v>1499.8518888900001</v>
      </c>
      <c r="CJH4">
        <v>1500.9825277800001</v>
      </c>
      <c r="CJI4">
        <v>1501.04194444</v>
      </c>
      <c r="CJJ4">
        <v>1501.4501111100001</v>
      </c>
      <c r="CJK4">
        <v>1501.60683333</v>
      </c>
      <c r="CJL4">
        <v>1502.0528888900001</v>
      </c>
      <c r="CJM4">
        <v>1502.28797222</v>
      </c>
      <c r="CJN4">
        <v>1502.41627778</v>
      </c>
      <c r="CJO4">
        <v>1502.5945277799999</v>
      </c>
      <c r="CJP4">
        <v>1502.95963889</v>
      </c>
      <c r="CJQ4">
        <v>1503.29030556</v>
      </c>
      <c r="CJR4">
        <v>1503.9783333299999</v>
      </c>
      <c r="CJS4">
        <v>1504.4915555600001</v>
      </c>
      <c r="CJT4">
        <v>1505.05472222</v>
      </c>
      <c r="CJU4">
        <v>1505.13825</v>
      </c>
      <c r="CJV4">
        <v>1505.3552500000001</v>
      </c>
      <c r="CJW4">
        <v>1505.51025</v>
      </c>
      <c r="CJX4">
        <v>1506.5728611100001</v>
      </c>
      <c r="CJY4">
        <v>1506.7425000000001</v>
      </c>
      <c r="CJZ4">
        <v>1508.11597222</v>
      </c>
      <c r="CKA4">
        <v>1508.2442777799999</v>
      </c>
      <c r="CKB4">
        <v>1508.52672222</v>
      </c>
      <c r="CKC4">
        <v>1508.56030556</v>
      </c>
      <c r="CKD4">
        <v>1509.47480556</v>
      </c>
      <c r="CKE4">
        <v>1509.57125</v>
      </c>
      <c r="CKF4">
        <v>1510.8577499999999</v>
      </c>
      <c r="CKG4">
        <v>1510.98777778</v>
      </c>
      <c r="CKH4">
        <v>1512.12272222</v>
      </c>
      <c r="CKI4">
        <v>1512.49558333</v>
      </c>
      <c r="CKJ4">
        <v>1513.4186944400001</v>
      </c>
      <c r="CKK4">
        <v>1513.7786388899999</v>
      </c>
      <c r="CKL4">
        <v>1513.89402778</v>
      </c>
      <c r="CKM4">
        <v>1514.2462222199999</v>
      </c>
      <c r="CKN4">
        <v>1514.9299444400001</v>
      </c>
      <c r="CKO4">
        <v>1515.94519444</v>
      </c>
      <c r="CKP4">
        <v>1516.68747222</v>
      </c>
      <c r="CKQ4">
        <v>1516.78994444</v>
      </c>
      <c r="CKR4">
        <v>1516.9785277799999</v>
      </c>
      <c r="CKS4">
        <v>1517.41080556</v>
      </c>
      <c r="CKT4">
        <v>1517.4168333299999</v>
      </c>
      <c r="CKU4">
        <v>1518.12036111</v>
      </c>
      <c r="CKV4">
        <v>1518.36491667</v>
      </c>
      <c r="CKW4">
        <v>1518.7386388899999</v>
      </c>
      <c r="CKX4">
        <v>1519.2561666700001</v>
      </c>
      <c r="CKY4">
        <v>1519.49125</v>
      </c>
      <c r="CKZ4">
        <v>1520.3678611099999</v>
      </c>
      <c r="CLA4">
        <v>1520.6692499999999</v>
      </c>
      <c r="CLB4">
        <v>1521.2987222199999</v>
      </c>
      <c r="CLC4">
        <v>1521.4623333300001</v>
      </c>
      <c r="CLD4">
        <v>1521.67847222</v>
      </c>
      <c r="CLE4">
        <v>1521.77577778</v>
      </c>
      <c r="CLF4">
        <v>1522.39061111</v>
      </c>
      <c r="CLG4">
        <v>1522.46294444</v>
      </c>
      <c r="CLH4">
        <v>1522.50686111</v>
      </c>
      <c r="CLI4">
        <v>1522.6885555599999</v>
      </c>
      <c r="CLJ4">
        <v>1523.88205556</v>
      </c>
      <c r="CLK4">
        <v>1525.3752222200001</v>
      </c>
      <c r="CLL4">
        <v>1525.5775833299999</v>
      </c>
      <c r="CLM4">
        <v>1525.8307500000001</v>
      </c>
      <c r="CLN4">
        <v>1525.9254722200001</v>
      </c>
      <c r="CLO4">
        <v>1526.64966667</v>
      </c>
      <c r="CLP4">
        <v>1526.6746388900001</v>
      </c>
      <c r="CLQ4">
        <v>1526.88388889</v>
      </c>
      <c r="CLR4">
        <v>1527.0165</v>
      </c>
      <c r="CLS4">
        <v>1527.31616667</v>
      </c>
      <c r="CLT4">
        <v>1527.4289722200001</v>
      </c>
      <c r="CLU4">
        <v>1527.43413889</v>
      </c>
      <c r="CLV4">
        <v>1527.4892500000001</v>
      </c>
      <c r="CLW4">
        <v>1527.7441388899999</v>
      </c>
      <c r="CLX4">
        <v>1528.2125833299999</v>
      </c>
      <c r="CLY4">
        <v>1528.36413889</v>
      </c>
      <c r="CLZ4">
        <v>1528.4614444399999</v>
      </c>
      <c r="CMA4">
        <v>1529.00997222</v>
      </c>
      <c r="CMB4">
        <v>1529.98991667</v>
      </c>
      <c r="CMC4">
        <v>1530.68397222</v>
      </c>
      <c r="CMD4">
        <v>1531.1033333299999</v>
      </c>
      <c r="CME4">
        <v>1531.1506944400001</v>
      </c>
      <c r="CMF4">
        <v>1531.3323888899999</v>
      </c>
      <c r="CMG4">
        <v>1531.4133333299999</v>
      </c>
      <c r="CMH4">
        <v>1531.47102778</v>
      </c>
      <c r="CMI4">
        <v>1531.6716666699999</v>
      </c>
      <c r="CMJ4">
        <v>1531.8490555599999</v>
      </c>
      <c r="CMK4">
        <v>1532.06261111</v>
      </c>
      <c r="CML4">
        <v>1532.1254722199999</v>
      </c>
      <c r="CMM4">
        <v>1532.1366666700001</v>
      </c>
      <c r="CMN4">
        <v>1532.19608333</v>
      </c>
      <c r="CMO4">
        <v>1532.6412777800001</v>
      </c>
      <c r="CMP4">
        <v>1533.3646111099999</v>
      </c>
      <c r="CMQ4">
        <v>1533.4490000000001</v>
      </c>
      <c r="CMR4">
        <v>1533.8476944399999</v>
      </c>
      <c r="CMS4">
        <v>1533.9467222200001</v>
      </c>
      <c r="CMT4">
        <v>1534.13530556</v>
      </c>
      <c r="CMU4">
        <v>1534.3333611099999</v>
      </c>
      <c r="CMV4">
        <v>1535.2452777799999</v>
      </c>
      <c r="CMW4">
        <v>1535.6112499999999</v>
      </c>
      <c r="CMX4">
        <v>1535.8161944399999</v>
      </c>
      <c r="CMY4">
        <v>1535.9023055600001</v>
      </c>
      <c r="CMZ4">
        <v>1536.0977777799999</v>
      </c>
      <c r="CNA4">
        <v>1536.31994444</v>
      </c>
      <c r="CNB4">
        <v>1536.6747222199999</v>
      </c>
      <c r="CNC4">
        <v>1536.8142222199999</v>
      </c>
      <c r="CND4">
        <v>1537.06480556</v>
      </c>
      <c r="CNE4">
        <v>1537.1302499999999</v>
      </c>
      <c r="CNF4">
        <v>1537.4514444399999</v>
      </c>
      <c r="CNG4">
        <v>1537.4686666699999</v>
      </c>
      <c r="CNH4">
        <v>1537.69083333</v>
      </c>
      <c r="CNI4">
        <v>1537.71752778</v>
      </c>
      <c r="CNJ4">
        <v>1537.81138889</v>
      </c>
      <c r="CNK4">
        <v>1538.33925</v>
      </c>
      <c r="CNL4">
        <v>1538.42880556</v>
      </c>
      <c r="CNM4">
        <v>1538.5906944400001</v>
      </c>
      <c r="CNN4">
        <v>1538.88175</v>
      </c>
      <c r="CNO4">
        <v>1539.06688889</v>
      </c>
      <c r="CNP4">
        <v>1540.2138888899999</v>
      </c>
      <c r="CNQ4">
        <v>1540.58933333</v>
      </c>
      <c r="CNR4">
        <v>1540.7434722200001</v>
      </c>
      <c r="CNS4">
        <v>1541.2179444400001</v>
      </c>
      <c r="CNT4">
        <v>1542.4889444400001</v>
      </c>
      <c r="CNU4">
        <v>1542.5896944399999</v>
      </c>
      <c r="CNV4">
        <v>1542.6267222199999</v>
      </c>
      <c r="CNW4">
        <v>1543.42497222</v>
      </c>
      <c r="CNX4">
        <v>1543.8589722199999</v>
      </c>
      <c r="CNY4">
        <v>1544.1836111099999</v>
      </c>
      <c r="CNZ4">
        <v>1544.3033055599999</v>
      </c>
      <c r="COA4">
        <v>1544.5538888900001</v>
      </c>
      <c r="COB4">
        <v>1544.61158333</v>
      </c>
      <c r="COC4">
        <v>1544.6537777799999</v>
      </c>
      <c r="COD4">
        <v>1544.80361111</v>
      </c>
      <c r="COE4">
        <v>1544.93191667</v>
      </c>
      <c r="COF4">
        <v>1545.06711111</v>
      </c>
      <c r="COG4">
        <v>1545.3814166699999</v>
      </c>
      <c r="COH4">
        <v>1545.45633333</v>
      </c>
      <c r="COI4">
        <v>1545.8386666700001</v>
      </c>
      <c r="COJ4">
        <v>1545.87397222</v>
      </c>
      <c r="COK4">
        <v>1546.3432777800001</v>
      </c>
      <c r="COL4">
        <v>1546.7591944400001</v>
      </c>
      <c r="COM4">
        <v>1547.9681944399999</v>
      </c>
      <c r="CON4">
        <v>1548.0345</v>
      </c>
      <c r="COO4">
        <v>1548.0439722199999</v>
      </c>
      <c r="COP4">
        <v>1548.13525</v>
      </c>
      <c r="COQ4">
        <v>1548.1791666700001</v>
      </c>
      <c r="COR4">
        <v>1548.5933611099999</v>
      </c>
      <c r="COS4">
        <v>1548.6855</v>
      </c>
      <c r="COT4">
        <v>1548.8361944400001</v>
      </c>
      <c r="COU4">
        <v>1549.33047222</v>
      </c>
      <c r="COV4">
        <v>1549.45619444</v>
      </c>
      <c r="COW4">
        <v>1549.64305556</v>
      </c>
      <c r="COX4">
        <v>1549.9685555599999</v>
      </c>
      <c r="COY4">
        <v>1550.1821111100001</v>
      </c>
      <c r="COZ4">
        <v>1550.3844722199999</v>
      </c>
      <c r="CPA4">
        <v>1550.654</v>
      </c>
      <c r="CPB4">
        <v>1550.7246111100001</v>
      </c>
      <c r="CPC4">
        <v>1551.6838888899999</v>
      </c>
      <c r="CPD4">
        <v>1552.56997222</v>
      </c>
      <c r="CPE4">
        <v>1552.6035555599999</v>
      </c>
      <c r="CPF4">
        <v>1552.8799722199999</v>
      </c>
      <c r="CPG4">
        <v>1553.6213888899999</v>
      </c>
      <c r="CPH4">
        <v>1554.3352500000001</v>
      </c>
      <c r="CPI4">
        <v>1555.7328333299999</v>
      </c>
      <c r="CPJ4">
        <v>1555.80344444</v>
      </c>
      <c r="CPK4">
        <v>1555.84822222</v>
      </c>
      <c r="CPL4">
        <v>1556.1513333299999</v>
      </c>
      <c r="CPM4">
        <v>1556.3433611099999</v>
      </c>
      <c r="CPN4">
        <v>1556.4570277800001</v>
      </c>
      <c r="CPO4">
        <v>1558.16977778</v>
      </c>
      <c r="CPP4">
        <v>1558.3833333299999</v>
      </c>
      <c r="CPQ4">
        <v>1558.8345555599999</v>
      </c>
      <c r="CPR4">
        <v>1558.9482222199999</v>
      </c>
      <c r="CPS4">
        <v>1559.0231388899999</v>
      </c>
      <c r="CPT4">
        <v>1559.21861111</v>
      </c>
      <c r="CPU4">
        <v>1559.6009444399999</v>
      </c>
      <c r="CPV4">
        <v>1560.09177778</v>
      </c>
      <c r="CPW4">
        <v>1560.7927222200001</v>
      </c>
      <c r="CPX4">
        <v>1561.21208333</v>
      </c>
      <c r="CPY4">
        <v>1561.34038889</v>
      </c>
      <c r="CPZ4">
        <v>1561.71325</v>
      </c>
      <c r="CQA4">
        <v>1562.31602778</v>
      </c>
      <c r="CQB4">
        <v>1562.52786111</v>
      </c>
      <c r="CQC4">
        <v>1562.7035277800001</v>
      </c>
      <c r="CQD4">
        <v>1563.61630556</v>
      </c>
      <c r="CQE4">
        <v>1564.16655556</v>
      </c>
      <c r="CQF4">
        <v>1564.3000277799999</v>
      </c>
      <c r="CQG4">
        <v>1564.31811111</v>
      </c>
      <c r="CQH4">
        <v>1564.9028055599999</v>
      </c>
      <c r="CQI4">
        <v>1564.92777778</v>
      </c>
      <c r="CQJ4">
        <v>1565.1077499999999</v>
      </c>
      <c r="CQK4">
        <v>1565.9059999999999</v>
      </c>
      <c r="CQL4">
        <v>1566.0687499999999</v>
      </c>
      <c r="CQM4">
        <v>1566.48552778</v>
      </c>
      <c r="CQN4">
        <v>1566.4863888899999</v>
      </c>
      <c r="CQO4">
        <v>1566.8540833300001</v>
      </c>
      <c r="CQP4">
        <v>1567.1270555599999</v>
      </c>
      <c r="CQQ4">
        <v>1567.3018611099999</v>
      </c>
      <c r="CQR4">
        <v>1567.48786111</v>
      </c>
      <c r="CQS4">
        <v>1567.53436111</v>
      </c>
      <c r="CQT4">
        <v>1567.85813889</v>
      </c>
      <c r="CQU4">
        <v>1568.1646944399999</v>
      </c>
      <c r="CQV4">
        <v>1568.32572222</v>
      </c>
      <c r="CQW4">
        <v>1568.5048333300001</v>
      </c>
      <c r="CQX4">
        <v>1568.6383055599999</v>
      </c>
      <c r="CQY4">
        <v>1569.5261111100001</v>
      </c>
      <c r="CQZ4">
        <v>1569.6991944399999</v>
      </c>
      <c r="CRA4">
        <v>1570.02038889</v>
      </c>
      <c r="CRB4">
        <v>1570.0488055599999</v>
      </c>
      <c r="CRC4">
        <v>1570.8031388899999</v>
      </c>
      <c r="CRD4">
        <v>1571.35597222</v>
      </c>
      <c r="CRE4">
        <v>1571.48858333</v>
      </c>
      <c r="CRF4">
        <v>1571.52647222</v>
      </c>
      <c r="CRG4">
        <v>1572.22397222</v>
      </c>
      <c r="CRH4">
        <v>1572.23</v>
      </c>
      <c r="CRI4">
        <v>1572.88616667</v>
      </c>
      <c r="CRJ4">
        <v>1572.90597222</v>
      </c>
      <c r="CRK4">
        <v>1573.7481388900001</v>
      </c>
      <c r="CRL4">
        <v>1574.0331666699999</v>
      </c>
      <c r="CRM4">
        <v>1574.34919444</v>
      </c>
      <c r="CRN4">
        <v>1574.6850277799999</v>
      </c>
      <c r="CRO4">
        <v>1574.9640277799999</v>
      </c>
      <c r="CRP4">
        <v>1575.34980556</v>
      </c>
      <c r="CRQ4">
        <v>1575.77519444</v>
      </c>
      <c r="CRR4">
        <v>1576.6621388900001</v>
      </c>
      <c r="CRS4">
        <v>1576.9807499999999</v>
      </c>
      <c r="CRT4">
        <v>1577.16933333</v>
      </c>
      <c r="CRU4">
        <v>1577.4371388899999</v>
      </c>
      <c r="CRV4">
        <v>1577.69116667</v>
      </c>
      <c r="CRW4">
        <v>1577.79794444</v>
      </c>
      <c r="CRX4">
        <v>1578.10019444</v>
      </c>
      <c r="CRY4">
        <v>1578.43947222</v>
      </c>
      <c r="CRZ4">
        <v>1578.64269444</v>
      </c>
      <c r="CSA4">
        <v>1579.37119444</v>
      </c>
      <c r="CSB4">
        <v>1580.14877778</v>
      </c>
      <c r="CSC4">
        <v>1580.31066667</v>
      </c>
      <c r="CSD4">
        <v>1580.3881666699999</v>
      </c>
      <c r="CSE4">
        <v>1580.62066667</v>
      </c>
      <c r="CSF4">
        <v>1580.7162499999999</v>
      </c>
      <c r="CSG4">
        <v>1580.73002778</v>
      </c>
      <c r="CSH4">
        <v>1580.7610277799999</v>
      </c>
      <c r="CSI4">
        <v>1581.56358333</v>
      </c>
      <c r="CSJ4">
        <v>1582.4066111100001</v>
      </c>
      <c r="CSK4">
        <v>1582.45311111</v>
      </c>
      <c r="CSL4">
        <v>1582.52458333</v>
      </c>
      <c r="CSM4">
        <v>1583.3891388899999</v>
      </c>
      <c r="CSN4">
        <v>1583.4683611099999</v>
      </c>
      <c r="CSO4">
        <v>1583.4950555600001</v>
      </c>
      <c r="CSP4">
        <v>1583.61302778</v>
      </c>
      <c r="CSQ4">
        <v>1584.0608055600001</v>
      </c>
      <c r="CSR4">
        <v>1584.14175</v>
      </c>
      <c r="CSS4">
        <v>1584.2554166699999</v>
      </c>
      <c r="CST4">
        <v>1584.48877778</v>
      </c>
      <c r="CSU4">
        <v>1584.5120277799999</v>
      </c>
      <c r="CSV4">
        <v>1584.90383333</v>
      </c>
      <c r="CSW4">
        <v>1584.9735833300001</v>
      </c>
      <c r="CSX4">
        <v>1585.0751944399999</v>
      </c>
      <c r="CSY4">
        <v>1585.43858333</v>
      </c>
      <c r="CSZ4">
        <v>1585.7571944399999</v>
      </c>
      <c r="CTA4">
        <v>1585.75805556</v>
      </c>
      <c r="CTB4">
        <v>1586.44522222</v>
      </c>
      <c r="CTC4">
        <v>1586.45641667</v>
      </c>
      <c r="CTD4">
        <v>1586.76211111</v>
      </c>
      <c r="CTE4">
        <v>1586.91711111</v>
      </c>
      <c r="CTF4">
        <v>1587.3381944400001</v>
      </c>
      <c r="CTG4">
        <v>1587.3666111099999</v>
      </c>
      <c r="CTH4">
        <v>1587.37694444</v>
      </c>
      <c r="CTI4">
        <v>1587.39502778</v>
      </c>
      <c r="CTJ4">
        <v>1587.5706944399999</v>
      </c>
      <c r="CTK4">
        <v>1587.8152500000001</v>
      </c>
      <c r="CTL4">
        <v>1588.22169444</v>
      </c>
      <c r="CTM4">
        <v>1588.40597222</v>
      </c>
      <c r="CTN4">
        <v>1588.5540833299999</v>
      </c>
      <c r="CTO4">
        <v>1588.5713055599999</v>
      </c>
      <c r="CTP4">
        <v>1588.8658055599999</v>
      </c>
      <c r="CTQ4">
        <v>1589.01563889</v>
      </c>
      <c r="CTR4">
        <v>1589.3049722200001</v>
      </c>
      <c r="CTS4">
        <v>1589.45652778</v>
      </c>
      <c r="CTT4">
        <v>1589.5822499999999</v>
      </c>
      <c r="CTU4">
        <v>1589.88966667</v>
      </c>
      <c r="CTV4">
        <v>1590.6285</v>
      </c>
      <c r="CTW4">
        <v>1591.2269722200001</v>
      </c>
      <c r="CTX4">
        <v>1591.80908333</v>
      </c>
      <c r="CTY4">
        <v>1592.1802222199999</v>
      </c>
      <c r="CTZ4">
        <v>1592.40841667</v>
      </c>
      <c r="CUA4">
        <v>1592.81141667</v>
      </c>
      <c r="CUB4">
        <v>1592.86136111</v>
      </c>
      <c r="CUC4">
        <v>1593.58469444</v>
      </c>
      <c r="CUD4">
        <v>1593.7457222200001</v>
      </c>
      <c r="CUE4">
        <v>1594.1409722200001</v>
      </c>
      <c r="CUF4">
        <v>1594.70413889</v>
      </c>
      <c r="CUG4">
        <v>1595.1329722200001</v>
      </c>
      <c r="CUH4">
        <v>1595.3947499999999</v>
      </c>
      <c r="CUI4">
        <v>1595.8072222200001</v>
      </c>
      <c r="CUJ4">
        <v>1596.52969444</v>
      </c>
      <c r="CUK4">
        <v>1596.67005556</v>
      </c>
      <c r="CUL4">
        <v>1596.83797222</v>
      </c>
      <c r="CUM4">
        <v>1598.0219999999999</v>
      </c>
      <c r="CUN4">
        <v>1598.2157500000001</v>
      </c>
      <c r="CUO4">
        <v>1598.49905556</v>
      </c>
      <c r="CUP4">
        <v>1598.5085277799999</v>
      </c>
      <c r="CUQ4">
        <v>1598.5283333299999</v>
      </c>
      <c r="CUR4">
        <v>1599.2</v>
      </c>
      <c r="CUS4">
        <v>1599.3153888899999</v>
      </c>
      <c r="CUT4">
        <v>1599.3541388900001</v>
      </c>
      <c r="CUU4">
        <v>1599.8062222200001</v>
      </c>
      <c r="CUV4">
        <v>1599.8131111099999</v>
      </c>
      <c r="CUW4">
        <v>1599.98102778</v>
      </c>
      <c r="CUX4">
        <v>1600.24538889</v>
      </c>
      <c r="CUY4">
        <v>1601.5232777799999</v>
      </c>
      <c r="CUZ4">
        <v>1601.5766666699999</v>
      </c>
      <c r="CVA4">
        <v>1601.90733333</v>
      </c>
      <c r="CVB4">
        <v>1602.27761111</v>
      </c>
      <c r="CVC4">
        <v>1602.4050555599999</v>
      </c>
      <c r="CVD4">
        <v>1603.36175</v>
      </c>
      <c r="CVE4">
        <v>1603.49522222</v>
      </c>
      <c r="CVF4">
        <v>1603.5038333299999</v>
      </c>
      <c r="CVG4">
        <v>1603.70877778</v>
      </c>
      <c r="CVH4">
        <v>1605.13822222</v>
      </c>
      <c r="CVI4">
        <v>1605.4215277799999</v>
      </c>
      <c r="CVJ4">
        <v>1605.5024722200001</v>
      </c>
      <c r="CVK4">
        <v>1605.7246388900001</v>
      </c>
      <c r="CVL4">
        <v>1605.88825</v>
      </c>
      <c r="CVM4">
        <v>1606.1638055599999</v>
      </c>
      <c r="CVN4">
        <v>1606.4178333299999</v>
      </c>
      <c r="CVO4">
        <v>1606.5745555599999</v>
      </c>
      <c r="CVP4">
        <v>1606.82686111</v>
      </c>
      <c r="CVQ4">
        <v>1606.9525833299999</v>
      </c>
      <c r="CVR4">
        <v>1607.22211111</v>
      </c>
      <c r="CVS4">
        <v>1607.2272777799999</v>
      </c>
      <c r="CVT4">
        <v>1607.44858333</v>
      </c>
      <c r="CVU4">
        <v>1608.9133333299999</v>
      </c>
      <c r="CVV4">
        <v>1609.9346111100001</v>
      </c>
      <c r="CVW4">
        <v>1609.9346111100001</v>
      </c>
      <c r="CVX4">
        <v>1610.25408333</v>
      </c>
      <c r="CVY4">
        <v>1610.31694444</v>
      </c>
      <c r="CVZ4">
        <v>1610.825</v>
      </c>
      <c r="CWA4">
        <v>1611.5259444400001</v>
      </c>
      <c r="CWB4">
        <v>1611.7765277799999</v>
      </c>
      <c r="CWC4">
        <v>1612.2380833300001</v>
      </c>
      <c r="CWD4">
        <v>1612.25013889</v>
      </c>
      <c r="CWE4">
        <v>1612.41288889</v>
      </c>
      <c r="CWF4">
        <v>1612.4369999999999</v>
      </c>
      <c r="CWG4">
        <v>1614.09377778</v>
      </c>
      <c r="CWH4">
        <v>1614.6603888899999</v>
      </c>
      <c r="CWI4">
        <v>1614.7060277800001</v>
      </c>
      <c r="CWJ4">
        <v>1615.1322777800001</v>
      </c>
      <c r="CWK4">
        <v>1615.4905000000001</v>
      </c>
      <c r="CWL4">
        <v>1616.1285833300001</v>
      </c>
      <c r="CWM4">
        <v>1616.2680833300001</v>
      </c>
      <c r="CWN4">
        <v>1617.42283333</v>
      </c>
      <c r="CWO4">
        <v>1617.63036111</v>
      </c>
      <c r="CWP4">
        <v>1618.1745833299999</v>
      </c>
      <c r="CWQ4">
        <v>1618.7885555600001</v>
      </c>
      <c r="CWR4">
        <v>1618.82558333</v>
      </c>
      <c r="CWS4">
        <v>1619.08305556</v>
      </c>
      <c r="CWT4">
        <v>1619.19069444</v>
      </c>
      <c r="CWU4">
        <v>1619.1993055600001</v>
      </c>
      <c r="CWV4">
        <v>1619.48519444</v>
      </c>
      <c r="CWW4">
        <v>1619.96655556</v>
      </c>
      <c r="CWX4">
        <v>1620.00444444</v>
      </c>
      <c r="CWY4">
        <v>1620.07161111</v>
      </c>
      <c r="CWZ4">
        <v>1620.3678333299999</v>
      </c>
      <c r="CXA4">
        <v>1620.37730556</v>
      </c>
      <c r="CXB4">
        <v>1620.67525</v>
      </c>
      <c r="CXC4">
        <v>1620.74930556</v>
      </c>
      <c r="CXD4">
        <v>1620.8190555599999</v>
      </c>
      <c r="CXE4">
        <v>1621.1195833300001</v>
      </c>
      <c r="CXF4">
        <v>1621.14283333</v>
      </c>
      <c r="CXG4">
        <v>1621.5604722200001</v>
      </c>
      <c r="CXH4">
        <v>1622.0340833299999</v>
      </c>
      <c r="CXI4">
        <v>1622.58605556</v>
      </c>
      <c r="CXJ4">
        <v>1622.7091944399999</v>
      </c>
      <c r="CXK4">
        <v>1622.72211111</v>
      </c>
      <c r="CXL4">
        <v>1622.7496666699999</v>
      </c>
      <c r="CXM4">
        <v>1622.7755</v>
      </c>
      <c r="CXN4">
        <v>1623.49883333</v>
      </c>
      <c r="CXO4">
        <v>1623.5461944399999</v>
      </c>
      <c r="CXP4">
        <v>1623.5573888900001</v>
      </c>
      <c r="CXQ4">
        <v>1623.79419444</v>
      </c>
      <c r="CXR4">
        <v>1623.94661111</v>
      </c>
      <c r="CXS4">
        <v>1624.79480556</v>
      </c>
      <c r="CXT4">
        <v>1625.30802778</v>
      </c>
      <c r="CXU4">
        <v>1625.34936111</v>
      </c>
      <c r="CXV4">
        <v>1625.4414999999999</v>
      </c>
      <c r="CXW4">
        <v>1625.5095277800001</v>
      </c>
      <c r="CXX4">
        <v>1625.6412777800001</v>
      </c>
      <c r="CXY4">
        <v>1625.72222222</v>
      </c>
      <c r="CXZ4">
        <v>1626.7839722199999</v>
      </c>
      <c r="CYA4">
        <v>1626.7951666700001</v>
      </c>
      <c r="CYB4">
        <v>1626.87180556</v>
      </c>
      <c r="CYC4">
        <v>1627.0578055599999</v>
      </c>
      <c r="CYD4">
        <v>1628.1522777800001</v>
      </c>
      <c r="CYE4">
        <v>1628.6766944399999</v>
      </c>
      <c r="CYF4">
        <v>1628.80155556</v>
      </c>
      <c r="CYG4">
        <v>1629.12275</v>
      </c>
      <c r="CYH4">
        <v>1629.18216667</v>
      </c>
      <c r="CYI4">
        <v>1629.20886111</v>
      </c>
      <c r="CYJ4">
        <v>1629.5894722200001</v>
      </c>
      <c r="CYK4">
        <v>1629.8374722200001</v>
      </c>
      <c r="CYL4">
        <v>1629.9356388900001</v>
      </c>
      <c r="CYM4">
        <v>1629.9408055599999</v>
      </c>
      <c r="CYN4">
        <v>1630.3989166700001</v>
      </c>
      <c r="CYO4">
        <v>1630.5788888899999</v>
      </c>
      <c r="CYP4">
        <v>1631.2910277799999</v>
      </c>
      <c r="CYQ4">
        <v>1631.6070555599999</v>
      </c>
      <c r="CYR4">
        <v>1631.8266388899999</v>
      </c>
      <c r="CYS4">
        <v>1632.0462222199999</v>
      </c>
      <c r="CYT4">
        <v>1632.0754999999999</v>
      </c>
      <c r="CYU4">
        <v>1632.14180556</v>
      </c>
      <c r="CYV4">
        <v>1632.3097222199999</v>
      </c>
      <c r="CYW4">
        <v>1632.4139166699999</v>
      </c>
      <c r="CYX4">
        <v>1632.48108333</v>
      </c>
      <c r="CYY4">
        <v>1632.5887222199999</v>
      </c>
      <c r="CYZ4">
        <v>1632.76352778</v>
      </c>
      <c r="CZA4">
        <v>1633.09333333</v>
      </c>
      <c r="CZB4">
        <v>1633.4265833300001</v>
      </c>
      <c r="CZC4">
        <v>1633.90277778</v>
      </c>
      <c r="CZD4">
        <v>1634.46680556</v>
      </c>
      <c r="CZE4">
        <v>1634.5270833300001</v>
      </c>
      <c r="CZF4">
        <v>1634.6889722200001</v>
      </c>
      <c r="CZG4">
        <v>1634.76130556</v>
      </c>
      <c r="CZH4">
        <v>1634.78111111</v>
      </c>
      <c r="CZI4">
        <v>1635.25902778</v>
      </c>
      <c r="CZJ4">
        <v>1636.23552778</v>
      </c>
      <c r="CZK4">
        <v>1636.35177778</v>
      </c>
      <c r="CZL4">
        <v>1637.24647222</v>
      </c>
      <c r="CZM4">
        <v>1637.4471111099999</v>
      </c>
      <c r="CZN4">
        <v>1638.10586111</v>
      </c>
      <c r="CZO4">
        <v>1638.6690277800001</v>
      </c>
      <c r="CZP4">
        <v>1638.7861388900001</v>
      </c>
      <c r="CZQ4">
        <v>1639.19775</v>
      </c>
      <c r="CZR4">
        <v>1639.6351944400001</v>
      </c>
      <c r="CZS4">
        <v>1639.68944444</v>
      </c>
      <c r="CZT4">
        <v>1640.37488889</v>
      </c>
      <c r="CZU4">
        <v>1640.7374166699999</v>
      </c>
      <c r="CZV4">
        <v>1640.9380555600001</v>
      </c>
      <c r="CZW4">
        <v>1640.95958333</v>
      </c>
      <c r="CZX4">
        <v>1641.1455833299999</v>
      </c>
      <c r="CZY4">
        <v>1641.1541944400001</v>
      </c>
      <c r="CZZ4">
        <v>1641.19983333</v>
      </c>
      <c r="DAA4">
        <v>1641.4254444400001</v>
      </c>
      <c r="DAB4">
        <v>1641.5184444399999</v>
      </c>
      <c r="DAC4">
        <v>1641.7363055599999</v>
      </c>
      <c r="DAD4">
        <v>1642.1065833299999</v>
      </c>
      <c r="DAE4">
        <v>1642.4828888899999</v>
      </c>
      <c r="DAF4">
        <v>1642.8049444400001</v>
      </c>
      <c r="DAG4">
        <v>1643.1278611099999</v>
      </c>
      <c r="DAH4">
        <v>1643.3793055599999</v>
      </c>
      <c r="DAI4">
        <v>1643.55152778</v>
      </c>
      <c r="DAJ4">
        <v>1644.05786111</v>
      </c>
      <c r="DAK4">
        <v>1645.328</v>
      </c>
      <c r="DAL4">
        <v>1645.37966667</v>
      </c>
      <c r="DAM4">
        <v>1645.3908611100001</v>
      </c>
      <c r="DAN4">
        <v>1645.3968888899999</v>
      </c>
      <c r="DAO4">
        <v>1645.6698611100001</v>
      </c>
      <c r="DAP4">
        <v>1646.1848055600001</v>
      </c>
      <c r="DAQ4">
        <v>1646.3733888899999</v>
      </c>
      <c r="DAR4">
        <v>1646.7049166700001</v>
      </c>
      <c r="DAS4">
        <v>1646.7539999999999</v>
      </c>
      <c r="DAT4">
        <v>1646.96325</v>
      </c>
      <c r="DAU4">
        <v>1647.3791666699999</v>
      </c>
      <c r="DAV4">
        <v>1647.71413889</v>
      </c>
      <c r="DAW4">
        <v>1647.75805556</v>
      </c>
      <c r="DAX4">
        <v>1647.97075</v>
      </c>
      <c r="DAY4">
        <v>1648.8051666700001</v>
      </c>
      <c r="DAZ4">
        <v>1648.84391667</v>
      </c>
      <c r="DBA4">
        <v>1649.0505833300001</v>
      </c>
      <c r="DBB4">
        <v>1649.0523055599999</v>
      </c>
      <c r="DBC4">
        <v>1649.6309722200001</v>
      </c>
      <c r="DBD4">
        <v>1649.91427778</v>
      </c>
      <c r="DBE4">
        <v>1650.0288055599999</v>
      </c>
      <c r="DBF4">
        <v>1650.6815277799999</v>
      </c>
      <c r="DBG4">
        <v>1650.9570833299999</v>
      </c>
      <c r="DBH4">
        <v>1651.2705277800001</v>
      </c>
      <c r="DBI4">
        <v>1651.4393055600001</v>
      </c>
      <c r="DBJ4">
        <v>1651.4849444399999</v>
      </c>
      <c r="DBK4">
        <v>1651.5615833300001</v>
      </c>
      <c r="DBL4">
        <v>1651.76308333</v>
      </c>
      <c r="DBM4">
        <v>1652.0989166700001</v>
      </c>
      <c r="DBN4">
        <v>1653.11244444</v>
      </c>
      <c r="DBO4">
        <v>1653.357</v>
      </c>
      <c r="DBP4">
        <v>1653.8822777800001</v>
      </c>
      <c r="DBQ4">
        <v>1654.10702778</v>
      </c>
      <c r="DBR4">
        <v>1654.7528611099999</v>
      </c>
      <c r="DBS4">
        <v>1654.77008333</v>
      </c>
      <c r="DBT4">
        <v>1655.07147222</v>
      </c>
      <c r="DBU4">
        <v>1655.1196944400001</v>
      </c>
      <c r="DBV4">
        <v>1655.2023611100001</v>
      </c>
      <c r="DBW4">
        <v>1655.5321666699999</v>
      </c>
      <c r="DBX4">
        <v>1655.5743611099999</v>
      </c>
      <c r="DBY4">
        <v>1655.79480556</v>
      </c>
      <c r="DBZ4">
        <v>1655.8404444400001</v>
      </c>
      <c r="DCA4">
        <v>1655.99027778</v>
      </c>
      <c r="DCB4">
        <v>1656.2727222200001</v>
      </c>
      <c r="DCC4">
        <v>1656.66538889</v>
      </c>
      <c r="DCD4">
        <v>1656.72394444</v>
      </c>
      <c r="DCE4">
        <v>1657.59280556</v>
      </c>
      <c r="DCF4">
        <v>1657.81238889</v>
      </c>
      <c r="DCG4">
        <v>1658.26791667</v>
      </c>
      <c r="DCH4">
        <v>1658.3204444400001</v>
      </c>
      <c r="DCI4">
        <v>1658.4246388900001</v>
      </c>
      <c r="DCJ4">
        <v>1658.4961111099999</v>
      </c>
      <c r="DCK4">
        <v>1659.1428055599999</v>
      </c>
      <c r="DCL4">
        <v>1659.8454722199999</v>
      </c>
      <c r="DCM4">
        <v>1660.6867777800001</v>
      </c>
      <c r="DCN4">
        <v>1660.91411111</v>
      </c>
      <c r="DCO4">
        <v>1661.55391667</v>
      </c>
      <c r="DCP4">
        <v>1661.8165555600001</v>
      </c>
      <c r="DCQ4">
        <v>1661.96208333</v>
      </c>
      <c r="DCR4">
        <v>1662.5700277799999</v>
      </c>
      <c r="DCS4">
        <v>1663.2873333299999</v>
      </c>
      <c r="DCT4">
        <v>1663.48194444</v>
      </c>
      <c r="DCU4">
        <v>1663.69205556</v>
      </c>
      <c r="DCV4">
        <v>1663.835</v>
      </c>
      <c r="DCW4">
        <v>1664.6633888900001</v>
      </c>
      <c r="DCX4">
        <v>1665.12494444</v>
      </c>
      <c r="DCY4">
        <v>1665.7862777800001</v>
      </c>
      <c r="DCZ4">
        <v>1665.7983333300001</v>
      </c>
      <c r="DDA4">
        <v>1665.8508611100001</v>
      </c>
      <c r="DDB4">
        <v>1666.1066111099999</v>
      </c>
      <c r="DDC4">
        <v>1666.57936111</v>
      </c>
      <c r="DDD4">
        <v>1666.7248888900001</v>
      </c>
      <c r="DDE4">
        <v>1667.4421944400001</v>
      </c>
      <c r="DDF4">
        <v>1667.8908333300001</v>
      </c>
      <c r="DDG4">
        <v>1667.9924444400001</v>
      </c>
      <c r="DDH4">
        <v>1668.55561111</v>
      </c>
      <c r="DDI4">
        <v>1668.5883333300001</v>
      </c>
      <c r="DDJ4">
        <v>1668.76830556</v>
      </c>
      <c r="DDK4">
        <v>1669.1205</v>
      </c>
      <c r="DDL4">
        <v>1669.30391667</v>
      </c>
      <c r="DDM4">
        <v>1669.9833333300001</v>
      </c>
      <c r="DDN4">
        <v>1670.3785833300001</v>
      </c>
      <c r="DDO4">
        <v>1670.55941667</v>
      </c>
      <c r="DDP4">
        <v>1670.655</v>
      </c>
      <c r="DDQ4">
        <v>1671.07177778</v>
      </c>
      <c r="DDR4">
        <v>1671.3016944399999</v>
      </c>
      <c r="DDS4">
        <v>1671.3154722199999</v>
      </c>
      <c r="DDT4">
        <v>1671.492</v>
      </c>
      <c r="DDU4">
        <v>1671.8510833299999</v>
      </c>
      <c r="DDV4">
        <v>1672.1404166699999</v>
      </c>
      <c r="DDW4">
        <v>1672.3152222199999</v>
      </c>
      <c r="DDX4">
        <v>1672.3531111100001</v>
      </c>
      <c r="DDY4">
        <v>1672.35483333</v>
      </c>
      <c r="DDZ4">
        <v>1672.6545000000001</v>
      </c>
      <c r="DEA4">
        <v>1672.7862500000001</v>
      </c>
      <c r="DEB4">
        <v>1673.7610277799999</v>
      </c>
      <c r="DEC4">
        <v>1674.1347499999999</v>
      </c>
      <c r="DED4">
        <v>1674.4223611100001</v>
      </c>
      <c r="DEE4">
        <v>1675.0260000000001</v>
      </c>
      <c r="DEF4">
        <v>1675.3635555599999</v>
      </c>
      <c r="DEG4">
        <v>1676.0386666700001</v>
      </c>
      <c r="DEH4">
        <v>1676.4356388900001</v>
      </c>
      <c r="DEI4">
        <v>1676.72238889</v>
      </c>
      <c r="DEJ4">
        <v>1677.53786111</v>
      </c>
      <c r="DEK4">
        <v>1677.88316667</v>
      </c>
      <c r="DEL4">
        <v>1678.27325</v>
      </c>
      <c r="DEM4">
        <v>1678.34041667</v>
      </c>
      <c r="DEN4">
        <v>1678.3541944399999</v>
      </c>
      <c r="DEO4">
        <v>1678.46441667</v>
      </c>
      <c r="DEP4">
        <v>1678.57377778</v>
      </c>
      <c r="DEQ4">
        <v>1678.7838888900001</v>
      </c>
      <c r="DER4">
        <v>1679.34361111</v>
      </c>
      <c r="DES4">
        <v>1679.55458333</v>
      </c>
      <c r="DET4">
        <v>1679.8921388900001</v>
      </c>
      <c r="DEU4">
        <v>1680.28997222</v>
      </c>
      <c r="DEV4">
        <v>1680.37866667</v>
      </c>
      <c r="DEW4">
        <v>1681.3508611100001</v>
      </c>
      <c r="DEX4">
        <v>1681.5781944400001</v>
      </c>
      <c r="DEY4">
        <v>1681.79347222</v>
      </c>
      <c r="DEZ4">
        <v>1684.09694444</v>
      </c>
      <c r="DFA4">
        <v>1684.2424722200001</v>
      </c>
      <c r="DFB4">
        <v>1685.22758333</v>
      </c>
      <c r="DFC4">
        <v>1685.7563055600001</v>
      </c>
      <c r="DFD4">
        <v>1685.80883333</v>
      </c>
      <c r="DFE4">
        <v>1686.10161111</v>
      </c>
      <c r="DFF4">
        <v>1686.2393888900001</v>
      </c>
      <c r="DFG4">
        <v>1686.58469444</v>
      </c>
      <c r="DFH4">
        <v>1687.13063889</v>
      </c>
      <c r="DFI4">
        <v>1687.49575</v>
      </c>
      <c r="DFJ4">
        <v>1687.89616667</v>
      </c>
      <c r="DFK4">
        <v>1688.3465277800001</v>
      </c>
      <c r="DFL4">
        <v>1688.5084166700001</v>
      </c>
      <c r="DFM4">
        <v>1689.1525277799999</v>
      </c>
      <c r="DFN4">
        <v>1689.29030556</v>
      </c>
      <c r="DFO4">
        <v>1689.3204444400001</v>
      </c>
      <c r="DFP4">
        <v>1690.0532499999999</v>
      </c>
      <c r="DFQ4">
        <v>1690.79983333</v>
      </c>
      <c r="DFR4">
        <v>1691.1020833299999</v>
      </c>
      <c r="DFS4">
        <v>1691.3741944400001</v>
      </c>
      <c r="DFT4">
        <v>1691.55588889</v>
      </c>
      <c r="DFU4">
        <v>1691.65061111</v>
      </c>
      <c r="DFV4">
        <v>1693.4468888900001</v>
      </c>
      <c r="DFW4">
        <v>1693.45205556</v>
      </c>
      <c r="DFX4">
        <v>1693.4735833300001</v>
      </c>
      <c r="DFY4">
        <v>1693.4753055599999</v>
      </c>
      <c r="DFZ4">
        <v>1693.62513889</v>
      </c>
      <c r="DGA4">
        <v>1693.81458333</v>
      </c>
      <c r="DGB4">
        <v>1693.81458333</v>
      </c>
      <c r="DGC4">
        <v>1694.0126388900001</v>
      </c>
      <c r="DGD4">
        <v>1694.0909999999999</v>
      </c>
      <c r="DGE4">
        <v>1694.2313611100001</v>
      </c>
      <c r="DGF4">
        <v>1694.6179999999999</v>
      </c>
      <c r="DGG4">
        <v>1694.6489999999999</v>
      </c>
      <c r="DGH4">
        <v>1694.6989444400001</v>
      </c>
      <c r="DGI4">
        <v>1694.76783333</v>
      </c>
      <c r="DGJ4">
        <v>1694.8969999999999</v>
      </c>
      <c r="DGK4">
        <v>1695.52561111</v>
      </c>
      <c r="DGL4">
        <v>1695.5325</v>
      </c>
      <c r="DGM4">
        <v>1695.56694444</v>
      </c>
      <c r="DGN4">
        <v>1695.5815833300001</v>
      </c>
      <c r="DGO4">
        <v>1695.6392777799999</v>
      </c>
      <c r="DGP4">
        <v>1695.9906111099999</v>
      </c>
      <c r="DGQ4">
        <v>1696.27477778</v>
      </c>
      <c r="DGR4">
        <v>1696.4203055600001</v>
      </c>
      <c r="DGS4">
        <v>1696.47972222</v>
      </c>
      <c r="DGT4">
        <v>1696.95419444</v>
      </c>
      <c r="DGU4">
        <v>1696.9826111100001</v>
      </c>
      <c r="DGV4">
        <v>1697.03341667</v>
      </c>
      <c r="DGW4">
        <v>1697.16861111</v>
      </c>
      <c r="DGX4">
        <v>1698.183</v>
      </c>
      <c r="DGY4">
        <v>1699.76572222</v>
      </c>
      <c r="DGZ4">
        <v>1699.8664722200001</v>
      </c>
      <c r="DHA4">
        <v>1699.88627778</v>
      </c>
      <c r="DHB4">
        <v>1699.9698055599999</v>
      </c>
      <c r="DHC4">
        <v>1700.11275</v>
      </c>
      <c r="DHD4">
        <v>1700.5898055600001</v>
      </c>
      <c r="DHE4">
        <v>1700.61305556</v>
      </c>
      <c r="DHF4">
        <v>1700.6354444399999</v>
      </c>
      <c r="DHG4">
        <v>1701.0832222199999</v>
      </c>
      <c r="DHH4">
        <v>1702.71675</v>
      </c>
      <c r="DHI4">
        <v>1703.34794444</v>
      </c>
      <c r="DHJ4">
        <v>1704.4346666700001</v>
      </c>
      <c r="DHK4">
        <v>1704.5181944399999</v>
      </c>
      <c r="DHL4">
        <v>1704.7842777799999</v>
      </c>
      <c r="DHM4">
        <v>1705.58166667</v>
      </c>
      <c r="DHN4">
        <v>1706.11727778</v>
      </c>
      <c r="DHO4">
        <v>1707.0300555599999</v>
      </c>
      <c r="DHP4">
        <v>1707.30561111</v>
      </c>
      <c r="DHQ4">
        <v>1708.8297777800001</v>
      </c>
      <c r="DHR4">
        <v>1709.8855000000001</v>
      </c>
      <c r="DHS4">
        <v>1710.6346666699999</v>
      </c>
      <c r="DHT4">
        <v>1710.7328333299999</v>
      </c>
      <c r="DHU4">
        <v>1710.98772222</v>
      </c>
      <c r="DHV4">
        <v>1711.18836111</v>
      </c>
      <c r="DHW4">
        <v>1711.86261111</v>
      </c>
      <c r="DHX4">
        <v>1712.1648611099999</v>
      </c>
      <c r="DHY4">
        <v>1712.2793888900001</v>
      </c>
      <c r="DHZ4">
        <v>1712.3577499999999</v>
      </c>
      <c r="DIA4">
        <v>1712.9829166699999</v>
      </c>
      <c r="DIB4">
        <v>1713.78461111</v>
      </c>
      <c r="DIC4">
        <v>1714.6336666699999</v>
      </c>
      <c r="DID4">
        <v>1715.0986666700001</v>
      </c>
      <c r="DIE4">
        <v>1715.26658333</v>
      </c>
      <c r="DIF4">
        <v>1715.3578611099999</v>
      </c>
      <c r="DIG4">
        <v>1716.7373611099999</v>
      </c>
      <c r="DIH4">
        <v>1717.08266667</v>
      </c>
      <c r="DII4">
        <v>1717.4770555600001</v>
      </c>
      <c r="DIJ4">
        <v>1718.1134166700001</v>
      </c>
      <c r="DIK4">
        <v>1718.4414999999999</v>
      </c>
      <c r="DIL4">
        <v>1718.88497222</v>
      </c>
      <c r="DIM4">
        <v>1719.41972222</v>
      </c>
      <c r="DIN4">
        <v>1719.70733333</v>
      </c>
      <c r="DIO4">
        <v>1720.12583333</v>
      </c>
      <c r="DIP4">
        <v>1720.2162499999999</v>
      </c>
      <c r="DIQ4">
        <v>1720.53141667</v>
      </c>
      <c r="DIR4">
        <v>1721.02138889</v>
      </c>
      <c r="DIS4">
        <v>1721.30038889</v>
      </c>
      <c r="DIT4">
        <v>1722.0461111100001</v>
      </c>
      <c r="DIU4">
        <v>1723.2137777800001</v>
      </c>
      <c r="DIV4">
        <v>1723.28352778</v>
      </c>
      <c r="DIW4">
        <v>1723.5651111100001</v>
      </c>
      <c r="DIX4">
        <v>1723.6667222200001</v>
      </c>
      <c r="DIY4">
        <v>1723.7984722199999</v>
      </c>
      <c r="DIZ4">
        <v>1723.8320555600001</v>
      </c>
      <c r="DJA4">
        <v>1724.4201944399999</v>
      </c>
      <c r="DJB4">
        <v>1724.53902778</v>
      </c>
      <c r="DJC4">
        <v>1724.63202778</v>
      </c>
      <c r="DJD4">
        <v>1724.7543055599999</v>
      </c>
      <c r="DJE4">
        <v>1725.20983333</v>
      </c>
      <c r="DJF4">
        <v>1725.3484722200001</v>
      </c>
      <c r="DJG4">
        <v>1725.90044444</v>
      </c>
      <c r="DJH4">
        <v>1726.4326111099999</v>
      </c>
      <c r="DJI4">
        <v>1726.84163889</v>
      </c>
      <c r="DJJ4">
        <v>1726.8450833300001</v>
      </c>
      <c r="DJK4">
        <v>1726.91397222</v>
      </c>
      <c r="DJL4">
        <v>1727.26013889</v>
      </c>
      <c r="DJM4">
        <v>1727.44355556</v>
      </c>
      <c r="DJN4">
        <v>1728.1746388900001</v>
      </c>
      <c r="DJO4">
        <v>1728.7679444400001</v>
      </c>
      <c r="DJP4">
        <v>1728.95308333</v>
      </c>
      <c r="DJQ4">
        <v>1729.11497222</v>
      </c>
      <c r="DJR4">
        <v>1729.5687777799999</v>
      </c>
      <c r="DJS4">
        <v>1729.8477777799999</v>
      </c>
      <c r="DJT4">
        <v>1729.99675</v>
      </c>
      <c r="DJU4">
        <v>1730.67875</v>
      </c>
      <c r="DJV4">
        <v>1731.4012222199999</v>
      </c>
      <c r="DJW4">
        <v>1731.58291667</v>
      </c>
      <c r="DJX4">
        <v>1731.8050833299999</v>
      </c>
      <c r="DJY4">
        <v>1732.0978611099999</v>
      </c>
      <c r="DJZ4">
        <v>1732.43627778</v>
      </c>
      <c r="DKA4">
        <v>1732.56544444</v>
      </c>
      <c r="DKB4">
        <v>1733.31030556</v>
      </c>
      <c r="DKC4">
        <v>1733.3128888900001</v>
      </c>
      <c r="DKD4">
        <v>1733.3154722199999</v>
      </c>
      <c r="DKE4">
        <v>1733.43861111</v>
      </c>
      <c r="DKF4">
        <v>1733.51008333</v>
      </c>
      <c r="DKG4">
        <v>1734.49519444</v>
      </c>
      <c r="DKH4">
        <v>1734.5873333300001</v>
      </c>
      <c r="DKI4">
        <v>1734.81036111</v>
      </c>
      <c r="DKJ4">
        <v>1734.9937777800001</v>
      </c>
      <c r="DKK4">
        <v>1735.2486666699999</v>
      </c>
      <c r="DKL4">
        <v>1735.8781388899999</v>
      </c>
      <c r="DKM4">
        <v>1736.9200833299999</v>
      </c>
      <c r="DKN4">
        <v>1737.0621666699999</v>
      </c>
      <c r="DKO4">
        <v>1737.1723888900001</v>
      </c>
      <c r="DKP4">
        <v>1737.4066111100001</v>
      </c>
      <c r="DKQ4">
        <v>1737.98786111</v>
      </c>
      <c r="DKR4">
        <v>1739.0409999999999</v>
      </c>
      <c r="DKS4">
        <v>1739.22183333</v>
      </c>
      <c r="DKT4">
        <v>1739.5128888900001</v>
      </c>
      <c r="DKU4">
        <v>1739.6291388899999</v>
      </c>
      <c r="DKV4">
        <v>1739.75744444</v>
      </c>
      <c r="DKW4">
        <v>1739.8056666699999</v>
      </c>
      <c r="DKX4">
        <v>1740.04247222</v>
      </c>
      <c r="DKY4">
        <v>1740.04333333</v>
      </c>
      <c r="DKZ4">
        <v>1740.1578611100001</v>
      </c>
      <c r="DLA4">
        <v>1740.2103888900001</v>
      </c>
      <c r="DLB4">
        <v>1740.2327777800001</v>
      </c>
      <c r="DLC4">
        <v>1740.2818611099999</v>
      </c>
      <c r="DLD4">
        <v>1740.7761388900001</v>
      </c>
      <c r="DLE4">
        <v>1740.9139166699999</v>
      </c>
      <c r="DLF4">
        <v>1740.9750555600001</v>
      </c>
      <c r="DLG4">
        <v>1741.10077778</v>
      </c>
      <c r="DLH4">
        <v>1741.2368333300001</v>
      </c>
      <c r="DLI4">
        <v>1741.6983888899999</v>
      </c>
      <c r="DLJ4">
        <v>1741.7362777799999</v>
      </c>
      <c r="DLK4">
        <v>1741.7896666700001</v>
      </c>
      <c r="DLL4">
        <v>1741.9369166700001</v>
      </c>
      <c r="DLM4">
        <v>1741.9369166700001</v>
      </c>
      <c r="DLN4">
        <v>1742.0092500000001</v>
      </c>
      <c r="DLO4">
        <v>1742.5069722200001</v>
      </c>
      <c r="DLP4">
        <v>1742.7515277800001</v>
      </c>
      <c r="DLQ4">
        <v>1742.92891667</v>
      </c>
      <c r="DLR4">
        <v>1743.66947222</v>
      </c>
      <c r="DLS4">
        <v>1743.8305</v>
      </c>
      <c r="DLT4">
        <v>1743.89077778</v>
      </c>
      <c r="DLU4">
        <v>1744.29463889</v>
      </c>
      <c r="DLV4">
        <v>1744.5400555599999</v>
      </c>
      <c r="DLW4">
        <v>1744.74241667</v>
      </c>
      <c r="DLX4">
        <v>1745.5165555599999</v>
      </c>
      <c r="DLY4">
        <v>1745.9703611100001</v>
      </c>
      <c r="DLZ4">
        <v>1746.0005000000001</v>
      </c>
      <c r="DMA4">
        <v>1746.2717500000001</v>
      </c>
      <c r="DMB4">
        <v>1746.6101666699999</v>
      </c>
      <c r="DMC4">
        <v>1746.9201666700001</v>
      </c>
      <c r="DMD4">
        <v>1746.9244722200001</v>
      </c>
      <c r="DME4">
        <v>1746.9391111100001</v>
      </c>
      <c r="DMF4">
        <v>1747.1948611099999</v>
      </c>
      <c r="DMG4">
        <v>1748.30913889</v>
      </c>
      <c r="DMH4">
        <v>1748.3323888899999</v>
      </c>
      <c r="DMI4">
        <v>1749.7049999999999</v>
      </c>
      <c r="DMJ4">
        <v>1749.73083333</v>
      </c>
      <c r="DMK4">
        <v>1750.1545000000001</v>
      </c>
      <c r="DML4">
        <v>1750.25438889</v>
      </c>
      <c r="DMM4">
        <v>1750.8442500000001</v>
      </c>
      <c r="DMN4">
        <v>1750.8442500000001</v>
      </c>
      <c r="DMO4">
        <v>1751.50816667</v>
      </c>
      <c r="DMP4">
        <v>1751.68297222</v>
      </c>
      <c r="DMQ4">
        <v>1751.96541667</v>
      </c>
      <c r="DMR4">
        <v>1752.65258333</v>
      </c>
      <c r="DMS4">
        <v>1753.6333888900001</v>
      </c>
      <c r="DMT4">
        <v>1754.05361111</v>
      </c>
      <c r="DMU4">
        <v>1754.8854444399999</v>
      </c>
      <c r="DMV4">
        <v>1755.25916667</v>
      </c>
      <c r="DMW4">
        <v>1755.58725</v>
      </c>
      <c r="DMX4">
        <v>1755.72072222</v>
      </c>
      <c r="DMY4">
        <v>1756.95297222</v>
      </c>
      <c r="DMZ4">
        <v>1757.2517777800001</v>
      </c>
      <c r="DNA4">
        <v>1757.2793333300001</v>
      </c>
      <c r="DNB4">
        <v>1757.4946111100001</v>
      </c>
      <c r="DNC4">
        <v>1758.0095555600001</v>
      </c>
      <c r="DND4">
        <v>1758.8965000000001</v>
      </c>
      <c r="DNE4">
        <v>1758.8965000000001</v>
      </c>
      <c r="DNF4">
        <v>1758.9714166700001</v>
      </c>
      <c r="DNG4">
        <v>1759.5053055599999</v>
      </c>
      <c r="DNH4">
        <v>1759.6215555599999</v>
      </c>
      <c r="DNI4">
        <v>1759.9952777799999</v>
      </c>
      <c r="DNJ4">
        <v>1761.6098611100001</v>
      </c>
      <c r="DNK4">
        <v>1761.65033333</v>
      </c>
      <c r="DNL4">
        <v>1762.0929444400001</v>
      </c>
      <c r="DNM4">
        <v>1762.5631111099999</v>
      </c>
      <c r="DNN4">
        <v>1763.1951666699999</v>
      </c>
      <c r="DNO4">
        <v>1763.30366667</v>
      </c>
      <c r="DNP4">
        <v>1764.43086111</v>
      </c>
      <c r="DNQ4">
        <v>1764.6564722200001</v>
      </c>
      <c r="DNR4">
        <v>1764.79252778</v>
      </c>
      <c r="DNS4">
        <v>1764.9053333300001</v>
      </c>
      <c r="DNT4">
        <v>1765.0749722200001</v>
      </c>
      <c r="DNU4">
        <v>1765.5589166699999</v>
      </c>
      <c r="DNV4">
        <v>1765.88527778</v>
      </c>
      <c r="DNW4">
        <v>1766.7558611100001</v>
      </c>
      <c r="DNX4">
        <v>1767.3922222199999</v>
      </c>
      <c r="DNY4">
        <v>1768.29122222</v>
      </c>
      <c r="DNZ4">
        <v>1768.3618333300001</v>
      </c>
      <c r="DOA4">
        <v>1768.4582777799999</v>
      </c>
      <c r="DOB4">
        <v>1768.7803333300001</v>
      </c>
      <c r="DOC4">
        <v>1769.33575</v>
      </c>
      <c r="DOD4">
        <v>1770.9813333300001</v>
      </c>
      <c r="DOE4">
        <v>1771.47130556</v>
      </c>
      <c r="DOF4">
        <v>1771.50575</v>
      </c>
      <c r="DOG4">
        <v>1772.7405833299999</v>
      </c>
      <c r="DOH4">
        <v>1773.00408333</v>
      </c>
      <c r="DOI4">
        <v>1773.6146111099999</v>
      </c>
      <c r="DOJ4">
        <v>1774.1838055600001</v>
      </c>
      <c r="DOK4">
        <v>1775.5435</v>
      </c>
      <c r="DOL4">
        <v>1775.91205556</v>
      </c>
      <c r="DOM4">
        <v>1776.29008333</v>
      </c>
      <c r="DON4">
        <v>1776.6991111100001</v>
      </c>
      <c r="DOO4">
        <v>1776.7809166699999</v>
      </c>
      <c r="DOP4">
        <v>1777.1933888900001</v>
      </c>
      <c r="DOQ4">
        <v>1777.4637777800001</v>
      </c>
      <c r="DOR4">
        <v>1778.40411111</v>
      </c>
      <c r="DOS4">
        <v>1779.34272222</v>
      </c>
      <c r="DOT4">
        <v>1779.37286111</v>
      </c>
      <c r="DOU4">
        <v>1779.72075</v>
      </c>
      <c r="DOV4">
        <v>1779.7861944399999</v>
      </c>
      <c r="DOW4">
        <v>1779.9101944399999</v>
      </c>
      <c r="DOX4">
        <v>1779.96186111</v>
      </c>
      <c r="DOY4">
        <v>1780.6231944399999</v>
      </c>
      <c r="DOZ4">
        <v>1780.6335277799999</v>
      </c>
      <c r="DPA4">
        <v>1780.72222222</v>
      </c>
      <c r="DPB4">
        <v>1780.75236111</v>
      </c>
      <c r="DPC4">
        <v>1781.11402778</v>
      </c>
      <c r="DPD4">
        <v>1781.3611666700001</v>
      </c>
      <c r="DPE4">
        <v>1781.44555556</v>
      </c>
      <c r="DPF4">
        <v>1781.5308055600001</v>
      </c>
      <c r="DPG4">
        <v>1785.0510277799999</v>
      </c>
      <c r="DPH4">
        <v>1785.4824444400001</v>
      </c>
      <c r="DPI4">
        <v>1785.76661111</v>
      </c>
      <c r="DPJ4">
        <v>1785.83033333</v>
      </c>
      <c r="DPK4">
        <v>1786.36852778</v>
      </c>
      <c r="DPL4">
        <v>1786.6492499999999</v>
      </c>
      <c r="DPM4">
        <v>1786.8266388899999</v>
      </c>
      <c r="DPN4">
        <v>1787.16075</v>
      </c>
      <c r="DPO4">
        <v>1787.20638889</v>
      </c>
      <c r="DPP4">
        <v>1787.82036111</v>
      </c>
      <c r="DPQ4">
        <v>1787.87977778</v>
      </c>
      <c r="DPR4">
        <v>1787.9590000000001</v>
      </c>
      <c r="DPS4">
        <v>1789.2256944400001</v>
      </c>
      <c r="DPT4">
        <v>1789.3161111100001</v>
      </c>
      <c r="DPU4">
        <v>1789.9257777800001</v>
      </c>
      <c r="DPV4">
        <v>1789.98002778</v>
      </c>
      <c r="DPW4">
        <v>1790.79463889</v>
      </c>
      <c r="DPX4">
        <v>1790.8049722200001</v>
      </c>
      <c r="DPY4">
        <v>1790.9281111099999</v>
      </c>
      <c r="DPZ4">
        <v>1791.73325</v>
      </c>
      <c r="DQA4">
        <v>1791.78233333</v>
      </c>
      <c r="DQB4">
        <v>1793.43738889</v>
      </c>
      <c r="DQC4">
        <v>1793.78097222</v>
      </c>
      <c r="DQD4">
        <v>1794.35275</v>
      </c>
      <c r="DQE4">
        <v>1794.44661111</v>
      </c>
      <c r="DQF4">
        <v>1795.5531388899999</v>
      </c>
      <c r="DQG4">
        <v>1795.57897222</v>
      </c>
      <c r="DQH4">
        <v>1795.7158888900001</v>
      </c>
      <c r="DQI4">
        <v>1796.00436111</v>
      </c>
      <c r="DQJ4">
        <v>1796.2670000000001</v>
      </c>
      <c r="DQK4">
        <v>1796.30575</v>
      </c>
      <c r="DQL4">
        <v>1796.79141667</v>
      </c>
      <c r="DQM4">
        <v>1796.91369444</v>
      </c>
      <c r="DQN4">
        <v>1797.7334722200001</v>
      </c>
      <c r="DQO4">
        <v>1797.93325</v>
      </c>
      <c r="DQP4">
        <v>1797.9358333299999</v>
      </c>
      <c r="DQQ4">
        <v>1798.096</v>
      </c>
      <c r="DQR4">
        <v>1798.14508333</v>
      </c>
      <c r="DQS4">
        <v>1798.15369444</v>
      </c>
      <c r="DQT4">
        <v>1798.19761111</v>
      </c>
      <c r="DQU4">
        <v>1798.2983611100001</v>
      </c>
      <c r="DQV4">
        <v>1799.0750833300001</v>
      </c>
      <c r="DQW4">
        <v>1799.2369722200001</v>
      </c>
      <c r="DQX4">
        <v>1799.67183333</v>
      </c>
      <c r="DQY4">
        <v>1800.07483333</v>
      </c>
      <c r="DQZ4">
        <v>1801.15725</v>
      </c>
      <c r="DRA4">
        <v>1802.7304999999999</v>
      </c>
      <c r="DRB4">
        <v>1803.3444722199999</v>
      </c>
      <c r="DRC4">
        <v>1803.4727777799999</v>
      </c>
      <c r="DRD4">
        <v>1805.1519444400001</v>
      </c>
      <c r="DRE4">
        <v>1805.2371944399999</v>
      </c>
      <c r="DRF4">
        <v>1805.4481666700001</v>
      </c>
      <c r="DRG4">
        <v>1806.01219444</v>
      </c>
      <c r="DRH4">
        <v>1806.66061111</v>
      </c>
      <c r="DRI4">
        <v>1807.8721944399999</v>
      </c>
      <c r="DRJ4">
        <v>1807.99533333</v>
      </c>
      <c r="DRK4">
        <v>1808.24333333</v>
      </c>
      <c r="DRL4">
        <v>1808.5593611100001</v>
      </c>
      <c r="DRM4">
        <v>1809.6951666699999</v>
      </c>
      <c r="DRN4">
        <v>1809.7304722199999</v>
      </c>
      <c r="DRO4">
        <v>1810.7104166700001</v>
      </c>
      <c r="DRP4">
        <v>1810.85938889</v>
      </c>
      <c r="DRQ4">
        <v>1811.07380556</v>
      </c>
      <c r="DRR4">
        <v>1811.41652778</v>
      </c>
      <c r="DRS4">
        <v>1812.3163888900001</v>
      </c>
      <c r="DRT4">
        <v>1813.14133333</v>
      </c>
      <c r="DRU4">
        <v>1813.3230277800001</v>
      </c>
      <c r="DRV4">
        <v>1813.66747222</v>
      </c>
      <c r="DRW4">
        <v>1816.29041667</v>
      </c>
      <c r="DRX4">
        <v>1817.4021111100001</v>
      </c>
      <c r="DRY4">
        <v>1817.4623888900001</v>
      </c>
      <c r="DRZ4">
        <v>1817.66388889</v>
      </c>
      <c r="DSA4">
        <v>1818.9417777799999</v>
      </c>
      <c r="DSB4">
        <v>1818.9943055599999</v>
      </c>
      <c r="DSC4">
        <v>1820.0741388900001</v>
      </c>
      <c r="DSD4">
        <v>1820.7475277799999</v>
      </c>
      <c r="DSE4">
        <v>1823.03119444</v>
      </c>
      <c r="DSF4">
        <v>1823.7381666700001</v>
      </c>
      <c r="DSG4">
        <v>1823.9181388899999</v>
      </c>
      <c r="DSH4">
        <v>1824.8240277800001</v>
      </c>
      <c r="DSI4">
        <v>1824.8378055600001</v>
      </c>
      <c r="DSJ4">
        <v>1825.09011111</v>
      </c>
      <c r="DSK4">
        <v>1825.17708333</v>
      </c>
      <c r="DSL4">
        <v>1825.3277777799999</v>
      </c>
      <c r="DSM4">
        <v>1825.6291666699999</v>
      </c>
      <c r="DSN4">
        <v>1825.70322222</v>
      </c>
      <c r="DSO4">
        <v>1825.9288333300001</v>
      </c>
      <c r="DSP4">
        <v>1826.13033333</v>
      </c>
      <c r="DSQ4">
        <v>1826.1561666699999</v>
      </c>
      <c r="DSR4">
        <v>1827.1989722200001</v>
      </c>
      <c r="DSS4">
        <v>1827.3264166700001</v>
      </c>
      <c r="DST4">
        <v>1827.7001388900001</v>
      </c>
      <c r="DSU4">
        <v>1827.8095000000001</v>
      </c>
      <c r="DSV4">
        <v>1828.25125</v>
      </c>
      <c r="DSW4">
        <v>1829.41719444</v>
      </c>
      <c r="DSX4">
        <v>1829.71083333</v>
      </c>
      <c r="DSY4">
        <v>1829.80125</v>
      </c>
      <c r="DSZ4">
        <v>1830.30241667</v>
      </c>
      <c r="DTA4">
        <v>1830.5374999999999</v>
      </c>
      <c r="DTB4">
        <v>1830.58486111</v>
      </c>
      <c r="DTC4">
        <v>1831.2849444399999</v>
      </c>
      <c r="DTD4">
        <v>1831.6052777800001</v>
      </c>
      <c r="DTE4">
        <v>1832.08147222</v>
      </c>
      <c r="DTF4">
        <v>1832.19858333</v>
      </c>
      <c r="DTG4">
        <v>1832.82375</v>
      </c>
      <c r="DTH4">
        <v>1833.4230833300001</v>
      </c>
      <c r="DTI4">
        <v>1835.1031111100001</v>
      </c>
      <c r="DTJ4">
        <v>1835.9547500000001</v>
      </c>
      <c r="DTK4">
        <v>1835.99436111</v>
      </c>
      <c r="DTL4">
        <v>1836.1915555600001</v>
      </c>
      <c r="DTM4">
        <v>1836.8106944399999</v>
      </c>
      <c r="DTN4">
        <v>1837.29894444</v>
      </c>
      <c r="DTO4">
        <v>1837.61066667</v>
      </c>
      <c r="DTP4">
        <v>1838.42527778</v>
      </c>
      <c r="DTQ4">
        <v>1838.5355</v>
      </c>
      <c r="DTR4">
        <v>1840.4316666699999</v>
      </c>
      <c r="DTS4">
        <v>1841.0086111099999</v>
      </c>
      <c r="DTT4">
        <v>1842.4053333300001</v>
      </c>
      <c r="DTU4">
        <v>1842.4079166700001</v>
      </c>
      <c r="DTV4">
        <v>1843.4670833299999</v>
      </c>
      <c r="DTW4">
        <v>1843.5213333300001</v>
      </c>
      <c r="DTX4">
        <v>1843.8227222200001</v>
      </c>
      <c r="DTY4">
        <v>1844.6803888899999</v>
      </c>
      <c r="DTZ4">
        <v>1844.95508333</v>
      </c>
      <c r="DUA4">
        <v>1845.3107222199999</v>
      </c>
      <c r="DUB4">
        <v>1845.63105556</v>
      </c>
      <c r="DUC4">
        <v>1846.3698888900001</v>
      </c>
      <c r="DUD4">
        <v>1846.6936666700001</v>
      </c>
      <c r="DUE4">
        <v>1847.96983333</v>
      </c>
      <c r="DUF4">
        <v>1848.7396666699999</v>
      </c>
      <c r="DUG4">
        <v>1849.50777778</v>
      </c>
      <c r="DUH4">
        <v>1849.7308055599999</v>
      </c>
      <c r="DUI4">
        <v>1849.8823611099999</v>
      </c>
      <c r="DUJ4">
        <v>1850.9604722199999</v>
      </c>
      <c r="DUK4">
        <v>1851.01902778</v>
      </c>
      <c r="DUL4">
        <v>1851.03022222</v>
      </c>
      <c r="DUM4">
        <v>1851.59855556</v>
      </c>
      <c r="DUN4">
        <v>1852.0799166700001</v>
      </c>
      <c r="DUO4">
        <v>1852.65513889</v>
      </c>
      <c r="DUP4">
        <v>1853.4180833299999</v>
      </c>
      <c r="DUQ4">
        <v>1853.4818055600001</v>
      </c>
      <c r="DUR4">
        <v>1853.5963333300001</v>
      </c>
      <c r="DUS4">
        <v>1853.6135555599999</v>
      </c>
      <c r="DUT4">
        <v>1853.67986111</v>
      </c>
      <c r="DUU4">
        <v>1854.4169722199999</v>
      </c>
      <c r="DUV4">
        <v>1854.5315000000001</v>
      </c>
      <c r="DUW4">
        <v>1854.5349444399999</v>
      </c>
      <c r="DUX4">
        <v>1855.89033333</v>
      </c>
      <c r="DUY4">
        <v>1856.4526388899999</v>
      </c>
      <c r="DUZ4">
        <v>1857.2069722199999</v>
      </c>
      <c r="DVA4">
        <v>1858.3746388899999</v>
      </c>
      <c r="DVB4">
        <v>1858.8465277800001</v>
      </c>
      <c r="DVC4">
        <v>1859.1780555600001</v>
      </c>
      <c r="DVD4">
        <v>1859.2417777799999</v>
      </c>
      <c r="DVE4">
        <v>1859.29688889</v>
      </c>
      <c r="DVF4">
        <v>1862.9135555600001</v>
      </c>
      <c r="DVG4">
        <v>1863.0608055600001</v>
      </c>
      <c r="DVH4">
        <v>1863.4543333300001</v>
      </c>
      <c r="DVI4">
        <v>1865.8008611099999</v>
      </c>
      <c r="DVJ4">
        <v>1866.0281944400001</v>
      </c>
      <c r="DVK4">
        <v>1866.7145</v>
      </c>
      <c r="DVL4">
        <v>1867.0029722199999</v>
      </c>
      <c r="DVM4">
        <v>1867.1700277800001</v>
      </c>
      <c r="DVN4">
        <v>1868.2033611100001</v>
      </c>
      <c r="DVO4">
        <v>1868.34372222</v>
      </c>
      <c r="DVP4">
        <v>1868.8767499999999</v>
      </c>
      <c r="DVQ4">
        <v>1869.78436111</v>
      </c>
      <c r="DVR4">
        <v>1869.83</v>
      </c>
      <c r="DVS4">
        <v>1870.7040277799999</v>
      </c>
      <c r="DVT4">
        <v>1871.0545</v>
      </c>
      <c r="DVU4">
        <v>1871.40066667</v>
      </c>
      <c r="DVV4">
        <v>1872.6656388900001</v>
      </c>
      <c r="DVW4">
        <v>1874.0881944400001</v>
      </c>
      <c r="DVX4">
        <v>1875.4358333299999</v>
      </c>
      <c r="DVY4">
        <v>1875.47113889</v>
      </c>
      <c r="DVZ4">
        <v>1876.8205</v>
      </c>
      <c r="DWA4">
        <v>1878.61247222</v>
      </c>
      <c r="DWB4">
        <v>1879.1747777800001</v>
      </c>
      <c r="DWC4">
        <v>1879.72072222</v>
      </c>
      <c r="DWD4">
        <v>1879.8585</v>
      </c>
      <c r="DWE4">
        <v>1880.4561111099999</v>
      </c>
      <c r="DWF4">
        <v>1880.63608333</v>
      </c>
      <c r="DWG4">
        <v>1881.5238888900001</v>
      </c>
      <c r="DWH4">
        <v>1882.32730556</v>
      </c>
      <c r="DWI4">
        <v>1882.3445277799999</v>
      </c>
      <c r="DWJ4">
        <v>1884.50419444</v>
      </c>
      <c r="DWK4">
        <v>1884.6772777799999</v>
      </c>
      <c r="DWL4">
        <v>1887.6558611099999</v>
      </c>
      <c r="DWM4">
        <v>1888.8975833300001</v>
      </c>
      <c r="DWN4">
        <v>1891.2527222199999</v>
      </c>
      <c r="DWO4">
        <v>1891.31558333</v>
      </c>
      <c r="DWP4">
        <v>1891.92438889</v>
      </c>
      <c r="DWQ4">
        <v>1892.6330833300001</v>
      </c>
      <c r="DWR4">
        <v>1894.14863889</v>
      </c>
      <c r="DWS4">
        <v>1896.79913889</v>
      </c>
      <c r="DWT4">
        <v>1901.3173888900001</v>
      </c>
      <c r="DWU4">
        <v>1902.7166944400001</v>
      </c>
      <c r="DWV4">
        <v>1903.7216111099999</v>
      </c>
      <c r="DWW4">
        <v>1904.2158888900001</v>
      </c>
      <c r="DWX4">
        <v>1904.76097222</v>
      </c>
      <c r="DWY4">
        <v>1905.40508333</v>
      </c>
      <c r="DWZ4">
        <v>1905.78569444</v>
      </c>
      <c r="DXA4">
        <v>1907.2874722199999</v>
      </c>
      <c r="DXB4">
        <v>1908.16494444</v>
      </c>
      <c r="DXC4">
        <v>1909.2637222200001</v>
      </c>
      <c r="DXD4">
        <v>1909.57630556</v>
      </c>
      <c r="DXE4">
        <v>1910.2126666700001</v>
      </c>
      <c r="DXF4">
        <v>1910.7164166699999</v>
      </c>
      <c r="DXG4">
        <v>1910.874</v>
      </c>
      <c r="DXH4">
        <v>1911.7265</v>
      </c>
      <c r="DXI4">
        <v>1911.8780555599999</v>
      </c>
      <c r="DXJ4">
        <v>1911.9693333299999</v>
      </c>
      <c r="DXK4">
        <v>1912.63841667</v>
      </c>
      <c r="DXL4">
        <v>1912.951</v>
      </c>
      <c r="DXM4">
        <v>1913.75872222</v>
      </c>
      <c r="DXN4">
        <v>1915.7694166700001</v>
      </c>
      <c r="DXO4">
        <v>1918.3140000000001</v>
      </c>
      <c r="DXP4">
        <v>1919.3679999999999</v>
      </c>
      <c r="DXQ4">
        <v>1924.3125</v>
      </c>
      <c r="DXR4">
        <v>1924.8877222199999</v>
      </c>
      <c r="DXS4">
        <v>1925.91933333</v>
      </c>
      <c r="DXT4">
        <v>1926.4015555599999</v>
      </c>
      <c r="DXU4">
        <v>1926.9905555600001</v>
      </c>
      <c r="DXV4">
        <v>1927.85080556</v>
      </c>
      <c r="DXW4">
        <v>1929.9613888900001</v>
      </c>
      <c r="DXX4">
        <v>1934.3341111100001</v>
      </c>
      <c r="DXY4">
        <v>1935.1220277800001</v>
      </c>
      <c r="DXZ4">
        <v>1935.7428888899999</v>
      </c>
      <c r="DYA4">
        <v>1936.9915000000001</v>
      </c>
      <c r="DYB4">
        <v>1938.89369444</v>
      </c>
      <c r="DYC4">
        <v>1938.9591388900001</v>
      </c>
      <c r="DYD4">
        <v>1939.41638889</v>
      </c>
      <c r="DYE4">
        <v>1940.5952500000001</v>
      </c>
      <c r="DYF4">
        <v>1941.7069444399999</v>
      </c>
      <c r="DYG4">
        <v>1943.7839444399999</v>
      </c>
      <c r="DYH4">
        <v>1944.91286111</v>
      </c>
      <c r="DYI4">
        <v>1945.4570833299999</v>
      </c>
      <c r="DYJ4">
        <v>1945.47</v>
      </c>
      <c r="DYK4">
        <v>1945.99786111</v>
      </c>
      <c r="DYL4">
        <v>1947.6244999999999</v>
      </c>
      <c r="DYM4">
        <v>1947.8768055600001</v>
      </c>
      <c r="DYN4">
        <v>1948.0585000000001</v>
      </c>
      <c r="DYO4">
        <v>1949.59041667</v>
      </c>
      <c r="DYP4">
        <v>1952.23230556</v>
      </c>
      <c r="DYQ4">
        <v>1953.43958333</v>
      </c>
      <c r="DYR4">
        <v>1954.2008055599999</v>
      </c>
      <c r="DYS4">
        <v>1958.18861111</v>
      </c>
      <c r="DYT4">
        <v>1961.6890277800001</v>
      </c>
      <c r="DYU4">
        <v>1962.7998611099999</v>
      </c>
      <c r="DYV4">
        <v>1962.94969444</v>
      </c>
      <c r="DYW4">
        <v>1966.40102778</v>
      </c>
      <c r="DYX4">
        <v>1967.8253055600001</v>
      </c>
      <c r="DYY4">
        <v>1968.0440277800001</v>
      </c>
      <c r="DYZ4">
        <v>1969.9918611099999</v>
      </c>
      <c r="DZA4">
        <v>1972.9325555600001</v>
      </c>
      <c r="DZB4">
        <v>1973.5026111100001</v>
      </c>
      <c r="DZC4">
        <v>1976.4682777800001</v>
      </c>
      <c r="DZD4">
        <v>1980.58266667</v>
      </c>
      <c r="DZE4">
        <v>1983.0359722200001</v>
      </c>
      <c r="DZF4">
        <v>1984.7736944400001</v>
      </c>
      <c r="DZG4">
        <v>1988.13288889</v>
      </c>
      <c r="DZH4">
        <v>1988.85019444</v>
      </c>
      <c r="DZI4">
        <v>1991.8718333300001</v>
      </c>
      <c r="DZJ4">
        <v>1992.1095</v>
      </c>
      <c r="DZK4">
        <v>1995.0260833299999</v>
      </c>
      <c r="DZL4">
        <v>1996.2609166699999</v>
      </c>
      <c r="DZM4">
        <v>1996.8120277800001</v>
      </c>
      <c r="DZN4">
        <v>2011.44058333</v>
      </c>
      <c r="DZO4">
        <v>2015.44044444</v>
      </c>
      <c r="DZP4">
        <v>2018.3432499999999</v>
      </c>
      <c r="DZQ4">
        <v>2019.16216667</v>
      </c>
      <c r="DZR4">
        <v>2023.42294444</v>
      </c>
      <c r="DZS4">
        <v>2024.16780556</v>
      </c>
      <c r="DZT4">
        <v>2025.79013889</v>
      </c>
      <c r="DZU4">
        <v>2026.5995833300001</v>
      </c>
      <c r="DZV4">
        <v>2036.0519999999999</v>
      </c>
      <c r="DZW4">
        <v>2036.76327778</v>
      </c>
      <c r="DZX4">
        <v>2037.2403333300001</v>
      </c>
      <c r="DZY4">
        <v>2039.0598611099999</v>
      </c>
      <c r="DZZ4">
        <v>2041.3211388899999</v>
      </c>
      <c r="EAA4">
        <v>2049.8358055600002</v>
      </c>
      <c r="EAB4">
        <v>2061.96886111</v>
      </c>
      <c r="EAC4">
        <v>2072.1885277800002</v>
      </c>
      <c r="EAD4">
        <v>2088.00197222</v>
      </c>
      <c r="EAE4">
        <v>2089.9575555599999</v>
      </c>
      <c r="EAF4">
        <v>2093.1936111099999</v>
      </c>
      <c r="EAG4">
        <v>2094.8168055599999</v>
      </c>
      <c r="EAH4">
        <v>2103.65611111</v>
      </c>
      <c r="EAI4">
        <v>2105.5281666699998</v>
      </c>
      <c r="EAJ4">
        <v>2121.6843333299998</v>
      </c>
      <c r="EAK4">
        <v>2125.60755556</v>
      </c>
      <c r="EAL4">
        <v>2132.6574722199998</v>
      </c>
      <c r="EAM4">
        <v>2136.5152499999999</v>
      </c>
      <c r="EAN4">
        <v>2138.3089444399998</v>
      </c>
      <c r="EAO4">
        <v>2140.8113333299998</v>
      </c>
      <c r="EAP4">
        <v>2146.37755556</v>
      </c>
      <c r="EAQ4">
        <v>2151.8335555600001</v>
      </c>
      <c r="EAR4">
        <v>2155.7395555600001</v>
      </c>
      <c r="EAS4">
        <v>2160.2526388900001</v>
      </c>
      <c r="EAT4">
        <v>2168.9808611100002</v>
      </c>
      <c r="EAU4">
        <v>2181.9216388899999</v>
      </c>
      <c r="EAV4">
        <v>2216.2799722200002</v>
      </c>
      <c r="EAW4">
        <v>2224.84630556</v>
      </c>
      <c r="EAX4">
        <v>2225.1235833300002</v>
      </c>
      <c r="EAY4">
        <v>2247.1740555599999</v>
      </c>
      <c r="EAZ4">
        <v>2281.0191666699998</v>
      </c>
      <c r="EBA4">
        <v>2290.7652222199999</v>
      </c>
      <c r="EBB4">
        <v>2362.7937222199998</v>
      </c>
      <c r="EBC4">
        <v>800</v>
      </c>
      <c r="EBD4">
        <v>800</v>
      </c>
      <c r="EBE4">
        <v>800</v>
      </c>
      <c r="EBF4">
        <v>800</v>
      </c>
      <c r="EBG4">
        <v>800</v>
      </c>
      <c r="EBH4">
        <v>800</v>
      </c>
      <c r="EBI4">
        <v>800</v>
      </c>
      <c r="EBJ4">
        <v>800</v>
      </c>
      <c r="EBK4">
        <v>800</v>
      </c>
      <c r="EBL4">
        <v>800</v>
      </c>
      <c r="EBM4">
        <v>800</v>
      </c>
      <c r="EBN4">
        <v>800</v>
      </c>
      <c r="EBO4">
        <v>800</v>
      </c>
      <c r="EBP4">
        <v>800</v>
      </c>
      <c r="EBQ4">
        <v>800</v>
      </c>
      <c r="EBR4">
        <v>800</v>
      </c>
      <c r="EBS4">
        <v>800</v>
      </c>
      <c r="EBT4">
        <v>800</v>
      </c>
      <c r="EBU4">
        <v>800</v>
      </c>
      <c r="EBV4">
        <v>800</v>
      </c>
      <c r="EBW4">
        <v>800</v>
      </c>
      <c r="EBX4">
        <v>800</v>
      </c>
      <c r="EBY4">
        <v>800</v>
      </c>
      <c r="EBZ4">
        <v>800</v>
      </c>
      <c r="ECA4">
        <v>800</v>
      </c>
      <c r="ECB4">
        <v>800</v>
      </c>
      <c r="ECC4">
        <v>800</v>
      </c>
      <c r="ECD4">
        <v>800</v>
      </c>
      <c r="ECE4">
        <v>800</v>
      </c>
      <c r="ECF4">
        <v>800</v>
      </c>
      <c r="ECG4">
        <v>800</v>
      </c>
      <c r="ECH4">
        <v>800</v>
      </c>
      <c r="ECI4">
        <v>800</v>
      </c>
      <c r="ECJ4">
        <v>1500</v>
      </c>
      <c r="ECK4">
        <v>800</v>
      </c>
      <c r="ECL4">
        <v>1500</v>
      </c>
      <c r="ECM4">
        <v>1500</v>
      </c>
      <c r="ECN4">
        <v>1500</v>
      </c>
      <c r="ECO4">
        <v>1500</v>
      </c>
      <c r="ECP4">
        <v>1500</v>
      </c>
      <c r="ECQ4">
        <v>1500</v>
      </c>
      <c r="ECR4">
        <v>1500</v>
      </c>
      <c r="ECS4">
        <v>1500</v>
      </c>
      <c r="ECT4">
        <v>1500</v>
      </c>
      <c r="ECU4">
        <v>1500</v>
      </c>
      <c r="ECV4">
        <v>800</v>
      </c>
      <c r="ECW4">
        <v>1500</v>
      </c>
      <c r="ECX4">
        <v>1500</v>
      </c>
      <c r="ECY4">
        <v>1500</v>
      </c>
      <c r="ECZ4">
        <v>1500</v>
      </c>
      <c r="EDA4">
        <v>1500</v>
      </c>
      <c r="EDB4">
        <v>800</v>
      </c>
      <c r="EDC4">
        <v>800</v>
      </c>
      <c r="EDD4">
        <v>800</v>
      </c>
      <c r="EDE4">
        <v>800</v>
      </c>
      <c r="EDG4">
        <f>SUMPRODUCT(Objective_coefficients, Decision_variables)</f>
        <v>35339.550027769001</v>
      </c>
    </row>
    <row r="6" spans="1:3493" x14ac:dyDescent="0.3">
      <c r="A6" s="2" t="s">
        <v>5268</v>
      </c>
      <c r="B6" t="s">
        <v>3491</v>
      </c>
      <c r="M6">
        <v>1</v>
      </c>
      <c r="AV6">
        <v>1</v>
      </c>
      <c r="CA6">
        <v>1</v>
      </c>
      <c r="DL6">
        <v>1</v>
      </c>
      <c r="DP6">
        <v>1</v>
      </c>
      <c r="DS6">
        <v>1</v>
      </c>
      <c r="FP6">
        <v>1</v>
      </c>
      <c r="FT6">
        <v>1</v>
      </c>
      <c r="GM6">
        <v>1</v>
      </c>
      <c r="GU6">
        <v>1</v>
      </c>
      <c r="JE6">
        <v>1</v>
      </c>
      <c r="MM6">
        <v>1</v>
      </c>
      <c r="PU6">
        <v>1</v>
      </c>
      <c r="SK6">
        <v>1</v>
      </c>
      <c r="ST6">
        <v>1</v>
      </c>
      <c r="TH6">
        <v>1</v>
      </c>
      <c r="UC6">
        <v>1</v>
      </c>
      <c r="UI6">
        <v>1</v>
      </c>
      <c r="UK6">
        <v>1</v>
      </c>
      <c r="UP6">
        <v>1</v>
      </c>
      <c r="XD6">
        <v>1</v>
      </c>
      <c r="XE6">
        <v>1</v>
      </c>
      <c r="XT6">
        <v>1</v>
      </c>
      <c r="YK6">
        <v>1</v>
      </c>
      <c r="YS6">
        <v>1</v>
      </c>
      <c r="YV6">
        <v>1</v>
      </c>
      <c r="ZA6">
        <v>1</v>
      </c>
      <c r="ZM6">
        <v>1</v>
      </c>
      <c r="ZS6">
        <v>1</v>
      </c>
      <c r="ZV6">
        <v>1</v>
      </c>
      <c r="AAA6">
        <v>1</v>
      </c>
      <c r="AAB6">
        <v>1</v>
      </c>
      <c r="AAT6">
        <v>1</v>
      </c>
      <c r="AAU6">
        <v>1</v>
      </c>
      <c r="ABO6">
        <v>1</v>
      </c>
      <c r="ACH6">
        <v>1</v>
      </c>
      <c r="ACM6">
        <v>1</v>
      </c>
      <c r="ACN6">
        <v>1</v>
      </c>
      <c r="ADS6">
        <v>1</v>
      </c>
      <c r="ADV6">
        <v>1</v>
      </c>
      <c r="ADX6">
        <v>1</v>
      </c>
      <c r="AEL6">
        <v>1</v>
      </c>
      <c r="AEN6">
        <v>1</v>
      </c>
      <c r="AES6">
        <v>1</v>
      </c>
      <c r="AEZ6">
        <v>1</v>
      </c>
      <c r="AFV6">
        <v>1</v>
      </c>
      <c r="AFZ6">
        <v>1</v>
      </c>
      <c r="AGI6">
        <v>1</v>
      </c>
      <c r="AGV6">
        <v>1</v>
      </c>
      <c r="AGX6">
        <v>1</v>
      </c>
      <c r="AHI6">
        <v>1</v>
      </c>
      <c r="AHO6">
        <v>1</v>
      </c>
      <c r="AJB6">
        <v>1</v>
      </c>
      <c r="AJF6">
        <v>1</v>
      </c>
      <c r="AJK6">
        <v>1</v>
      </c>
      <c r="AJO6">
        <v>1</v>
      </c>
      <c r="AJQ6">
        <v>1</v>
      </c>
      <c r="AJT6">
        <v>1</v>
      </c>
      <c r="AJU6">
        <v>1</v>
      </c>
      <c r="AJZ6">
        <v>1</v>
      </c>
      <c r="AKQ6">
        <v>1</v>
      </c>
      <c r="AKW6">
        <v>1</v>
      </c>
      <c r="ALD6">
        <v>1</v>
      </c>
      <c r="ALL6">
        <v>1</v>
      </c>
      <c r="ALN6">
        <v>1</v>
      </c>
      <c r="AMD6">
        <v>1</v>
      </c>
      <c r="AMW6">
        <v>1</v>
      </c>
      <c r="ANB6">
        <v>1</v>
      </c>
      <c r="ANF6">
        <v>1</v>
      </c>
      <c r="AOV6">
        <v>1</v>
      </c>
      <c r="APA6">
        <v>1</v>
      </c>
      <c r="API6">
        <v>1</v>
      </c>
      <c r="APL6">
        <v>1</v>
      </c>
      <c r="APN6">
        <v>1</v>
      </c>
      <c r="AQJ6">
        <v>1</v>
      </c>
      <c r="AQM6">
        <v>1</v>
      </c>
      <c r="AQR6">
        <v>1</v>
      </c>
      <c r="ARL6">
        <v>1</v>
      </c>
      <c r="ARS6">
        <v>1</v>
      </c>
      <c r="ASU6">
        <v>1</v>
      </c>
      <c r="ASZ6">
        <v>1</v>
      </c>
      <c r="ATC6">
        <v>1</v>
      </c>
      <c r="ATD6">
        <v>1</v>
      </c>
      <c r="ATH6">
        <v>1</v>
      </c>
      <c r="AUQ6">
        <v>1</v>
      </c>
      <c r="AUR6">
        <v>1</v>
      </c>
      <c r="AWD6">
        <v>1</v>
      </c>
      <c r="AWJ6">
        <v>1</v>
      </c>
      <c r="AWM6">
        <v>1</v>
      </c>
      <c r="AWN6">
        <v>1</v>
      </c>
      <c r="AWS6">
        <v>1</v>
      </c>
      <c r="AWV6">
        <v>1</v>
      </c>
      <c r="AXP6">
        <v>1</v>
      </c>
      <c r="AYE6">
        <v>1</v>
      </c>
      <c r="AYH6">
        <v>1</v>
      </c>
      <c r="AZM6">
        <v>1</v>
      </c>
      <c r="BAG6">
        <v>1</v>
      </c>
      <c r="BAK6">
        <v>1</v>
      </c>
      <c r="BBC6">
        <v>1</v>
      </c>
      <c r="BBO6">
        <v>1</v>
      </c>
      <c r="BBZ6">
        <v>1</v>
      </c>
      <c r="BDP6">
        <v>1</v>
      </c>
      <c r="BDT6">
        <v>1</v>
      </c>
      <c r="BEH6">
        <v>1</v>
      </c>
      <c r="BEO6">
        <v>1</v>
      </c>
      <c r="BEQ6">
        <v>1</v>
      </c>
      <c r="BEW6">
        <v>1</v>
      </c>
      <c r="BFB6">
        <v>1</v>
      </c>
      <c r="BFD6">
        <v>1</v>
      </c>
      <c r="BFH6">
        <v>1</v>
      </c>
      <c r="BFS6">
        <v>1</v>
      </c>
      <c r="BGJ6">
        <v>1</v>
      </c>
      <c r="BGL6">
        <v>1</v>
      </c>
      <c r="BGQ6">
        <v>1</v>
      </c>
      <c r="BGS6">
        <v>1</v>
      </c>
      <c r="BHC6">
        <v>1</v>
      </c>
      <c r="BHG6">
        <v>1</v>
      </c>
      <c r="BHP6">
        <v>1</v>
      </c>
      <c r="BHW6">
        <v>1</v>
      </c>
      <c r="BIB6">
        <v>1</v>
      </c>
      <c r="BIT6">
        <v>1</v>
      </c>
      <c r="BJG6">
        <v>1</v>
      </c>
      <c r="BJK6">
        <v>1</v>
      </c>
      <c r="BJW6">
        <v>1</v>
      </c>
      <c r="BJX6">
        <v>1</v>
      </c>
      <c r="BKJ6">
        <v>1</v>
      </c>
      <c r="BKL6">
        <v>1</v>
      </c>
      <c r="BKT6">
        <v>1</v>
      </c>
      <c r="BKV6">
        <v>1</v>
      </c>
      <c r="BKW6">
        <v>1</v>
      </c>
      <c r="BKX6">
        <v>1</v>
      </c>
      <c r="BLD6">
        <v>1</v>
      </c>
      <c r="BLH6">
        <v>1</v>
      </c>
      <c r="BLK6">
        <v>1</v>
      </c>
      <c r="BLM6">
        <v>1</v>
      </c>
      <c r="BLY6">
        <v>1</v>
      </c>
      <c r="BMC6">
        <v>1</v>
      </c>
      <c r="BME6">
        <v>1</v>
      </c>
      <c r="BMR6">
        <v>1</v>
      </c>
      <c r="BMV6">
        <v>1</v>
      </c>
      <c r="BNM6">
        <v>1</v>
      </c>
      <c r="BOV6">
        <v>1</v>
      </c>
      <c r="BQA6">
        <v>1</v>
      </c>
      <c r="BRL6">
        <v>1</v>
      </c>
      <c r="BRP6">
        <v>1</v>
      </c>
      <c r="BRS6">
        <v>1</v>
      </c>
      <c r="BTP6">
        <v>1</v>
      </c>
      <c r="BTT6">
        <v>1</v>
      </c>
      <c r="BUM6">
        <v>1</v>
      </c>
      <c r="BUU6">
        <v>1</v>
      </c>
      <c r="BXE6">
        <v>1</v>
      </c>
      <c r="CAM6">
        <v>1</v>
      </c>
      <c r="CDU6">
        <v>1</v>
      </c>
      <c r="CGK6">
        <v>1</v>
      </c>
      <c r="CGT6">
        <v>1</v>
      </c>
      <c r="CHH6">
        <v>1</v>
      </c>
      <c r="CIC6">
        <v>1</v>
      </c>
      <c r="CII6">
        <v>1</v>
      </c>
      <c r="CIK6">
        <v>1</v>
      </c>
      <c r="CIP6">
        <v>1</v>
      </c>
      <c r="CLD6">
        <v>1</v>
      </c>
      <c r="CLE6">
        <v>1</v>
      </c>
      <c r="CLT6">
        <v>1</v>
      </c>
      <c r="CMK6">
        <v>1</v>
      </c>
      <c r="CMS6">
        <v>1</v>
      </c>
      <c r="CMV6">
        <v>1</v>
      </c>
      <c r="CNA6">
        <v>1</v>
      </c>
      <c r="CNM6">
        <v>1</v>
      </c>
      <c r="CNS6">
        <v>1</v>
      </c>
      <c r="CNV6">
        <v>1</v>
      </c>
      <c r="COA6">
        <v>1</v>
      </c>
      <c r="COB6">
        <v>1</v>
      </c>
      <c r="COT6">
        <v>1</v>
      </c>
      <c r="COU6">
        <v>1</v>
      </c>
      <c r="CPO6">
        <v>1</v>
      </c>
      <c r="CQH6">
        <v>1</v>
      </c>
      <c r="CQM6">
        <v>1</v>
      </c>
      <c r="CQN6">
        <v>1</v>
      </c>
      <c r="CRS6">
        <v>1</v>
      </c>
      <c r="CRV6">
        <v>1</v>
      </c>
      <c r="CRX6">
        <v>1</v>
      </c>
      <c r="CSL6">
        <v>1</v>
      </c>
      <c r="CSN6">
        <v>1</v>
      </c>
      <c r="CSS6">
        <v>1</v>
      </c>
      <c r="CSZ6">
        <v>1</v>
      </c>
      <c r="CTV6">
        <v>1</v>
      </c>
      <c r="CTZ6">
        <v>1</v>
      </c>
      <c r="CUI6">
        <v>1</v>
      </c>
      <c r="CUV6">
        <v>1</v>
      </c>
      <c r="CUX6">
        <v>1</v>
      </c>
      <c r="CVI6">
        <v>1</v>
      </c>
      <c r="CVO6">
        <v>1</v>
      </c>
      <c r="CXB6">
        <v>1</v>
      </c>
      <c r="CXF6">
        <v>1</v>
      </c>
      <c r="CXK6">
        <v>1</v>
      </c>
      <c r="CXO6">
        <v>1</v>
      </c>
      <c r="CXQ6">
        <v>1</v>
      </c>
      <c r="CXT6">
        <v>1</v>
      </c>
      <c r="CXU6">
        <v>1</v>
      </c>
      <c r="CXZ6">
        <v>1</v>
      </c>
      <c r="CYQ6">
        <v>1</v>
      </c>
      <c r="CYW6">
        <v>1</v>
      </c>
      <c r="CZD6">
        <v>1</v>
      </c>
      <c r="CZL6">
        <v>1</v>
      </c>
      <c r="CZN6">
        <v>1</v>
      </c>
      <c r="DAD6">
        <v>1</v>
      </c>
      <c r="DAW6">
        <v>1</v>
      </c>
      <c r="DBB6">
        <v>1</v>
      </c>
      <c r="DBF6">
        <v>1</v>
      </c>
      <c r="DCV6">
        <v>1</v>
      </c>
      <c r="DDA6">
        <v>1</v>
      </c>
      <c r="DDI6">
        <v>1</v>
      </c>
      <c r="DDL6">
        <v>1</v>
      </c>
      <c r="DDN6">
        <v>1</v>
      </c>
      <c r="DEJ6">
        <v>1</v>
      </c>
      <c r="DEM6">
        <v>1</v>
      </c>
      <c r="DER6">
        <v>1</v>
      </c>
      <c r="DFL6">
        <v>1</v>
      </c>
      <c r="DFS6">
        <v>1</v>
      </c>
      <c r="DGU6">
        <v>1</v>
      </c>
      <c r="DGZ6">
        <v>1</v>
      </c>
      <c r="DHC6">
        <v>1</v>
      </c>
      <c r="DHD6">
        <v>1</v>
      </c>
      <c r="DHH6">
        <v>1</v>
      </c>
      <c r="DIQ6">
        <v>1</v>
      </c>
      <c r="DIR6">
        <v>1</v>
      </c>
      <c r="DKD6">
        <v>1</v>
      </c>
      <c r="DKJ6">
        <v>1</v>
      </c>
      <c r="DKM6">
        <v>1</v>
      </c>
      <c r="DKN6">
        <v>1</v>
      </c>
      <c r="DKS6">
        <v>1</v>
      </c>
      <c r="DKV6">
        <v>1</v>
      </c>
      <c r="DLP6">
        <v>1</v>
      </c>
      <c r="DME6">
        <v>1</v>
      </c>
      <c r="DMH6">
        <v>1</v>
      </c>
      <c r="DNM6">
        <v>1</v>
      </c>
      <c r="DOG6">
        <v>1</v>
      </c>
      <c r="DOK6">
        <v>1</v>
      </c>
      <c r="DPC6">
        <v>1</v>
      </c>
      <c r="DPO6">
        <v>1</v>
      </c>
      <c r="DPZ6">
        <v>1</v>
      </c>
      <c r="DRP6">
        <v>1</v>
      </c>
      <c r="DRT6">
        <v>1</v>
      </c>
      <c r="DSH6">
        <v>1</v>
      </c>
      <c r="DSO6">
        <v>1</v>
      </c>
      <c r="DSQ6">
        <v>1</v>
      </c>
      <c r="DSW6">
        <v>1</v>
      </c>
      <c r="DTB6">
        <v>1</v>
      </c>
      <c r="DTD6">
        <v>1</v>
      </c>
      <c r="DTH6">
        <v>1</v>
      </c>
      <c r="DTS6">
        <v>1</v>
      </c>
      <c r="DUJ6">
        <v>1</v>
      </c>
      <c r="DUL6">
        <v>1</v>
      </c>
      <c r="DUQ6">
        <v>1</v>
      </c>
      <c r="DUS6">
        <v>1</v>
      </c>
      <c r="DVC6">
        <v>1</v>
      </c>
      <c r="DVG6">
        <v>1</v>
      </c>
      <c r="DVP6">
        <v>1</v>
      </c>
      <c r="DVW6">
        <v>1</v>
      </c>
      <c r="DWB6">
        <v>1</v>
      </c>
      <c r="DWT6">
        <v>1</v>
      </c>
      <c r="DXG6">
        <v>1</v>
      </c>
      <c r="DXK6">
        <v>1</v>
      </c>
      <c r="DXW6">
        <v>1</v>
      </c>
      <c r="DXX6">
        <v>1</v>
      </c>
      <c r="DYJ6">
        <v>1</v>
      </c>
      <c r="DYL6">
        <v>1</v>
      </c>
      <c r="DYT6">
        <v>1</v>
      </c>
      <c r="DYV6">
        <v>1</v>
      </c>
      <c r="DYW6">
        <v>1</v>
      </c>
      <c r="DYX6">
        <v>1</v>
      </c>
      <c r="DZD6">
        <v>1</v>
      </c>
      <c r="DZH6">
        <v>1</v>
      </c>
      <c r="DZK6">
        <v>1</v>
      </c>
      <c r="DZM6">
        <v>1</v>
      </c>
      <c r="DZY6">
        <v>1</v>
      </c>
      <c r="EAC6">
        <v>1</v>
      </c>
      <c r="EAE6">
        <v>1</v>
      </c>
      <c r="EAR6">
        <v>1</v>
      </c>
      <c r="EAV6">
        <v>1</v>
      </c>
      <c r="EBC6">
        <v>1</v>
      </c>
      <c r="EDG6">
        <f>SUMPRODUCT(Constraint_0,Decision_variables)</f>
        <v>1</v>
      </c>
      <c r="EDH6" t="s">
        <v>5264</v>
      </c>
      <c r="EDI6">
        <v>1</v>
      </c>
    </row>
    <row r="7" spans="1:3493" x14ac:dyDescent="0.3">
      <c r="B7" t="s">
        <v>3492</v>
      </c>
      <c r="E7">
        <v>1</v>
      </c>
      <c r="V7">
        <v>1</v>
      </c>
      <c r="Z7">
        <v>1</v>
      </c>
      <c r="BH7">
        <v>1</v>
      </c>
      <c r="BI7">
        <v>1</v>
      </c>
      <c r="CE7">
        <v>1</v>
      </c>
      <c r="DO7">
        <v>1</v>
      </c>
      <c r="EA7">
        <v>1</v>
      </c>
      <c r="EO7">
        <v>1</v>
      </c>
      <c r="FK7">
        <v>1</v>
      </c>
      <c r="FR7">
        <v>1</v>
      </c>
      <c r="FS7">
        <v>1</v>
      </c>
      <c r="FW7">
        <v>1</v>
      </c>
      <c r="FX7">
        <v>1</v>
      </c>
      <c r="FZ7">
        <v>1</v>
      </c>
      <c r="GE7">
        <v>1</v>
      </c>
      <c r="IJ7">
        <v>1</v>
      </c>
      <c r="IK7">
        <v>1</v>
      </c>
      <c r="IO7">
        <v>1</v>
      </c>
      <c r="IQ7">
        <v>1</v>
      </c>
      <c r="IU7">
        <v>1</v>
      </c>
      <c r="IZ7">
        <v>1</v>
      </c>
      <c r="JN7">
        <v>1</v>
      </c>
      <c r="JQ7">
        <v>1</v>
      </c>
      <c r="JU7">
        <v>1</v>
      </c>
      <c r="JX7">
        <v>1</v>
      </c>
      <c r="JY7">
        <v>1</v>
      </c>
      <c r="JZ7">
        <v>1</v>
      </c>
      <c r="KA7">
        <v>1</v>
      </c>
      <c r="KG7">
        <v>1</v>
      </c>
      <c r="KH7">
        <v>1</v>
      </c>
      <c r="KM7">
        <v>1</v>
      </c>
      <c r="KO7">
        <v>1</v>
      </c>
      <c r="LB7">
        <v>1</v>
      </c>
      <c r="LG7">
        <v>1</v>
      </c>
      <c r="LX7">
        <v>1</v>
      </c>
      <c r="MP7">
        <v>1</v>
      </c>
      <c r="ND7">
        <v>1</v>
      </c>
      <c r="NI7">
        <v>1</v>
      </c>
      <c r="NJ7">
        <v>1</v>
      </c>
      <c r="NO7">
        <v>1</v>
      </c>
      <c r="NV7">
        <v>1</v>
      </c>
      <c r="NZ7">
        <v>1</v>
      </c>
      <c r="OG7">
        <v>1</v>
      </c>
      <c r="OI7">
        <v>1</v>
      </c>
      <c r="OJ7">
        <v>1</v>
      </c>
      <c r="OM7">
        <v>1</v>
      </c>
      <c r="OO7">
        <v>1</v>
      </c>
      <c r="OS7">
        <v>1</v>
      </c>
      <c r="PA7">
        <v>1</v>
      </c>
      <c r="PE7">
        <v>1</v>
      </c>
      <c r="PJ7">
        <v>1</v>
      </c>
      <c r="PO7">
        <v>1</v>
      </c>
      <c r="PR7">
        <v>1</v>
      </c>
      <c r="PS7">
        <v>1</v>
      </c>
      <c r="PV7">
        <v>1</v>
      </c>
      <c r="QE7">
        <v>1</v>
      </c>
      <c r="RF7">
        <v>1</v>
      </c>
      <c r="RI7">
        <v>1</v>
      </c>
      <c r="RO7">
        <v>1</v>
      </c>
      <c r="RP7">
        <v>1</v>
      </c>
      <c r="RT7">
        <v>1</v>
      </c>
      <c r="RW7">
        <v>1</v>
      </c>
      <c r="SR7">
        <v>1</v>
      </c>
      <c r="SV7">
        <v>1</v>
      </c>
      <c r="SW7">
        <v>1</v>
      </c>
      <c r="TA7">
        <v>1</v>
      </c>
      <c r="TD7">
        <v>1</v>
      </c>
      <c r="TF7">
        <v>1</v>
      </c>
      <c r="TJ7">
        <v>1</v>
      </c>
      <c r="UA7">
        <v>1</v>
      </c>
      <c r="UJ7">
        <v>1</v>
      </c>
      <c r="UQ7">
        <v>1</v>
      </c>
      <c r="US7">
        <v>1</v>
      </c>
      <c r="UU7">
        <v>1</v>
      </c>
      <c r="VF7">
        <v>1</v>
      </c>
      <c r="VY7">
        <v>1</v>
      </c>
      <c r="VZ7">
        <v>1</v>
      </c>
      <c r="WC7">
        <v>1</v>
      </c>
      <c r="WU7">
        <v>1</v>
      </c>
      <c r="WW7">
        <v>1</v>
      </c>
      <c r="WZ7">
        <v>1</v>
      </c>
      <c r="XI7">
        <v>1</v>
      </c>
      <c r="XW7">
        <v>1</v>
      </c>
      <c r="XY7">
        <v>1</v>
      </c>
      <c r="XZ7">
        <v>1</v>
      </c>
      <c r="YD7">
        <v>1</v>
      </c>
      <c r="YQ7">
        <v>1</v>
      </c>
      <c r="YV7">
        <v>1</v>
      </c>
      <c r="ZO7">
        <v>1</v>
      </c>
      <c r="ZR7">
        <v>1</v>
      </c>
      <c r="ZV7">
        <v>1</v>
      </c>
      <c r="ZW7">
        <v>1</v>
      </c>
      <c r="AAF7">
        <v>1</v>
      </c>
      <c r="AAJ7">
        <v>1</v>
      </c>
      <c r="AAM7">
        <v>1</v>
      </c>
      <c r="AAW7">
        <v>1</v>
      </c>
      <c r="ABE7">
        <v>1</v>
      </c>
      <c r="ABV7">
        <v>1</v>
      </c>
      <c r="ACE7">
        <v>1</v>
      </c>
      <c r="ACI7">
        <v>1</v>
      </c>
      <c r="ACQ7">
        <v>1</v>
      </c>
      <c r="ACT7">
        <v>1</v>
      </c>
      <c r="ADE7">
        <v>1</v>
      </c>
      <c r="ADF7">
        <v>1</v>
      </c>
      <c r="ADM7">
        <v>1</v>
      </c>
      <c r="AEO7">
        <v>1</v>
      </c>
      <c r="AEY7">
        <v>1</v>
      </c>
      <c r="AFM7">
        <v>1</v>
      </c>
      <c r="AFY7">
        <v>1</v>
      </c>
      <c r="AGY7">
        <v>1</v>
      </c>
      <c r="AHK7">
        <v>1</v>
      </c>
      <c r="AID7">
        <v>1</v>
      </c>
      <c r="AIE7">
        <v>1</v>
      </c>
      <c r="AIP7">
        <v>1</v>
      </c>
      <c r="AJA7">
        <v>1</v>
      </c>
      <c r="AJC7">
        <v>1</v>
      </c>
      <c r="AKA7">
        <v>1</v>
      </c>
      <c r="AKD7">
        <v>1</v>
      </c>
      <c r="AKE7">
        <v>1</v>
      </c>
      <c r="AKR7">
        <v>1</v>
      </c>
      <c r="AKT7">
        <v>1</v>
      </c>
      <c r="AKU7">
        <v>1</v>
      </c>
      <c r="ALM7">
        <v>1</v>
      </c>
      <c r="ALR7">
        <v>1</v>
      </c>
      <c r="ALT7">
        <v>1</v>
      </c>
      <c r="ALX7">
        <v>1</v>
      </c>
      <c r="AMD7">
        <v>1</v>
      </c>
      <c r="AME7">
        <v>1</v>
      </c>
      <c r="AMI7">
        <v>1</v>
      </c>
      <c r="AMW7">
        <v>1</v>
      </c>
      <c r="ANF7">
        <v>1</v>
      </c>
      <c r="ANP7">
        <v>1</v>
      </c>
      <c r="ANW7">
        <v>1</v>
      </c>
      <c r="APA7">
        <v>1</v>
      </c>
      <c r="APX7">
        <v>1</v>
      </c>
      <c r="AQG7">
        <v>1</v>
      </c>
      <c r="AQU7">
        <v>1</v>
      </c>
      <c r="AQY7">
        <v>1</v>
      </c>
      <c r="ARC7">
        <v>1</v>
      </c>
      <c r="ARF7">
        <v>1</v>
      </c>
      <c r="ARI7">
        <v>1</v>
      </c>
      <c r="ARK7">
        <v>1</v>
      </c>
      <c r="ARN7">
        <v>1</v>
      </c>
      <c r="ASA7">
        <v>1</v>
      </c>
      <c r="ASE7">
        <v>1</v>
      </c>
      <c r="ASM7">
        <v>1</v>
      </c>
      <c r="ASV7">
        <v>1</v>
      </c>
      <c r="ASY7">
        <v>1</v>
      </c>
      <c r="ATF7">
        <v>1</v>
      </c>
      <c r="ATU7">
        <v>1</v>
      </c>
      <c r="AUN7">
        <v>1</v>
      </c>
      <c r="AUR7">
        <v>1</v>
      </c>
      <c r="AUS7">
        <v>1</v>
      </c>
      <c r="AUY7">
        <v>1</v>
      </c>
      <c r="AVP7">
        <v>1</v>
      </c>
      <c r="AVR7">
        <v>1</v>
      </c>
      <c r="AVT7">
        <v>1</v>
      </c>
      <c r="AVX7">
        <v>1</v>
      </c>
      <c r="AWA7">
        <v>1</v>
      </c>
      <c r="AWI7">
        <v>1</v>
      </c>
      <c r="AWU7">
        <v>1</v>
      </c>
      <c r="AXC7">
        <v>1</v>
      </c>
      <c r="AXD7">
        <v>1</v>
      </c>
      <c r="AXJ7">
        <v>1</v>
      </c>
      <c r="AXP7">
        <v>1</v>
      </c>
      <c r="AYG7">
        <v>1</v>
      </c>
      <c r="AYZ7">
        <v>1</v>
      </c>
      <c r="AZA7">
        <v>1</v>
      </c>
      <c r="AZV7">
        <v>1</v>
      </c>
      <c r="BAB7">
        <v>1</v>
      </c>
      <c r="BAL7">
        <v>1</v>
      </c>
      <c r="BAP7">
        <v>1</v>
      </c>
      <c r="BAR7">
        <v>1</v>
      </c>
      <c r="BAS7">
        <v>1</v>
      </c>
      <c r="BAT7">
        <v>1</v>
      </c>
      <c r="BAU7">
        <v>1</v>
      </c>
      <c r="BBG7">
        <v>1</v>
      </c>
      <c r="BBM7">
        <v>1</v>
      </c>
      <c r="BBN7">
        <v>1</v>
      </c>
      <c r="BBV7">
        <v>1</v>
      </c>
      <c r="BCH7">
        <v>1</v>
      </c>
      <c r="BCI7">
        <v>1</v>
      </c>
      <c r="BCL7">
        <v>1</v>
      </c>
      <c r="BEO7">
        <v>1</v>
      </c>
      <c r="BER7">
        <v>1</v>
      </c>
      <c r="BFI7">
        <v>1</v>
      </c>
      <c r="BFU7">
        <v>1</v>
      </c>
      <c r="BGD7">
        <v>1</v>
      </c>
      <c r="BGE7">
        <v>1</v>
      </c>
      <c r="BGR7">
        <v>1</v>
      </c>
      <c r="BGT7">
        <v>1</v>
      </c>
      <c r="BGW7">
        <v>1</v>
      </c>
      <c r="BGX7">
        <v>1</v>
      </c>
      <c r="BHA7">
        <v>1</v>
      </c>
      <c r="BHN7">
        <v>1</v>
      </c>
      <c r="BHO7">
        <v>1</v>
      </c>
      <c r="BHV7">
        <v>1</v>
      </c>
      <c r="BHX7">
        <v>1</v>
      </c>
      <c r="BIR7">
        <v>1</v>
      </c>
      <c r="BJJ7">
        <v>1</v>
      </c>
      <c r="BJK7">
        <v>1</v>
      </c>
      <c r="BJX7">
        <v>1</v>
      </c>
      <c r="BKC7">
        <v>1</v>
      </c>
      <c r="BKD7">
        <v>1</v>
      </c>
      <c r="BKP7">
        <v>1</v>
      </c>
      <c r="BLD7">
        <v>1</v>
      </c>
      <c r="BLJ7">
        <v>1</v>
      </c>
      <c r="BLM7">
        <v>1</v>
      </c>
      <c r="BLN7">
        <v>1</v>
      </c>
      <c r="BMB7">
        <v>1</v>
      </c>
      <c r="BMJ7">
        <v>1</v>
      </c>
      <c r="BMS7">
        <v>1</v>
      </c>
      <c r="BMT7">
        <v>1</v>
      </c>
      <c r="BMY7">
        <v>1</v>
      </c>
      <c r="BMZ7">
        <v>1</v>
      </c>
      <c r="BNE7">
        <v>1</v>
      </c>
      <c r="BNV7">
        <v>1</v>
      </c>
      <c r="BNZ7">
        <v>1</v>
      </c>
      <c r="BPH7">
        <v>1</v>
      </c>
      <c r="BPI7">
        <v>1</v>
      </c>
      <c r="BQE7">
        <v>1</v>
      </c>
      <c r="BRO7">
        <v>1</v>
      </c>
      <c r="BSA7">
        <v>1</v>
      </c>
      <c r="BSO7">
        <v>1</v>
      </c>
      <c r="BTK7">
        <v>1</v>
      </c>
      <c r="BTR7">
        <v>1</v>
      </c>
      <c r="BTS7">
        <v>1</v>
      </c>
      <c r="BTW7">
        <v>1</v>
      </c>
      <c r="BTX7">
        <v>1</v>
      </c>
      <c r="BTZ7">
        <v>1</v>
      </c>
      <c r="BUE7">
        <v>1</v>
      </c>
      <c r="BWJ7">
        <v>1</v>
      </c>
      <c r="BWK7">
        <v>1</v>
      </c>
      <c r="BWO7">
        <v>1</v>
      </c>
      <c r="BWQ7">
        <v>1</v>
      </c>
      <c r="BWU7">
        <v>1</v>
      </c>
      <c r="BWZ7">
        <v>1</v>
      </c>
      <c r="BXN7">
        <v>1</v>
      </c>
      <c r="BXQ7">
        <v>1</v>
      </c>
      <c r="BXU7">
        <v>1</v>
      </c>
      <c r="BXX7">
        <v>1</v>
      </c>
      <c r="BXY7">
        <v>1</v>
      </c>
      <c r="BXZ7">
        <v>1</v>
      </c>
      <c r="BYA7">
        <v>1</v>
      </c>
      <c r="BYG7">
        <v>1</v>
      </c>
      <c r="BYH7">
        <v>1</v>
      </c>
      <c r="BYM7">
        <v>1</v>
      </c>
      <c r="BYO7">
        <v>1</v>
      </c>
      <c r="BZB7">
        <v>1</v>
      </c>
      <c r="BZG7">
        <v>1</v>
      </c>
      <c r="BZX7">
        <v>1</v>
      </c>
      <c r="CAP7">
        <v>1</v>
      </c>
      <c r="CBD7">
        <v>1</v>
      </c>
      <c r="CBI7">
        <v>1</v>
      </c>
      <c r="CBJ7">
        <v>1</v>
      </c>
      <c r="CBO7">
        <v>1</v>
      </c>
      <c r="CBV7">
        <v>1</v>
      </c>
      <c r="CBZ7">
        <v>1</v>
      </c>
      <c r="CCG7">
        <v>1</v>
      </c>
      <c r="CCI7">
        <v>1</v>
      </c>
      <c r="CCJ7">
        <v>1</v>
      </c>
      <c r="CCM7">
        <v>1</v>
      </c>
      <c r="CCO7">
        <v>1</v>
      </c>
      <c r="CCS7">
        <v>1</v>
      </c>
      <c r="CDA7">
        <v>1</v>
      </c>
      <c r="CDE7">
        <v>1</v>
      </c>
      <c r="CDJ7">
        <v>1</v>
      </c>
      <c r="CDO7">
        <v>1</v>
      </c>
      <c r="CDR7">
        <v>1</v>
      </c>
      <c r="CDS7">
        <v>1</v>
      </c>
      <c r="CDV7">
        <v>1</v>
      </c>
      <c r="CEE7">
        <v>1</v>
      </c>
      <c r="CFF7">
        <v>1</v>
      </c>
      <c r="CFI7">
        <v>1</v>
      </c>
      <c r="CFO7">
        <v>1</v>
      </c>
      <c r="CFP7">
        <v>1</v>
      </c>
      <c r="CFT7">
        <v>1</v>
      </c>
      <c r="CFW7">
        <v>1</v>
      </c>
      <c r="CGR7">
        <v>1</v>
      </c>
      <c r="CGV7">
        <v>1</v>
      </c>
      <c r="CGW7">
        <v>1</v>
      </c>
      <c r="CHA7">
        <v>1</v>
      </c>
      <c r="CHD7">
        <v>1</v>
      </c>
      <c r="CHF7">
        <v>1</v>
      </c>
      <c r="CHJ7">
        <v>1</v>
      </c>
      <c r="CIA7">
        <v>1</v>
      </c>
      <c r="CIJ7">
        <v>1</v>
      </c>
      <c r="CIQ7">
        <v>1</v>
      </c>
      <c r="CIS7">
        <v>1</v>
      </c>
      <c r="CIU7">
        <v>1</v>
      </c>
      <c r="CJF7">
        <v>1</v>
      </c>
      <c r="CJY7">
        <v>1</v>
      </c>
      <c r="CJZ7">
        <v>1</v>
      </c>
      <c r="CKC7">
        <v>1</v>
      </c>
      <c r="CKU7">
        <v>1</v>
      </c>
      <c r="CKW7">
        <v>1</v>
      </c>
      <c r="CKZ7">
        <v>1</v>
      </c>
      <c r="CLI7">
        <v>1</v>
      </c>
      <c r="CLW7">
        <v>1</v>
      </c>
      <c r="CLY7">
        <v>1</v>
      </c>
      <c r="CLZ7">
        <v>1</v>
      </c>
      <c r="CMD7">
        <v>1</v>
      </c>
      <c r="CMQ7">
        <v>1</v>
      </c>
      <c r="CMV7">
        <v>1</v>
      </c>
      <c r="CNO7">
        <v>1</v>
      </c>
      <c r="CNR7">
        <v>1</v>
      </c>
      <c r="CNV7">
        <v>1</v>
      </c>
      <c r="CNW7">
        <v>1</v>
      </c>
      <c r="COF7">
        <v>1</v>
      </c>
      <c r="COJ7">
        <v>1</v>
      </c>
      <c r="COM7">
        <v>1</v>
      </c>
      <c r="COW7">
        <v>1</v>
      </c>
      <c r="CPE7">
        <v>1</v>
      </c>
      <c r="CPV7">
        <v>1</v>
      </c>
      <c r="CQE7">
        <v>1</v>
      </c>
      <c r="CQI7">
        <v>1</v>
      </c>
      <c r="CQQ7">
        <v>1</v>
      </c>
      <c r="CQT7">
        <v>1</v>
      </c>
      <c r="CRE7">
        <v>1</v>
      </c>
      <c r="CRF7">
        <v>1</v>
      </c>
      <c r="CRM7">
        <v>1</v>
      </c>
      <c r="CSO7">
        <v>1</v>
      </c>
      <c r="CSY7">
        <v>1</v>
      </c>
      <c r="CTM7">
        <v>1</v>
      </c>
      <c r="CTY7">
        <v>1</v>
      </c>
      <c r="CUY7">
        <v>1</v>
      </c>
      <c r="CVK7">
        <v>1</v>
      </c>
      <c r="CWD7">
        <v>1</v>
      </c>
      <c r="CWE7">
        <v>1</v>
      </c>
      <c r="CWP7">
        <v>1</v>
      </c>
      <c r="CXA7">
        <v>1</v>
      </c>
      <c r="CXC7">
        <v>1</v>
      </c>
      <c r="CYA7">
        <v>1</v>
      </c>
      <c r="CYD7">
        <v>1</v>
      </c>
      <c r="CYE7">
        <v>1</v>
      </c>
      <c r="CYR7">
        <v>1</v>
      </c>
      <c r="CYT7">
        <v>1</v>
      </c>
      <c r="CYU7">
        <v>1</v>
      </c>
      <c r="CZM7">
        <v>1</v>
      </c>
      <c r="CZR7">
        <v>1</v>
      </c>
      <c r="CZT7">
        <v>1</v>
      </c>
      <c r="CZX7">
        <v>1</v>
      </c>
      <c r="DAD7">
        <v>1</v>
      </c>
      <c r="DAE7">
        <v>1</v>
      </c>
      <c r="DAI7">
        <v>1</v>
      </c>
      <c r="DAW7">
        <v>1</v>
      </c>
      <c r="DBF7">
        <v>1</v>
      </c>
      <c r="DBP7">
        <v>1</v>
      </c>
      <c r="DBW7">
        <v>1</v>
      </c>
      <c r="DDA7">
        <v>1</v>
      </c>
      <c r="DDX7">
        <v>1</v>
      </c>
      <c r="DEG7">
        <v>1</v>
      </c>
      <c r="DEU7">
        <v>1</v>
      </c>
      <c r="DEY7">
        <v>1</v>
      </c>
      <c r="DFC7">
        <v>1</v>
      </c>
      <c r="DFF7">
        <v>1</v>
      </c>
      <c r="DFI7">
        <v>1</v>
      </c>
      <c r="DFK7">
        <v>1</v>
      </c>
      <c r="DFN7">
        <v>1</v>
      </c>
      <c r="DGA7">
        <v>1</v>
      </c>
      <c r="DGE7">
        <v>1</v>
      </c>
      <c r="DGM7">
        <v>1</v>
      </c>
      <c r="DGV7">
        <v>1</v>
      </c>
      <c r="DGY7">
        <v>1</v>
      </c>
      <c r="DHF7">
        <v>1</v>
      </c>
      <c r="DHU7">
        <v>1</v>
      </c>
      <c r="DIN7">
        <v>1</v>
      </c>
      <c r="DIR7">
        <v>1</v>
      </c>
      <c r="DIS7">
        <v>1</v>
      </c>
      <c r="DIY7">
        <v>1</v>
      </c>
      <c r="DJP7">
        <v>1</v>
      </c>
      <c r="DJR7">
        <v>1</v>
      </c>
      <c r="DJT7">
        <v>1</v>
      </c>
      <c r="DJX7">
        <v>1</v>
      </c>
      <c r="DKA7">
        <v>1</v>
      </c>
      <c r="DKI7">
        <v>1</v>
      </c>
      <c r="DKU7">
        <v>1</v>
      </c>
      <c r="DLC7">
        <v>1</v>
      </c>
      <c r="DLD7">
        <v>1</v>
      </c>
      <c r="DLJ7">
        <v>1</v>
      </c>
      <c r="DLP7">
        <v>1</v>
      </c>
      <c r="DMG7">
        <v>1</v>
      </c>
      <c r="DMZ7">
        <v>1</v>
      </c>
      <c r="DNA7">
        <v>1</v>
      </c>
      <c r="DNV7">
        <v>1</v>
      </c>
      <c r="DOB7">
        <v>1</v>
      </c>
      <c r="DOL7">
        <v>1</v>
      </c>
      <c r="DOP7">
        <v>1</v>
      </c>
      <c r="DOR7">
        <v>1</v>
      </c>
      <c r="DOS7">
        <v>1</v>
      </c>
      <c r="DOT7">
        <v>1</v>
      </c>
      <c r="DOU7">
        <v>1</v>
      </c>
      <c r="DPG7">
        <v>1</v>
      </c>
      <c r="DPM7">
        <v>1</v>
      </c>
      <c r="DPN7">
        <v>1</v>
      </c>
      <c r="DPV7">
        <v>1</v>
      </c>
      <c r="DQH7">
        <v>1</v>
      </c>
      <c r="DQI7">
        <v>1</v>
      </c>
      <c r="DQL7">
        <v>1</v>
      </c>
      <c r="DSO7">
        <v>1</v>
      </c>
      <c r="DSR7">
        <v>1</v>
      </c>
      <c r="DTI7">
        <v>1</v>
      </c>
      <c r="DTU7">
        <v>1</v>
      </c>
      <c r="DUD7">
        <v>1</v>
      </c>
      <c r="DUE7">
        <v>1</v>
      </c>
      <c r="DUR7">
        <v>1</v>
      </c>
      <c r="DUT7">
        <v>1</v>
      </c>
      <c r="DUW7">
        <v>1</v>
      </c>
      <c r="DUX7">
        <v>1</v>
      </c>
      <c r="DVA7">
        <v>1</v>
      </c>
      <c r="DVN7">
        <v>1</v>
      </c>
      <c r="DVO7">
        <v>1</v>
      </c>
      <c r="DVV7">
        <v>1</v>
      </c>
      <c r="DVX7">
        <v>1</v>
      </c>
      <c r="DWR7">
        <v>1</v>
      </c>
      <c r="DXJ7">
        <v>1</v>
      </c>
      <c r="DXK7">
        <v>1</v>
      </c>
      <c r="DXX7">
        <v>1</v>
      </c>
      <c r="DYC7">
        <v>1</v>
      </c>
      <c r="DYD7">
        <v>1</v>
      </c>
      <c r="DYP7">
        <v>1</v>
      </c>
      <c r="DZD7">
        <v>1</v>
      </c>
      <c r="DZJ7">
        <v>1</v>
      </c>
      <c r="DZM7">
        <v>1</v>
      </c>
      <c r="DZN7">
        <v>1</v>
      </c>
      <c r="EAB7">
        <v>1</v>
      </c>
      <c r="EAJ7">
        <v>1</v>
      </c>
      <c r="EAS7">
        <v>1</v>
      </c>
      <c r="EAT7">
        <v>1</v>
      </c>
      <c r="EAY7">
        <v>1</v>
      </c>
      <c r="EAZ7">
        <v>1</v>
      </c>
      <c r="EBD7">
        <v>1</v>
      </c>
      <c r="EDG7">
        <f>SUMPRODUCT(Constraint_1,Decision_variables)</f>
        <v>1</v>
      </c>
      <c r="EDH7" t="s">
        <v>5264</v>
      </c>
      <c r="EDI7">
        <v>1</v>
      </c>
    </row>
    <row r="8" spans="1:3493" x14ac:dyDescent="0.3">
      <c r="B8" t="s">
        <v>3493</v>
      </c>
      <c r="R8">
        <v>1</v>
      </c>
      <c r="AK8">
        <v>1</v>
      </c>
      <c r="BJ8">
        <v>1</v>
      </c>
      <c r="DV8">
        <v>1</v>
      </c>
      <c r="EV8">
        <v>1</v>
      </c>
      <c r="GW8">
        <v>1</v>
      </c>
      <c r="HK8">
        <v>1</v>
      </c>
      <c r="NF8">
        <v>1</v>
      </c>
      <c r="NS8">
        <v>1</v>
      </c>
      <c r="OD8">
        <v>1</v>
      </c>
      <c r="QL8">
        <v>1</v>
      </c>
      <c r="SU8">
        <v>1</v>
      </c>
      <c r="TB8">
        <v>1</v>
      </c>
      <c r="UK8">
        <v>1</v>
      </c>
      <c r="UP8">
        <v>1</v>
      </c>
      <c r="VI8">
        <v>1</v>
      </c>
      <c r="WK8">
        <v>1</v>
      </c>
      <c r="AAK8">
        <v>1</v>
      </c>
      <c r="AAU8">
        <v>1</v>
      </c>
      <c r="ABJ8">
        <v>1</v>
      </c>
      <c r="ACM8">
        <v>1</v>
      </c>
      <c r="ACN8">
        <v>1</v>
      </c>
      <c r="ADS8">
        <v>1</v>
      </c>
      <c r="AEB8">
        <v>1</v>
      </c>
      <c r="AES8">
        <v>1</v>
      </c>
      <c r="AFE8">
        <v>1</v>
      </c>
      <c r="AFV8">
        <v>1</v>
      </c>
      <c r="AJN8">
        <v>1</v>
      </c>
      <c r="AJT8">
        <v>1</v>
      </c>
      <c r="AJU8">
        <v>1</v>
      </c>
      <c r="AKQ8">
        <v>1</v>
      </c>
      <c r="ALF8">
        <v>1</v>
      </c>
      <c r="ALG8">
        <v>1</v>
      </c>
      <c r="ALI8">
        <v>1</v>
      </c>
      <c r="ALQ8">
        <v>1</v>
      </c>
      <c r="AMN8">
        <v>1</v>
      </c>
      <c r="AMQ8">
        <v>1</v>
      </c>
      <c r="AMS8">
        <v>1</v>
      </c>
      <c r="AMU8">
        <v>1</v>
      </c>
      <c r="AOC8">
        <v>1</v>
      </c>
      <c r="AOR8">
        <v>1</v>
      </c>
      <c r="AOV8">
        <v>1</v>
      </c>
      <c r="APW8">
        <v>1</v>
      </c>
      <c r="ARB8">
        <v>1</v>
      </c>
      <c r="ARS8">
        <v>1</v>
      </c>
      <c r="ART8">
        <v>1</v>
      </c>
      <c r="ARV8">
        <v>1</v>
      </c>
      <c r="ASE8">
        <v>1</v>
      </c>
      <c r="ASR8">
        <v>1</v>
      </c>
      <c r="ASX8">
        <v>1</v>
      </c>
      <c r="ASZ8">
        <v>1</v>
      </c>
      <c r="ATH8">
        <v>1</v>
      </c>
      <c r="AUB8">
        <v>1</v>
      </c>
      <c r="AVF8">
        <v>1</v>
      </c>
      <c r="AVH8">
        <v>1</v>
      </c>
      <c r="AVM8">
        <v>1</v>
      </c>
      <c r="AVV8">
        <v>1</v>
      </c>
      <c r="AWM8">
        <v>1</v>
      </c>
      <c r="AWX8">
        <v>1</v>
      </c>
      <c r="AWY8">
        <v>1</v>
      </c>
      <c r="AXD8">
        <v>1</v>
      </c>
      <c r="AXO8">
        <v>1</v>
      </c>
      <c r="AXS8">
        <v>1</v>
      </c>
      <c r="AYD8">
        <v>1</v>
      </c>
      <c r="AYM8">
        <v>1</v>
      </c>
      <c r="AYN8">
        <v>1</v>
      </c>
      <c r="AYZ8">
        <v>1</v>
      </c>
      <c r="AZF8">
        <v>1</v>
      </c>
      <c r="AZK8">
        <v>1</v>
      </c>
      <c r="AZR8">
        <v>1</v>
      </c>
      <c r="AZU8">
        <v>1</v>
      </c>
      <c r="BAX8">
        <v>1</v>
      </c>
      <c r="BCD8">
        <v>1</v>
      </c>
      <c r="BCQ8">
        <v>1</v>
      </c>
      <c r="BDG8">
        <v>1</v>
      </c>
      <c r="BDM8">
        <v>1</v>
      </c>
      <c r="BET8">
        <v>1</v>
      </c>
      <c r="BEX8">
        <v>1</v>
      </c>
      <c r="BFC8">
        <v>1</v>
      </c>
      <c r="BFK8">
        <v>1</v>
      </c>
      <c r="BFV8">
        <v>1</v>
      </c>
      <c r="BGI8">
        <v>1</v>
      </c>
      <c r="BGM8">
        <v>1</v>
      </c>
      <c r="BGY8">
        <v>1</v>
      </c>
      <c r="BHB8">
        <v>1</v>
      </c>
      <c r="BHD8">
        <v>1</v>
      </c>
      <c r="BHF8">
        <v>1</v>
      </c>
      <c r="BHH8">
        <v>1</v>
      </c>
      <c r="BHL8">
        <v>1</v>
      </c>
      <c r="BHP8">
        <v>1</v>
      </c>
      <c r="BHT8">
        <v>1</v>
      </c>
      <c r="BIL8">
        <v>1</v>
      </c>
      <c r="BIO8">
        <v>1</v>
      </c>
      <c r="BIT8">
        <v>1</v>
      </c>
      <c r="BIW8">
        <v>1</v>
      </c>
      <c r="BJI8">
        <v>1</v>
      </c>
      <c r="BJY8">
        <v>1</v>
      </c>
      <c r="BKF8">
        <v>1</v>
      </c>
      <c r="BLB8">
        <v>1</v>
      </c>
      <c r="BLK8">
        <v>1</v>
      </c>
      <c r="BLS8">
        <v>1</v>
      </c>
      <c r="BLT8">
        <v>1</v>
      </c>
      <c r="BLW8">
        <v>1</v>
      </c>
      <c r="BMD8">
        <v>1</v>
      </c>
      <c r="BMG8">
        <v>1</v>
      </c>
      <c r="BMI8">
        <v>1</v>
      </c>
      <c r="BML8">
        <v>1</v>
      </c>
      <c r="BMM8">
        <v>1</v>
      </c>
      <c r="BMN8">
        <v>1</v>
      </c>
      <c r="BMT8">
        <v>1</v>
      </c>
      <c r="BMY8">
        <v>1</v>
      </c>
      <c r="BNA8">
        <v>1</v>
      </c>
      <c r="BNR8">
        <v>1</v>
      </c>
      <c r="BOK8">
        <v>1</v>
      </c>
      <c r="BPJ8">
        <v>1</v>
      </c>
      <c r="BRV8">
        <v>1</v>
      </c>
      <c r="BSV8">
        <v>1</v>
      </c>
      <c r="BUW8">
        <v>1</v>
      </c>
      <c r="BVK8">
        <v>1</v>
      </c>
      <c r="CBF8">
        <v>1</v>
      </c>
      <c r="CBS8">
        <v>1</v>
      </c>
      <c r="CCD8">
        <v>1</v>
      </c>
      <c r="CEL8">
        <v>1</v>
      </c>
      <c r="CGU8">
        <v>1</v>
      </c>
      <c r="CHB8">
        <v>1</v>
      </c>
      <c r="CIK8">
        <v>1</v>
      </c>
      <c r="CIP8">
        <v>1</v>
      </c>
      <c r="CJI8">
        <v>1</v>
      </c>
      <c r="CKK8">
        <v>1</v>
      </c>
      <c r="COK8">
        <v>1</v>
      </c>
      <c r="COU8">
        <v>1</v>
      </c>
      <c r="CPJ8">
        <v>1</v>
      </c>
      <c r="CQM8">
        <v>1</v>
      </c>
      <c r="CQN8">
        <v>1</v>
      </c>
      <c r="CRS8">
        <v>1</v>
      </c>
      <c r="CSB8">
        <v>1</v>
      </c>
      <c r="CSS8">
        <v>1</v>
      </c>
      <c r="CTE8">
        <v>1</v>
      </c>
      <c r="CTV8">
        <v>1</v>
      </c>
      <c r="CXN8">
        <v>1</v>
      </c>
      <c r="CXT8">
        <v>1</v>
      </c>
      <c r="CXU8">
        <v>1</v>
      </c>
      <c r="CYQ8">
        <v>1</v>
      </c>
      <c r="CZF8">
        <v>1</v>
      </c>
      <c r="CZG8">
        <v>1</v>
      </c>
      <c r="CZI8">
        <v>1</v>
      </c>
      <c r="CZQ8">
        <v>1</v>
      </c>
      <c r="DAN8">
        <v>1</v>
      </c>
      <c r="DAQ8">
        <v>1</v>
      </c>
      <c r="DAS8">
        <v>1</v>
      </c>
      <c r="DAU8">
        <v>1</v>
      </c>
      <c r="DCC8">
        <v>1</v>
      </c>
      <c r="DCR8">
        <v>1</v>
      </c>
      <c r="DCV8">
        <v>1</v>
      </c>
      <c r="DDW8">
        <v>1</v>
      </c>
      <c r="DFB8">
        <v>1</v>
      </c>
      <c r="DFS8">
        <v>1</v>
      </c>
      <c r="DFT8">
        <v>1</v>
      </c>
      <c r="DFV8">
        <v>1</v>
      </c>
      <c r="DGE8">
        <v>1</v>
      </c>
      <c r="DGR8">
        <v>1</v>
      </c>
      <c r="DGX8">
        <v>1</v>
      </c>
      <c r="DGZ8">
        <v>1</v>
      </c>
      <c r="DHH8">
        <v>1</v>
      </c>
      <c r="DIB8">
        <v>1</v>
      </c>
      <c r="DJF8">
        <v>1</v>
      </c>
      <c r="DJH8">
        <v>1</v>
      </c>
      <c r="DJM8">
        <v>1</v>
      </c>
      <c r="DJV8">
        <v>1</v>
      </c>
      <c r="DKM8">
        <v>1</v>
      </c>
      <c r="DKX8">
        <v>1</v>
      </c>
      <c r="DKY8">
        <v>1</v>
      </c>
      <c r="DLD8">
        <v>1</v>
      </c>
      <c r="DLO8">
        <v>1</v>
      </c>
      <c r="DLS8">
        <v>1</v>
      </c>
      <c r="DMD8">
        <v>1</v>
      </c>
      <c r="DMM8">
        <v>1</v>
      </c>
      <c r="DMN8">
        <v>1</v>
      </c>
      <c r="DMZ8">
        <v>1</v>
      </c>
      <c r="DNF8">
        <v>1</v>
      </c>
      <c r="DNK8">
        <v>1</v>
      </c>
      <c r="DNR8">
        <v>1</v>
      </c>
      <c r="DNU8">
        <v>1</v>
      </c>
      <c r="DOX8">
        <v>1</v>
      </c>
      <c r="DQD8">
        <v>1</v>
      </c>
      <c r="DQQ8">
        <v>1</v>
      </c>
      <c r="DRG8">
        <v>1</v>
      </c>
      <c r="DRM8">
        <v>1</v>
      </c>
      <c r="DST8">
        <v>1</v>
      </c>
      <c r="DSX8">
        <v>1</v>
      </c>
      <c r="DTC8">
        <v>1</v>
      </c>
      <c r="DTK8">
        <v>1</v>
      </c>
      <c r="DTV8">
        <v>1</v>
      </c>
      <c r="DUI8">
        <v>1</v>
      </c>
      <c r="DUM8">
        <v>1</v>
      </c>
      <c r="DUY8">
        <v>1</v>
      </c>
      <c r="DVB8">
        <v>1</v>
      </c>
      <c r="DVD8">
        <v>1</v>
      </c>
      <c r="DVF8">
        <v>1</v>
      </c>
      <c r="DVH8">
        <v>1</v>
      </c>
      <c r="DVL8">
        <v>1</v>
      </c>
      <c r="DVP8">
        <v>1</v>
      </c>
      <c r="DVT8">
        <v>1</v>
      </c>
      <c r="DWL8">
        <v>1</v>
      </c>
      <c r="DWO8">
        <v>1</v>
      </c>
      <c r="DWT8">
        <v>1</v>
      </c>
      <c r="DWW8">
        <v>1</v>
      </c>
      <c r="DXI8">
        <v>1</v>
      </c>
      <c r="DXY8">
        <v>1</v>
      </c>
      <c r="DYF8">
        <v>1</v>
      </c>
      <c r="DZB8">
        <v>1</v>
      </c>
      <c r="DZK8">
        <v>1</v>
      </c>
      <c r="DZS8">
        <v>1</v>
      </c>
      <c r="DZT8">
        <v>1</v>
      </c>
      <c r="DZW8">
        <v>1</v>
      </c>
      <c r="EAD8">
        <v>1</v>
      </c>
      <c r="EAG8">
        <v>1</v>
      </c>
      <c r="EAI8">
        <v>1</v>
      </c>
      <c r="EAL8">
        <v>1</v>
      </c>
      <c r="EAM8">
        <v>1</v>
      </c>
      <c r="EAN8">
        <v>1</v>
      </c>
      <c r="EAT8">
        <v>1</v>
      </c>
      <c r="EAY8">
        <v>1</v>
      </c>
      <c r="EBA8">
        <v>1</v>
      </c>
      <c r="EBO8">
        <v>1</v>
      </c>
      <c r="EDG8">
        <f>SUMPRODUCT(Constraint_2,Decision_variables)</f>
        <v>1</v>
      </c>
      <c r="EDH8" t="s">
        <v>5264</v>
      </c>
      <c r="EDI8">
        <v>1</v>
      </c>
    </row>
    <row r="9" spans="1:3493" x14ac:dyDescent="0.3">
      <c r="B9" t="s">
        <v>3494</v>
      </c>
      <c r="K9">
        <v>1</v>
      </c>
      <c r="AA9">
        <v>1</v>
      </c>
      <c r="AF9">
        <v>1</v>
      </c>
      <c r="AV9">
        <v>1</v>
      </c>
      <c r="BJ9">
        <v>1</v>
      </c>
      <c r="BR9">
        <v>1</v>
      </c>
      <c r="CQ9">
        <v>1</v>
      </c>
      <c r="DD9">
        <v>1</v>
      </c>
      <c r="DJ9">
        <v>1</v>
      </c>
      <c r="DQ9">
        <v>1</v>
      </c>
      <c r="EK9">
        <v>1</v>
      </c>
      <c r="FO9">
        <v>1</v>
      </c>
      <c r="GC9">
        <v>1</v>
      </c>
      <c r="GJ9">
        <v>1</v>
      </c>
      <c r="HK9">
        <v>1</v>
      </c>
      <c r="ID9">
        <v>1</v>
      </c>
      <c r="IE9">
        <v>1</v>
      </c>
      <c r="IF9">
        <v>1</v>
      </c>
      <c r="IG9">
        <v>1</v>
      </c>
      <c r="IJ9">
        <v>1</v>
      </c>
      <c r="IS9">
        <v>1</v>
      </c>
      <c r="IZ9">
        <v>1</v>
      </c>
      <c r="JN9">
        <v>1</v>
      </c>
      <c r="JO9">
        <v>1</v>
      </c>
      <c r="KD9">
        <v>1</v>
      </c>
      <c r="KG9">
        <v>1</v>
      </c>
      <c r="KH9">
        <v>1</v>
      </c>
      <c r="KJ9">
        <v>1</v>
      </c>
      <c r="KL9">
        <v>1</v>
      </c>
      <c r="KM9">
        <v>1</v>
      </c>
      <c r="KP9">
        <v>1</v>
      </c>
      <c r="KT9">
        <v>1</v>
      </c>
      <c r="LB9">
        <v>1</v>
      </c>
      <c r="LN9">
        <v>1</v>
      </c>
      <c r="LX9">
        <v>1</v>
      </c>
      <c r="ME9">
        <v>1</v>
      </c>
      <c r="MK9">
        <v>1</v>
      </c>
      <c r="MN9">
        <v>1</v>
      </c>
      <c r="MS9">
        <v>1</v>
      </c>
      <c r="MT9">
        <v>1</v>
      </c>
      <c r="MU9">
        <v>1</v>
      </c>
      <c r="MW9">
        <v>1</v>
      </c>
      <c r="MX9">
        <v>1</v>
      </c>
      <c r="MZ9">
        <v>1</v>
      </c>
      <c r="NE9">
        <v>1</v>
      </c>
      <c r="NK9">
        <v>1</v>
      </c>
      <c r="OV9">
        <v>1</v>
      </c>
      <c r="OX9">
        <v>1</v>
      </c>
      <c r="OY9">
        <v>1</v>
      </c>
      <c r="OZ9">
        <v>1</v>
      </c>
      <c r="PK9">
        <v>1</v>
      </c>
      <c r="PO9">
        <v>1</v>
      </c>
      <c r="PW9">
        <v>1</v>
      </c>
      <c r="QB9">
        <v>1</v>
      </c>
      <c r="QK9">
        <v>1</v>
      </c>
      <c r="QQ9">
        <v>1</v>
      </c>
      <c r="QS9">
        <v>1</v>
      </c>
      <c r="QU9">
        <v>1</v>
      </c>
      <c r="RB9">
        <v>1</v>
      </c>
      <c r="RD9">
        <v>1</v>
      </c>
      <c r="RF9">
        <v>1</v>
      </c>
      <c r="RK9">
        <v>1</v>
      </c>
      <c r="RL9">
        <v>1</v>
      </c>
      <c r="RR9">
        <v>1</v>
      </c>
      <c r="SG9">
        <v>1</v>
      </c>
      <c r="SJ9">
        <v>1</v>
      </c>
      <c r="SL9">
        <v>1</v>
      </c>
      <c r="SX9">
        <v>1</v>
      </c>
      <c r="TH9">
        <v>1</v>
      </c>
      <c r="TI9">
        <v>1</v>
      </c>
      <c r="UI9">
        <v>1</v>
      </c>
      <c r="UU9">
        <v>1</v>
      </c>
      <c r="VF9">
        <v>1</v>
      </c>
      <c r="VG9">
        <v>1</v>
      </c>
      <c r="VH9">
        <v>1</v>
      </c>
      <c r="VJ9">
        <v>1</v>
      </c>
      <c r="VL9">
        <v>1</v>
      </c>
      <c r="VN9">
        <v>1</v>
      </c>
      <c r="VT9">
        <v>1</v>
      </c>
      <c r="WD9">
        <v>1</v>
      </c>
      <c r="WE9">
        <v>1</v>
      </c>
      <c r="WL9">
        <v>1</v>
      </c>
      <c r="WQ9">
        <v>1</v>
      </c>
      <c r="YC9">
        <v>1</v>
      </c>
      <c r="YY9">
        <v>1</v>
      </c>
      <c r="ZC9">
        <v>1</v>
      </c>
      <c r="ZE9">
        <v>1</v>
      </c>
      <c r="ZI9">
        <v>1</v>
      </c>
      <c r="ZX9">
        <v>1</v>
      </c>
      <c r="ABA9">
        <v>1</v>
      </c>
      <c r="ABN9">
        <v>1</v>
      </c>
      <c r="ABP9">
        <v>1</v>
      </c>
      <c r="ACB9">
        <v>1</v>
      </c>
      <c r="ACE9">
        <v>1</v>
      </c>
      <c r="ACU9">
        <v>1</v>
      </c>
      <c r="ADH9">
        <v>1</v>
      </c>
      <c r="ADR9">
        <v>1</v>
      </c>
      <c r="ADY9">
        <v>1</v>
      </c>
      <c r="ADZ9">
        <v>1</v>
      </c>
      <c r="AEF9">
        <v>1</v>
      </c>
      <c r="AEZ9">
        <v>1</v>
      </c>
      <c r="AFE9">
        <v>1</v>
      </c>
      <c r="AFH9">
        <v>1</v>
      </c>
      <c r="AFQ9">
        <v>1</v>
      </c>
      <c r="AFT9">
        <v>1</v>
      </c>
      <c r="AFZ9">
        <v>1</v>
      </c>
      <c r="AGI9">
        <v>1</v>
      </c>
      <c r="AGU9">
        <v>1</v>
      </c>
      <c r="AGW9">
        <v>1</v>
      </c>
      <c r="AGY9">
        <v>1</v>
      </c>
      <c r="AHF9">
        <v>1</v>
      </c>
      <c r="AHR9">
        <v>1</v>
      </c>
      <c r="AHS9">
        <v>1</v>
      </c>
      <c r="AIA9">
        <v>1</v>
      </c>
      <c r="AIC9">
        <v>1</v>
      </c>
      <c r="AIF9">
        <v>1</v>
      </c>
      <c r="AIH9">
        <v>1</v>
      </c>
      <c r="AIT9">
        <v>1</v>
      </c>
      <c r="AJI9">
        <v>1</v>
      </c>
      <c r="AJL9">
        <v>1</v>
      </c>
      <c r="AKH9">
        <v>1</v>
      </c>
      <c r="AKX9">
        <v>1</v>
      </c>
      <c r="ALE9">
        <v>1</v>
      </c>
      <c r="ALP9">
        <v>1</v>
      </c>
      <c r="ALQ9">
        <v>1</v>
      </c>
      <c r="ALZ9">
        <v>1</v>
      </c>
      <c r="AMK9">
        <v>1</v>
      </c>
      <c r="AMY9">
        <v>1</v>
      </c>
      <c r="ANA9">
        <v>1</v>
      </c>
      <c r="ANR9">
        <v>1</v>
      </c>
      <c r="ANT9">
        <v>1</v>
      </c>
      <c r="ANW9">
        <v>1</v>
      </c>
      <c r="ANY9">
        <v>1</v>
      </c>
      <c r="AOB9">
        <v>1</v>
      </c>
      <c r="AOS9">
        <v>1</v>
      </c>
      <c r="APO9">
        <v>1</v>
      </c>
      <c r="APR9">
        <v>1</v>
      </c>
      <c r="AQP9">
        <v>1</v>
      </c>
      <c r="AQT9">
        <v>1</v>
      </c>
      <c r="ARA9">
        <v>1</v>
      </c>
      <c r="ARD9">
        <v>1</v>
      </c>
      <c r="ARH9">
        <v>1</v>
      </c>
      <c r="ARR9">
        <v>1</v>
      </c>
      <c r="ARV9">
        <v>1</v>
      </c>
      <c r="ARY9">
        <v>1</v>
      </c>
      <c r="ASM9">
        <v>1</v>
      </c>
      <c r="ASN9">
        <v>1</v>
      </c>
      <c r="ASO9">
        <v>1</v>
      </c>
      <c r="ASX9">
        <v>1</v>
      </c>
      <c r="ATE9">
        <v>1</v>
      </c>
      <c r="ATO9">
        <v>1</v>
      </c>
      <c r="ATS9">
        <v>1</v>
      </c>
      <c r="ATZ9">
        <v>1</v>
      </c>
      <c r="AUE9">
        <v>1</v>
      </c>
      <c r="AUK9">
        <v>1</v>
      </c>
      <c r="AUL9">
        <v>1</v>
      </c>
      <c r="AUT9">
        <v>1</v>
      </c>
      <c r="AUY9">
        <v>1</v>
      </c>
      <c r="AVJ9">
        <v>1</v>
      </c>
      <c r="AVK9">
        <v>1</v>
      </c>
      <c r="AVP9">
        <v>1</v>
      </c>
      <c r="AVX9">
        <v>1</v>
      </c>
      <c r="AWH9">
        <v>1</v>
      </c>
      <c r="AWJ9">
        <v>1</v>
      </c>
      <c r="AXQ9">
        <v>1</v>
      </c>
      <c r="AYK9">
        <v>1</v>
      </c>
      <c r="AYO9">
        <v>1</v>
      </c>
      <c r="AYR9">
        <v>1</v>
      </c>
      <c r="AYS9">
        <v>1</v>
      </c>
      <c r="AYY9">
        <v>1</v>
      </c>
      <c r="AZM9">
        <v>1</v>
      </c>
      <c r="BAX9">
        <v>1</v>
      </c>
      <c r="BBF9">
        <v>1</v>
      </c>
      <c r="BBI9">
        <v>1</v>
      </c>
      <c r="BBS9">
        <v>1</v>
      </c>
      <c r="BBW9">
        <v>1</v>
      </c>
      <c r="BCG9">
        <v>1</v>
      </c>
      <c r="BCI9">
        <v>1</v>
      </c>
      <c r="BCZ9">
        <v>1</v>
      </c>
      <c r="BDY9">
        <v>1</v>
      </c>
      <c r="BEI9">
        <v>1</v>
      </c>
      <c r="BEU9">
        <v>1</v>
      </c>
      <c r="BFC9">
        <v>1</v>
      </c>
      <c r="BFE9">
        <v>1</v>
      </c>
      <c r="BGM9">
        <v>1</v>
      </c>
      <c r="BGN9">
        <v>1</v>
      </c>
      <c r="BGR9">
        <v>1</v>
      </c>
      <c r="BHR9">
        <v>1</v>
      </c>
      <c r="BIB9">
        <v>1</v>
      </c>
      <c r="BIR9">
        <v>1</v>
      </c>
      <c r="BIV9">
        <v>1</v>
      </c>
      <c r="BJJ9">
        <v>1</v>
      </c>
      <c r="BKN9">
        <v>1</v>
      </c>
      <c r="BLM9">
        <v>1</v>
      </c>
      <c r="BLR9">
        <v>1</v>
      </c>
      <c r="BML9">
        <v>1</v>
      </c>
      <c r="BNK9">
        <v>1</v>
      </c>
      <c r="BOA9">
        <v>1</v>
      </c>
      <c r="BOF9">
        <v>1</v>
      </c>
      <c r="BOV9">
        <v>1</v>
      </c>
      <c r="BPJ9">
        <v>1</v>
      </c>
      <c r="BPR9">
        <v>1</v>
      </c>
      <c r="BQQ9">
        <v>1</v>
      </c>
      <c r="BRD9">
        <v>1</v>
      </c>
      <c r="BRJ9">
        <v>1</v>
      </c>
      <c r="BRQ9">
        <v>1</v>
      </c>
      <c r="BSK9">
        <v>1</v>
      </c>
      <c r="BTO9">
        <v>1</v>
      </c>
      <c r="BUC9">
        <v>1</v>
      </c>
      <c r="BUJ9">
        <v>1</v>
      </c>
      <c r="BVK9">
        <v>1</v>
      </c>
      <c r="BWD9">
        <v>1</v>
      </c>
      <c r="BWE9">
        <v>1</v>
      </c>
      <c r="BWF9">
        <v>1</v>
      </c>
      <c r="BWG9">
        <v>1</v>
      </c>
      <c r="BWJ9">
        <v>1</v>
      </c>
      <c r="BWS9">
        <v>1</v>
      </c>
      <c r="BWZ9">
        <v>1</v>
      </c>
      <c r="BXN9">
        <v>1</v>
      </c>
      <c r="BXO9">
        <v>1</v>
      </c>
      <c r="BYD9">
        <v>1</v>
      </c>
      <c r="BYG9">
        <v>1</v>
      </c>
      <c r="BYH9">
        <v>1</v>
      </c>
      <c r="BYJ9">
        <v>1</v>
      </c>
      <c r="BYL9">
        <v>1</v>
      </c>
      <c r="BYM9">
        <v>1</v>
      </c>
      <c r="BYP9">
        <v>1</v>
      </c>
      <c r="BYT9">
        <v>1</v>
      </c>
      <c r="BZB9">
        <v>1</v>
      </c>
      <c r="BZN9">
        <v>1</v>
      </c>
      <c r="BZX9">
        <v>1</v>
      </c>
      <c r="CAE9">
        <v>1</v>
      </c>
      <c r="CAK9">
        <v>1</v>
      </c>
      <c r="CAN9">
        <v>1</v>
      </c>
      <c r="CAS9">
        <v>1</v>
      </c>
      <c r="CAT9">
        <v>1</v>
      </c>
      <c r="CAU9">
        <v>1</v>
      </c>
      <c r="CAW9">
        <v>1</v>
      </c>
      <c r="CAX9">
        <v>1</v>
      </c>
      <c r="CAZ9">
        <v>1</v>
      </c>
      <c r="CBE9">
        <v>1</v>
      </c>
      <c r="CBK9">
        <v>1</v>
      </c>
      <c r="CCV9">
        <v>1</v>
      </c>
      <c r="CCX9">
        <v>1</v>
      </c>
      <c r="CCY9">
        <v>1</v>
      </c>
      <c r="CCZ9">
        <v>1</v>
      </c>
      <c r="CDK9">
        <v>1</v>
      </c>
      <c r="CDO9">
        <v>1</v>
      </c>
      <c r="CDW9">
        <v>1</v>
      </c>
      <c r="CEB9">
        <v>1</v>
      </c>
      <c r="CEK9">
        <v>1</v>
      </c>
      <c r="CEQ9">
        <v>1</v>
      </c>
      <c r="CES9">
        <v>1</v>
      </c>
      <c r="CEU9">
        <v>1</v>
      </c>
      <c r="CFB9">
        <v>1</v>
      </c>
      <c r="CFD9">
        <v>1</v>
      </c>
      <c r="CFF9">
        <v>1</v>
      </c>
      <c r="CFK9">
        <v>1</v>
      </c>
      <c r="CFL9">
        <v>1</v>
      </c>
      <c r="CFR9">
        <v>1</v>
      </c>
      <c r="CGG9">
        <v>1</v>
      </c>
      <c r="CGJ9">
        <v>1</v>
      </c>
      <c r="CGL9">
        <v>1</v>
      </c>
      <c r="CGX9">
        <v>1</v>
      </c>
      <c r="CHH9">
        <v>1</v>
      </c>
      <c r="CHI9">
        <v>1</v>
      </c>
      <c r="CII9">
        <v>1</v>
      </c>
      <c r="CIU9">
        <v>1</v>
      </c>
      <c r="CJF9">
        <v>1</v>
      </c>
      <c r="CJG9">
        <v>1</v>
      </c>
      <c r="CJH9">
        <v>1</v>
      </c>
      <c r="CJJ9">
        <v>1</v>
      </c>
      <c r="CJL9">
        <v>1</v>
      </c>
      <c r="CJN9">
        <v>1</v>
      </c>
      <c r="CJT9">
        <v>1</v>
      </c>
      <c r="CKD9">
        <v>1</v>
      </c>
      <c r="CKE9">
        <v>1</v>
      </c>
      <c r="CKL9">
        <v>1</v>
      </c>
      <c r="CKQ9">
        <v>1</v>
      </c>
      <c r="CMC9">
        <v>1</v>
      </c>
      <c r="CMY9">
        <v>1</v>
      </c>
      <c r="CNC9">
        <v>1</v>
      </c>
      <c r="CNE9">
        <v>1</v>
      </c>
      <c r="CNI9">
        <v>1</v>
      </c>
      <c r="CNX9">
        <v>1</v>
      </c>
      <c r="CPA9">
        <v>1</v>
      </c>
      <c r="CPN9">
        <v>1</v>
      </c>
      <c r="CPP9">
        <v>1</v>
      </c>
      <c r="CQB9">
        <v>1</v>
      </c>
      <c r="CQE9">
        <v>1</v>
      </c>
      <c r="CQU9">
        <v>1</v>
      </c>
      <c r="CRH9">
        <v>1</v>
      </c>
      <c r="CRR9">
        <v>1</v>
      </c>
      <c r="CRY9">
        <v>1</v>
      </c>
      <c r="CRZ9">
        <v>1</v>
      </c>
      <c r="CSF9">
        <v>1</v>
      </c>
      <c r="CSZ9">
        <v>1</v>
      </c>
      <c r="CTE9">
        <v>1</v>
      </c>
      <c r="CTH9">
        <v>1</v>
      </c>
      <c r="CTQ9">
        <v>1</v>
      </c>
      <c r="CTT9">
        <v>1</v>
      </c>
      <c r="CTZ9">
        <v>1</v>
      </c>
      <c r="CUI9">
        <v>1</v>
      </c>
      <c r="CUU9">
        <v>1</v>
      </c>
      <c r="CUW9">
        <v>1</v>
      </c>
      <c r="CUY9">
        <v>1</v>
      </c>
      <c r="CVF9">
        <v>1</v>
      </c>
      <c r="CVR9">
        <v>1</v>
      </c>
      <c r="CVS9">
        <v>1</v>
      </c>
      <c r="CWA9">
        <v>1</v>
      </c>
      <c r="CWC9">
        <v>1</v>
      </c>
      <c r="CWF9">
        <v>1</v>
      </c>
      <c r="CWH9">
        <v>1</v>
      </c>
      <c r="CWT9">
        <v>1</v>
      </c>
      <c r="CXI9">
        <v>1</v>
      </c>
      <c r="CXL9">
        <v>1</v>
      </c>
      <c r="CYH9">
        <v>1</v>
      </c>
      <c r="CYX9">
        <v>1</v>
      </c>
      <c r="CZE9">
        <v>1</v>
      </c>
      <c r="CZP9">
        <v>1</v>
      </c>
      <c r="CZQ9">
        <v>1</v>
      </c>
      <c r="CZZ9">
        <v>1</v>
      </c>
      <c r="DAK9">
        <v>1</v>
      </c>
      <c r="DAY9">
        <v>1</v>
      </c>
      <c r="DBA9">
        <v>1</v>
      </c>
      <c r="DBR9">
        <v>1</v>
      </c>
      <c r="DBT9">
        <v>1</v>
      </c>
      <c r="DBW9">
        <v>1</v>
      </c>
      <c r="DBY9">
        <v>1</v>
      </c>
      <c r="DCB9">
        <v>1</v>
      </c>
      <c r="DCS9">
        <v>1</v>
      </c>
      <c r="DDO9">
        <v>1</v>
      </c>
      <c r="DDR9">
        <v>1</v>
      </c>
      <c r="DEP9">
        <v>1</v>
      </c>
      <c r="DET9">
        <v>1</v>
      </c>
      <c r="DFA9">
        <v>1</v>
      </c>
      <c r="DFD9">
        <v>1</v>
      </c>
      <c r="DFH9">
        <v>1</v>
      </c>
      <c r="DFR9">
        <v>1</v>
      </c>
      <c r="DFV9">
        <v>1</v>
      </c>
      <c r="DFY9">
        <v>1</v>
      </c>
      <c r="DGM9">
        <v>1</v>
      </c>
      <c r="DGN9">
        <v>1</v>
      </c>
      <c r="DGO9">
        <v>1</v>
      </c>
      <c r="DGX9">
        <v>1</v>
      </c>
      <c r="DHE9">
        <v>1</v>
      </c>
      <c r="DHO9">
        <v>1</v>
      </c>
      <c r="DHS9">
        <v>1</v>
      </c>
      <c r="DHZ9">
        <v>1</v>
      </c>
      <c r="DIE9">
        <v>1</v>
      </c>
      <c r="DIK9">
        <v>1</v>
      </c>
      <c r="DIL9">
        <v>1</v>
      </c>
      <c r="DIT9">
        <v>1</v>
      </c>
      <c r="DIY9">
        <v>1</v>
      </c>
      <c r="DJJ9">
        <v>1</v>
      </c>
      <c r="DJK9">
        <v>1</v>
      </c>
      <c r="DJP9">
        <v>1</v>
      </c>
      <c r="DJX9">
        <v>1</v>
      </c>
      <c r="DKH9">
        <v>1</v>
      </c>
      <c r="DKJ9">
        <v>1</v>
      </c>
      <c r="DLQ9">
        <v>1</v>
      </c>
      <c r="DMK9">
        <v>1</v>
      </c>
      <c r="DMO9">
        <v>1</v>
      </c>
      <c r="DMR9">
        <v>1</v>
      </c>
      <c r="DMS9">
        <v>1</v>
      </c>
      <c r="DMY9">
        <v>1</v>
      </c>
      <c r="DNM9">
        <v>1</v>
      </c>
      <c r="DOX9">
        <v>1</v>
      </c>
      <c r="DPF9">
        <v>1</v>
      </c>
      <c r="DPI9">
        <v>1</v>
      </c>
      <c r="DPS9">
        <v>1</v>
      </c>
      <c r="DPW9">
        <v>1</v>
      </c>
      <c r="DQG9">
        <v>1</v>
      </c>
      <c r="DQI9">
        <v>1</v>
      </c>
      <c r="DQZ9">
        <v>1</v>
      </c>
      <c r="DRY9">
        <v>1</v>
      </c>
      <c r="DSI9">
        <v>1</v>
      </c>
      <c r="DSU9">
        <v>1</v>
      </c>
      <c r="DTC9">
        <v>1</v>
      </c>
      <c r="DTE9">
        <v>1</v>
      </c>
      <c r="DUM9">
        <v>1</v>
      </c>
      <c r="DUN9">
        <v>1</v>
      </c>
      <c r="DUR9">
        <v>1</v>
      </c>
      <c r="DVR9">
        <v>1</v>
      </c>
      <c r="DWB9">
        <v>1</v>
      </c>
      <c r="DWR9">
        <v>1</v>
      </c>
      <c r="DWV9">
        <v>1</v>
      </c>
      <c r="DXJ9">
        <v>1</v>
      </c>
      <c r="DYN9">
        <v>1</v>
      </c>
      <c r="DZM9">
        <v>1</v>
      </c>
      <c r="DZR9">
        <v>1</v>
      </c>
      <c r="EAL9">
        <v>1</v>
      </c>
      <c r="EBZ9">
        <v>1</v>
      </c>
      <c r="EDG9">
        <f>SUMPRODUCT(Constraint_3,Decision_variables)</f>
        <v>1</v>
      </c>
      <c r="EDH9" t="s">
        <v>5264</v>
      </c>
      <c r="EDI9">
        <v>1</v>
      </c>
    </row>
    <row r="10" spans="1:3493" x14ac:dyDescent="0.3">
      <c r="B10" t="s">
        <v>3495</v>
      </c>
      <c r="I10">
        <v>1</v>
      </c>
      <c r="AA10">
        <v>1</v>
      </c>
      <c r="AO10">
        <v>1</v>
      </c>
      <c r="BN10">
        <v>1</v>
      </c>
      <c r="BO10">
        <v>1</v>
      </c>
      <c r="CF10">
        <v>1</v>
      </c>
      <c r="CS10">
        <v>1</v>
      </c>
      <c r="CT10">
        <v>1</v>
      </c>
      <c r="DN10">
        <v>1</v>
      </c>
      <c r="EC10">
        <v>1</v>
      </c>
      <c r="ED10">
        <v>1</v>
      </c>
      <c r="EE10">
        <v>1</v>
      </c>
      <c r="EP10">
        <v>1</v>
      </c>
      <c r="EQ10">
        <v>1</v>
      </c>
      <c r="EY10">
        <v>1</v>
      </c>
      <c r="GD10">
        <v>1</v>
      </c>
      <c r="IB10">
        <v>1</v>
      </c>
      <c r="JG10">
        <v>1</v>
      </c>
      <c r="JL10">
        <v>1</v>
      </c>
      <c r="JN10">
        <v>1</v>
      </c>
      <c r="JR10">
        <v>1</v>
      </c>
      <c r="JT10">
        <v>1</v>
      </c>
      <c r="KC10">
        <v>1</v>
      </c>
      <c r="KR10">
        <v>1</v>
      </c>
      <c r="KW10">
        <v>1</v>
      </c>
      <c r="LO10">
        <v>1</v>
      </c>
      <c r="MA10">
        <v>1</v>
      </c>
      <c r="MF10">
        <v>1</v>
      </c>
      <c r="MJ10">
        <v>1</v>
      </c>
      <c r="MM10">
        <v>1</v>
      </c>
      <c r="MO10">
        <v>1</v>
      </c>
      <c r="NM10">
        <v>1</v>
      </c>
      <c r="NN10">
        <v>1</v>
      </c>
      <c r="NQ10">
        <v>1</v>
      </c>
      <c r="NT10">
        <v>1</v>
      </c>
      <c r="NU10">
        <v>1</v>
      </c>
      <c r="NX10">
        <v>1</v>
      </c>
      <c r="OA10">
        <v>1</v>
      </c>
      <c r="OR10">
        <v>1</v>
      </c>
      <c r="OU10">
        <v>1</v>
      </c>
      <c r="OV10">
        <v>1</v>
      </c>
      <c r="OZ10">
        <v>1</v>
      </c>
      <c r="PA10">
        <v>1</v>
      </c>
      <c r="PC10">
        <v>1</v>
      </c>
      <c r="PG10">
        <v>1</v>
      </c>
      <c r="PM10">
        <v>1</v>
      </c>
      <c r="PQ10">
        <v>1</v>
      </c>
      <c r="PX10">
        <v>1</v>
      </c>
      <c r="RG10">
        <v>1</v>
      </c>
      <c r="RQ10">
        <v>1</v>
      </c>
      <c r="RT10">
        <v>1</v>
      </c>
      <c r="SH10">
        <v>1</v>
      </c>
      <c r="SJ10">
        <v>1</v>
      </c>
      <c r="TN10">
        <v>1</v>
      </c>
      <c r="UC10">
        <v>1</v>
      </c>
      <c r="UV10">
        <v>1</v>
      </c>
      <c r="VE10">
        <v>1</v>
      </c>
      <c r="VQ10">
        <v>1</v>
      </c>
      <c r="VR10">
        <v>1</v>
      </c>
      <c r="VW10">
        <v>1</v>
      </c>
      <c r="WC10">
        <v>1</v>
      </c>
      <c r="WF10">
        <v>1</v>
      </c>
      <c r="WJ10">
        <v>1</v>
      </c>
      <c r="WL10">
        <v>1</v>
      </c>
      <c r="WP10">
        <v>1</v>
      </c>
      <c r="XA10">
        <v>1</v>
      </c>
      <c r="XL10">
        <v>1</v>
      </c>
      <c r="XM10">
        <v>1</v>
      </c>
      <c r="XV10">
        <v>1</v>
      </c>
      <c r="XZ10">
        <v>1</v>
      </c>
      <c r="YA10">
        <v>1</v>
      </c>
      <c r="YG10">
        <v>1</v>
      </c>
      <c r="YH10">
        <v>1</v>
      </c>
      <c r="YO10">
        <v>1</v>
      </c>
      <c r="ZC10">
        <v>1</v>
      </c>
      <c r="ZL10">
        <v>1</v>
      </c>
      <c r="AAB10">
        <v>1</v>
      </c>
      <c r="AAC10">
        <v>1</v>
      </c>
      <c r="AAX10">
        <v>1</v>
      </c>
      <c r="AAY10">
        <v>1</v>
      </c>
      <c r="ABB10">
        <v>1</v>
      </c>
      <c r="ABE10">
        <v>1</v>
      </c>
      <c r="ABL10">
        <v>1</v>
      </c>
      <c r="ABR10">
        <v>1</v>
      </c>
      <c r="ABS10">
        <v>1</v>
      </c>
      <c r="ACD10">
        <v>1</v>
      </c>
      <c r="ACI10">
        <v>1</v>
      </c>
      <c r="ADH10">
        <v>1</v>
      </c>
      <c r="ADI10">
        <v>1</v>
      </c>
      <c r="ADM10">
        <v>1</v>
      </c>
      <c r="ADO10">
        <v>1</v>
      </c>
      <c r="ADQ10">
        <v>1</v>
      </c>
      <c r="ADW10">
        <v>1</v>
      </c>
      <c r="AEA10">
        <v>1</v>
      </c>
      <c r="AEC10">
        <v>1</v>
      </c>
      <c r="AED10">
        <v>1</v>
      </c>
      <c r="AEJ10">
        <v>1</v>
      </c>
      <c r="AEL10">
        <v>1</v>
      </c>
      <c r="AEN10">
        <v>1</v>
      </c>
      <c r="AEV10">
        <v>1</v>
      </c>
      <c r="AFG10">
        <v>1</v>
      </c>
      <c r="AFN10">
        <v>1</v>
      </c>
      <c r="AFO10">
        <v>1</v>
      </c>
      <c r="AGG10">
        <v>1</v>
      </c>
      <c r="AGK10">
        <v>1</v>
      </c>
      <c r="AGL10">
        <v>1</v>
      </c>
      <c r="AGM10">
        <v>1</v>
      </c>
      <c r="AGY10">
        <v>1</v>
      </c>
      <c r="AHN10">
        <v>1</v>
      </c>
      <c r="AHO10">
        <v>1</v>
      </c>
      <c r="AHX10">
        <v>1</v>
      </c>
      <c r="AHZ10">
        <v>1</v>
      </c>
      <c r="AIB10">
        <v>1</v>
      </c>
      <c r="AII10">
        <v>1</v>
      </c>
      <c r="AIQ10">
        <v>1</v>
      </c>
      <c r="AIU10">
        <v>1</v>
      </c>
      <c r="AIX10">
        <v>1</v>
      </c>
      <c r="AJB10">
        <v>1</v>
      </c>
      <c r="AJE10">
        <v>1</v>
      </c>
      <c r="AJO10">
        <v>1</v>
      </c>
      <c r="AKG10">
        <v>1</v>
      </c>
      <c r="AKK10">
        <v>1</v>
      </c>
      <c r="AKN10">
        <v>1</v>
      </c>
      <c r="AKR10">
        <v>1</v>
      </c>
      <c r="AKV10">
        <v>1</v>
      </c>
      <c r="AKZ10">
        <v>1</v>
      </c>
      <c r="ALB10">
        <v>1</v>
      </c>
      <c r="ALD10">
        <v>1</v>
      </c>
      <c r="ALO10">
        <v>1</v>
      </c>
      <c r="ALP10">
        <v>1</v>
      </c>
      <c r="ALS10">
        <v>1</v>
      </c>
      <c r="AMS10">
        <v>1</v>
      </c>
      <c r="AMT10">
        <v>1</v>
      </c>
      <c r="AMV10">
        <v>1</v>
      </c>
      <c r="AMX10">
        <v>1</v>
      </c>
      <c r="AMZ10">
        <v>1</v>
      </c>
      <c r="ANR10">
        <v>1</v>
      </c>
      <c r="ANT10">
        <v>1</v>
      </c>
      <c r="ANZ10">
        <v>1</v>
      </c>
      <c r="AOA10">
        <v>1</v>
      </c>
      <c r="AOB10">
        <v>1</v>
      </c>
      <c r="AOC10">
        <v>1</v>
      </c>
      <c r="AOD10">
        <v>1</v>
      </c>
      <c r="AOF10">
        <v>1</v>
      </c>
      <c r="AOM10">
        <v>1</v>
      </c>
      <c r="AOQ10">
        <v>1</v>
      </c>
      <c r="AOT10">
        <v>1</v>
      </c>
      <c r="APL10">
        <v>1</v>
      </c>
      <c r="APO10">
        <v>1</v>
      </c>
      <c r="AQH10">
        <v>1</v>
      </c>
      <c r="AQU10">
        <v>1</v>
      </c>
      <c r="ARD10">
        <v>1</v>
      </c>
      <c r="ARR10">
        <v>1</v>
      </c>
      <c r="ARW10">
        <v>1</v>
      </c>
      <c r="ARZ10">
        <v>1</v>
      </c>
      <c r="ASG10">
        <v>1</v>
      </c>
      <c r="ASH10">
        <v>1</v>
      </c>
      <c r="ATC10">
        <v>1</v>
      </c>
      <c r="ATK10">
        <v>1</v>
      </c>
      <c r="ATQ10">
        <v>1</v>
      </c>
      <c r="AUH10">
        <v>1</v>
      </c>
      <c r="AUK10">
        <v>1</v>
      </c>
      <c r="AUL10">
        <v>1</v>
      </c>
      <c r="AUP10">
        <v>1</v>
      </c>
      <c r="AUS10">
        <v>1</v>
      </c>
      <c r="AUU10">
        <v>1</v>
      </c>
      <c r="AVD10">
        <v>1</v>
      </c>
      <c r="AVP10">
        <v>1</v>
      </c>
      <c r="AVX10">
        <v>1</v>
      </c>
      <c r="AVZ10">
        <v>1</v>
      </c>
      <c r="AWD10">
        <v>1</v>
      </c>
      <c r="AWI10">
        <v>1</v>
      </c>
      <c r="AWW10">
        <v>1</v>
      </c>
      <c r="AXD10">
        <v>1</v>
      </c>
      <c r="AXO10">
        <v>1</v>
      </c>
      <c r="AXQ10">
        <v>1</v>
      </c>
      <c r="AXZ10">
        <v>1</v>
      </c>
      <c r="AYB10">
        <v>1</v>
      </c>
      <c r="AYJ10">
        <v>1</v>
      </c>
      <c r="AYW10">
        <v>1</v>
      </c>
      <c r="AYY10">
        <v>1</v>
      </c>
      <c r="AZF10">
        <v>1</v>
      </c>
      <c r="AZJ10">
        <v>1</v>
      </c>
      <c r="BAA10">
        <v>1</v>
      </c>
      <c r="BAE10">
        <v>1</v>
      </c>
      <c r="BAH10">
        <v>1</v>
      </c>
      <c r="BAK10">
        <v>1</v>
      </c>
      <c r="BAS10">
        <v>1</v>
      </c>
      <c r="BAU10">
        <v>1</v>
      </c>
      <c r="BAV10">
        <v>1</v>
      </c>
      <c r="BAW10">
        <v>1</v>
      </c>
      <c r="BAX10">
        <v>1</v>
      </c>
      <c r="BBA10">
        <v>1</v>
      </c>
      <c r="BBD10">
        <v>1</v>
      </c>
      <c r="BBM10">
        <v>1</v>
      </c>
      <c r="BBP10">
        <v>1</v>
      </c>
      <c r="BBT10">
        <v>1</v>
      </c>
      <c r="BCE10">
        <v>1</v>
      </c>
      <c r="BCF10">
        <v>1</v>
      </c>
      <c r="BCN10">
        <v>1</v>
      </c>
      <c r="BCO10">
        <v>1</v>
      </c>
      <c r="BCV10">
        <v>1</v>
      </c>
      <c r="BDE10">
        <v>1</v>
      </c>
      <c r="BDF10">
        <v>1</v>
      </c>
      <c r="BDL10">
        <v>1</v>
      </c>
      <c r="BDM10">
        <v>1</v>
      </c>
      <c r="BDN10">
        <v>1</v>
      </c>
      <c r="BDR10">
        <v>1</v>
      </c>
      <c r="BDS10">
        <v>1</v>
      </c>
      <c r="BDZ10">
        <v>1</v>
      </c>
      <c r="BES10">
        <v>1</v>
      </c>
      <c r="BFA10">
        <v>1</v>
      </c>
      <c r="BFX10">
        <v>1</v>
      </c>
      <c r="BGA10">
        <v>1</v>
      </c>
      <c r="BGJ10">
        <v>1</v>
      </c>
      <c r="BHE10">
        <v>1</v>
      </c>
      <c r="BHP10">
        <v>1</v>
      </c>
      <c r="BHR10">
        <v>1</v>
      </c>
      <c r="BHS10">
        <v>1</v>
      </c>
      <c r="BHU10">
        <v>1</v>
      </c>
      <c r="BIB10">
        <v>1</v>
      </c>
      <c r="BID10">
        <v>1</v>
      </c>
      <c r="BIX10">
        <v>1</v>
      </c>
      <c r="BJA10">
        <v>1</v>
      </c>
      <c r="BJH10">
        <v>1</v>
      </c>
      <c r="BJM10">
        <v>1</v>
      </c>
      <c r="BJY10">
        <v>1</v>
      </c>
      <c r="BKI10">
        <v>1</v>
      </c>
      <c r="BKJ10">
        <v>1</v>
      </c>
      <c r="BKU10">
        <v>1</v>
      </c>
      <c r="BLA10">
        <v>1</v>
      </c>
      <c r="BLN10">
        <v>1</v>
      </c>
      <c r="BLO10">
        <v>1</v>
      </c>
      <c r="BLR10">
        <v>1</v>
      </c>
      <c r="BLZ10">
        <v>1</v>
      </c>
      <c r="BMA10">
        <v>1</v>
      </c>
      <c r="BMR10">
        <v>1</v>
      </c>
      <c r="BMT10">
        <v>1</v>
      </c>
      <c r="BNI10">
        <v>1</v>
      </c>
      <c r="BOA10">
        <v>1</v>
      </c>
      <c r="BOO10">
        <v>1</v>
      </c>
      <c r="BPN10">
        <v>1</v>
      </c>
      <c r="BPO10">
        <v>1</v>
      </c>
      <c r="BQF10">
        <v>1</v>
      </c>
      <c r="BQS10">
        <v>1</v>
      </c>
      <c r="BQT10">
        <v>1</v>
      </c>
      <c r="BRN10">
        <v>1</v>
      </c>
      <c r="BSC10">
        <v>1</v>
      </c>
      <c r="BSD10">
        <v>1</v>
      </c>
      <c r="BSE10">
        <v>1</v>
      </c>
      <c r="BSP10">
        <v>1</v>
      </c>
      <c r="BSQ10">
        <v>1</v>
      </c>
      <c r="BSY10">
        <v>1</v>
      </c>
      <c r="BUD10">
        <v>1</v>
      </c>
      <c r="BWB10">
        <v>1</v>
      </c>
      <c r="BXG10">
        <v>1</v>
      </c>
      <c r="BXL10">
        <v>1</v>
      </c>
      <c r="BXN10">
        <v>1</v>
      </c>
      <c r="BXR10">
        <v>1</v>
      </c>
      <c r="BXT10">
        <v>1</v>
      </c>
      <c r="BYC10">
        <v>1</v>
      </c>
      <c r="BYR10">
        <v>1</v>
      </c>
      <c r="BYW10">
        <v>1</v>
      </c>
      <c r="BZO10">
        <v>1</v>
      </c>
      <c r="CAA10">
        <v>1</v>
      </c>
      <c r="CAF10">
        <v>1</v>
      </c>
      <c r="CAJ10">
        <v>1</v>
      </c>
      <c r="CAM10">
        <v>1</v>
      </c>
      <c r="CAO10">
        <v>1</v>
      </c>
      <c r="CBM10">
        <v>1</v>
      </c>
      <c r="CBN10">
        <v>1</v>
      </c>
      <c r="CBQ10">
        <v>1</v>
      </c>
      <c r="CBT10">
        <v>1</v>
      </c>
      <c r="CBU10">
        <v>1</v>
      </c>
      <c r="CBX10">
        <v>1</v>
      </c>
      <c r="CCA10">
        <v>1</v>
      </c>
      <c r="CCR10">
        <v>1</v>
      </c>
      <c r="CCU10">
        <v>1</v>
      </c>
      <c r="CCV10">
        <v>1</v>
      </c>
      <c r="CCZ10">
        <v>1</v>
      </c>
      <c r="CDA10">
        <v>1</v>
      </c>
      <c r="CDC10">
        <v>1</v>
      </c>
      <c r="CDG10">
        <v>1</v>
      </c>
      <c r="CDM10">
        <v>1</v>
      </c>
      <c r="CDQ10">
        <v>1</v>
      </c>
      <c r="CDX10">
        <v>1</v>
      </c>
      <c r="CFG10">
        <v>1</v>
      </c>
      <c r="CFQ10">
        <v>1</v>
      </c>
      <c r="CFT10">
        <v>1</v>
      </c>
      <c r="CGH10">
        <v>1</v>
      </c>
      <c r="CGJ10">
        <v>1</v>
      </c>
      <c r="CHN10">
        <v>1</v>
      </c>
      <c r="CIC10">
        <v>1</v>
      </c>
      <c r="CIV10">
        <v>1</v>
      </c>
      <c r="CJE10">
        <v>1</v>
      </c>
      <c r="CJQ10">
        <v>1</v>
      </c>
      <c r="CJR10">
        <v>1</v>
      </c>
      <c r="CJW10">
        <v>1</v>
      </c>
      <c r="CKC10">
        <v>1</v>
      </c>
      <c r="CKF10">
        <v>1</v>
      </c>
      <c r="CKJ10">
        <v>1</v>
      </c>
      <c r="CKL10">
        <v>1</v>
      </c>
      <c r="CKP10">
        <v>1</v>
      </c>
      <c r="CLA10">
        <v>1</v>
      </c>
      <c r="CLL10">
        <v>1</v>
      </c>
      <c r="CLM10">
        <v>1</v>
      </c>
      <c r="CLV10">
        <v>1</v>
      </c>
      <c r="CLZ10">
        <v>1</v>
      </c>
      <c r="CMA10">
        <v>1</v>
      </c>
      <c r="CMG10">
        <v>1</v>
      </c>
      <c r="CMH10">
        <v>1</v>
      </c>
      <c r="CMO10">
        <v>1</v>
      </c>
      <c r="CNC10">
        <v>1</v>
      </c>
      <c r="CNL10">
        <v>1</v>
      </c>
      <c r="COB10">
        <v>1</v>
      </c>
      <c r="COC10">
        <v>1</v>
      </c>
      <c r="COX10">
        <v>1</v>
      </c>
      <c r="COY10">
        <v>1</v>
      </c>
      <c r="CPB10">
        <v>1</v>
      </c>
      <c r="CPE10">
        <v>1</v>
      </c>
      <c r="CPL10">
        <v>1</v>
      </c>
      <c r="CPR10">
        <v>1</v>
      </c>
      <c r="CPS10">
        <v>1</v>
      </c>
      <c r="CQD10">
        <v>1</v>
      </c>
      <c r="CQI10">
        <v>1</v>
      </c>
      <c r="CRH10">
        <v>1</v>
      </c>
      <c r="CRI10">
        <v>1</v>
      </c>
      <c r="CRM10">
        <v>1</v>
      </c>
      <c r="CRO10">
        <v>1</v>
      </c>
      <c r="CRQ10">
        <v>1</v>
      </c>
      <c r="CRW10">
        <v>1</v>
      </c>
      <c r="CSA10">
        <v>1</v>
      </c>
      <c r="CSC10">
        <v>1</v>
      </c>
      <c r="CSD10">
        <v>1</v>
      </c>
      <c r="CSJ10">
        <v>1</v>
      </c>
      <c r="CSL10">
        <v>1</v>
      </c>
      <c r="CSN10">
        <v>1</v>
      </c>
      <c r="CSV10">
        <v>1</v>
      </c>
      <c r="CTG10">
        <v>1</v>
      </c>
      <c r="CTN10">
        <v>1</v>
      </c>
      <c r="CTO10">
        <v>1</v>
      </c>
      <c r="CUG10">
        <v>1</v>
      </c>
      <c r="CUK10">
        <v>1</v>
      </c>
      <c r="CUL10">
        <v>1</v>
      </c>
      <c r="CUM10">
        <v>1</v>
      </c>
      <c r="CUY10">
        <v>1</v>
      </c>
      <c r="CVN10">
        <v>1</v>
      </c>
      <c r="CVO10">
        <v>1</v>
      </c>
      <c r="CVX10">
        <v>1</v>
      </c>
      <c r="CVZ10">
        <v>1</v>
      </c>
      <c r="CWB10">
        <v>1</v>
      </c>
      <c r="CWI10">
        <v>1</v>
      </c>
      <c r="CWQ10">
        <v>1</v>
      </c>
      <c r="CWU10">
        <v>1</v>
      </c>
      <c r="CWX10">
        <v>1</v>
      </c>
      <c r="CXB10">
        <v>1</v>
      </c>
      <c r="CXE10">
        <v>1</v>
      </c>
      <c r="CXO10">
        <v>1</v>
      </c>
      <c r="CYG10">
        <v>1</v>
      </c>
      <c r="CYK10">
        <v>1</v>
      </c>
      <c r="CYN10">
        <v>1</v>
      </c>
      <c r="CYR10">
        <v>1</v>
      </c>
      <c r="CYV10">
        <v>1</v>
      </c>
      <c r="CYZ10">
        <v>1</v>
      </c>
      <c r="CZB10">
        <v>1</v>
      </c>
      <c r="CZD10">
        <v>1</v>
      </c>
      <c r="CZO10">
        <v>1</v>
      </c>
      <c r="CZP10">
        <v>1</v>
      </c>
      <c r="CZS10">
        <v>1</v>
      </c>
      <c r="DAS10">
        <v>1</v>
      </c>
      <c r="DAT10">
        <v>1</v>
      </c>
      <c r="DAV10">
        <v>1</v>
      </c>
      <c r="DAX10">
        <v>1</v>
      </c>
      <c r="DAZ10">
        <v>1</v>
      </c>
      <c r="DBR10">
        <v>1</v>
      </c>
      <c r="DBT10">
        <v>1</v>
      </c>
      <c r="DBZ10">
        <v>1</v>
      </c>
      <c r="DCA10">
        <v>1</v>
      </c>
      <c r="DCB10">
        <v>1</v>
      </c>
      <c r="DCC10">
        <v>1</v>
      </c>
      <c r="DCD10">
        <v>1</v>
      </c>
      <c r="DCF10">
        <v>1</v>
      </c>
      <c r="DCM10">
        <v>1</v>
      </c>
      <c r="DCQ10">
        <v>1</v>
      </c>
      <c r="DCT10">
        <v>1</v>
      </c>
      <c r="DDL10">
        <v>1</v>
      </c>
      <c r="DDO10">
        <v>1</v>
      </c>
      <c r="DEH10">
        <v>1</v>
      </c>
      <c r="DEU10">
        <v>1</v>
      </c>
      <c r="DFD10">
        <v>1</v>
      </c>
      <c r="DFR10">
        <v>1</v>
      </c>
      <c r="DFW10">
        <v>1</v>
      </c>
      <c r="DFZ10">
        <v>1</v>
      </c>
      <c r="DGG10">
        <v>1</v>
      </c>
      <c r="DGH10">
        <v>1</v>
      </c>
      <c r="DHC10">
        <v>1</v>
      </c>
      <c r="DHK10">
        <v>1</v>
      </c>
      <c r="DHQ10">
        <v>1</v>
      </c>
      <c r="DIH10">
        <v>1</v>
      </c>
      <c r="DIK10">
        <v>1</v>
      </c>
      <c r="DIL10">
        <v>1</v>
      </c>
      <c r="DIP10">
        <v>1</v>
      </c>
      <c r="DIS10">
        <v>1</v>
      </c>
      <c r="DIU10">
        <v>1</v>
      </c>
      <c r="DJD10">
        <v>1</v>
      </c>
      <c r="DJP10">
        <v>1</v>
      </c>
      <c r="DJX10">
        <v>1</v>
      </c>
      <c r="DJZ10">
        <v>1</v>
      </c>
      <c r="DKD10">
        <v>1</v>
      </c>
      <c r="DKI10">
        <v>1</v>
      </c>
      <c r="DKW10">
        <v>1</v>
      </c>
      <c r="DLD10">
        <v>1</v>
      </c>
      <c r="DLO10">
        <v>1</v>
      </c>
      <c r="DLQ10">
        <v>1</v>
      </c>
      <c r="DLZ10">
        <v>1</v>
      </c>
      <c r="DMB10">
        <v>1</v>
      </c>
      <c r="DMJ10">
        <v>1</v>
      </c>
      <c r="DMW10">
        <v>1</v>
      </c>
      <c r="DMY10">
        <v>1</v>
      </c>
      <c r="DNF10">
        <v>1</v>
      </c>
      <c r="DNJ10">
        <v>1</v>
      </c>
      <c r="DOA10">
        <v>1</v>
      </c>
      <c r="DOE10">
        <v>1</v>
      </c>
      <c r="DOH10">
        <v>1</v>
      </c>
      <c r="DOK10">
        <v>1</v>
      </c>
      <c r="DOS10">
        <v>1</v>
      </c>
      <c r="DOU10">
        <v>1</v>
      </c>
      <c r="DOV10">
        <v>1</v>
      </c>
      <c r="DOW10">
        <v>1</v>
      </c>
      <c r="DOX10">
        <v>1</v>
      </c>
      <c r="DPA10">
        <v>1</v>
      </c>
      <c r="DPD10">
        <v>1</v>
      </c>
      <c r="DPM10">
        <v>1</v>
      </c>
      <c r="DPP10">
        <v>1</v>
      </c>
      <c r="DPT10">
        <v>1</v>
      </c>
      <c r="DQE10">
        <v>1</v>
      </c>
      <c r="DQF10">
        <v>1</v>
      </c>
      <c r="DQN10">
        <v>1</v>
      </c>
      <c r="DQO10">
        <v>1</v>
      </c>
      <c r="DQV10">
        <v>1</v>
      </c>
      <c r="DRE10">
        <v>1</v>
      </c>
      <c r="DRF10">
        <v>1</v>
      </c>
      <c r="DRL10">
        <v>1</v>
      </c>
      <c r="DRM10">
        <v>1</v>
      </c>
      <c r="DRN10">
        <v>1</v>
      </c>
      <c r="DRR10">
        <v>1</v>
      </c>
      <c r="DRS10">
        <v>1</v>
      </c>
      <c r="DRZ10">
        <v>1</v>
      </c>
      <c r="DSS10">
        <v>1</v>
      </c>
      <c r="DTA10">
        <v>1</v>
      </c>
      <c r="DTX10">
        <v>1</v>
      </c>
      <c r="DUA10">
        <v>1</v>
      </c>
      <c r="DUJ10">
        <v>1</v>
      </c>
      <c r="DVE10">
        <v>1</v>
      </c>
      <c r="DVP10">
        <v>1</v>
      </c>
      <c r="DVR10">
        <v>1</v>
      </c>
      <c r="DVS10">
        <v>1</v>
      </c>
      <c r="DVU10">
        <v>1</v>
      </c>
      <c r="DWB10">
        <v>1</v>
      </c>
      <c r="DWD10">
        <v>1</v>
      </c>
      <c r="DWX10">
        <v>1</v>
      </c>
      <c r="DXA10">
        <v>1</v>
      </c>
      <c r="DXH10">
        <v>1</v>
      </c>
      <c r="DXM10">
        <v>1</v>
      </c>
      <c r="DXY10">
        <v>1</v>
      </c>
      <c r="DYI10">
        <v>1</v>
      </c>
      <c r="DYJ10">
        <v>1</v>
      </c>
      <c r="DYU10">
        <v>1</v>
      </c>
      <c r="DZA10">
        <v>1</v>
      </c>
      <c r="DZN10">
        <v>1</v>
      </c>
      <c r="DZO10">
        <v>1</v>
      </c>
      <c r="DZR10">
        <v>1</v>
      </c>
      <c r="DZZ10">
        <v>1</v>
      </c>
      <c r="EAA10">
        <v>1</v>
      </c>
      <c r="EAR10">
        <v>1</v>
      </c>
      <c r="EAT10">
        <v>1</v>
      </c>
      <c r="ECK10">
        <v>1</v>
      </c>
      <c r="EDG10">
        <f>SUMPRODUCT(Constraint_4,Decision_variables)</f>
        <v>1</v>
      </c>
      <c r="EDH10" t="s">
        <v>5264</v>
      </c>
      <c r="EDI10">
        <v>1</v>
      </c>
    </row>
    <row r="11" spans="1:3493" x14ac:dyDescent="0.3">
      <c r="B11" t="s">
        <v>3496</v>
      </c>
      <c r="H11">
        <v>1</v>
      </c>
      <c r="AI11">
        <v>1</v>
      </c>
      <c r="BM11">
        <v>1</v>
      </c>
      <c r="BZ11">
        <v>1</v>
      </c>
      <c r="CM11">
        <v>1</v>
      </c>
      <c r="CN11">
        <v>1</v>
      </c>
      <c r="DW11">
        <v>1</v>
      </c>
      <c r="FU11">
        <v>1</v>
      </c>
      <c r="FV11">
        <v>1</v>
      </c>
      <c r="FY11">
        <v>1</v>
      </c>
      <c r="GF11">
        <v>1</v>
      </c>
      <c r="GX11">
        <v>1</v>
      </c>
      <c r="GY11">
        <v>1</v>
      </c>
      <c r="HE11">
        <v>1</v>
      </c>
      <c r="HI11">
        <v>1</v>
      </c>
      <c r="HK11">
        <v>1</v>
      </c>
      <c r="HR11">
        <v>1</v>
      </c>
      <c r="HT11">
        <v>1</v>
      </c>
      <c r="HY11">
        <v>1</v>
      </c>
      <c r="IR11">
        <v>1</v>
      </c>
      <c r="IS11">
        <v>1</v>
      </c>
      <c r="JV11">
        <v>1</v>
      </c>
      <c r="MJ11">
        <v>1</v>
      </c>
      <c r="MS11">
        <v>1</v>
      </c>
      <c r="MT11">
        <v>1</v>
      </c>
      <c r="NG11">
        <v>1</v>
      </c>
      <c r="OB11">
        <v>1</v>
      </c>
      <c r="OF11">
        <v>1</v>
      </c>
      <c r="OW11">
        <v>1</v>
      </c>
      <c r="PD11">
        <v>1</v>
      </c>
      <c r="PT11">
        <v>1</v>
      </c>
      <c r="QA11">
        <v>1</v>
      </c>
      <c r="QI11">
        <v>1</v>
      </c>
      <c r="QN11">
        <v>1</v>
      </c>
      <c r="QP11">
        <v>1</v>
      </c>
      <c r="RM11">
        <v>1</v>
      </c>
      <c r="RX11">
        <v>1</v>
      </c>
      <c r="RY11">
        <v>1</v>
      </c>
      <c r="SN11">
        <v>1</v>
      </c>
      <c r="SQ11">
        <v>1</v>
      </c>
      <c r="TE11">
        <v>1</v>
      </c>
      <c r="TG11">
        <v>1</v>
      </c>
      <c r="TL11">
        <v>1</v>
      </c>
      <c r="TV11">
        <v>1</v>
      </c>
      <c r="UH11">
        <v>1</v>
      </c>
      <c r="VS11">
        <v>1</v>
      </c>
      <c r="WM11">
        <v>1</v>
      </c>
      <c r="WQ11">
        <v>1</v>
      </c>
      <c r="ZG11">
        <v>1</v>
      </c>
      <c r="AAQ11">
        <v>1</v>
      </c>
      <c r="AAV11">
        <v>1</v>
      </c>
      <c r="ABH11">
        <v>1</v>
      </c>
      <c r="ABL11">
        <v>1</v>
      </c>
      <c r="ABP11">
        <v>1</v>
      </c>
      <c r="ABQ11">
        <v>1</v>
      </c>
      <c r="ACB11">
        <v>1</v>
      </c>
      <c r="ACG11">
        <v>1</v>
      </c>
      <c r="ACO11">
        <v>1</v>
      </c>
      <c r="ADL11">
        <v>1</v>
      </c>
      <c r="AEG11">
        <v>1</v>
      </c>
      <c r="AEY11">
        <v>1</v>
      </c>
      <c r="AFC11">
        <v>1</v>
      </c>
      <c r="AHR11">
        <v>1</v>
      </c>
      <c r="AHT11">
        <v>1</v>
      </c>
      <c r="AHV11">
        <v>1</v>
      </c>
      <c r="AHW11">
        <v>1</v>
      </c>
      <c r="AIH11">
        <v>1</v>
      </c>
      <c r="AIJ11">
        <v>1</v>
      </c>
      <c r="AIV11">
        <v>1</v>
      </c>
      <c r="AJL11">
        <v>1</v>
      </c>
      <c r="AJV11">
        <v>1</v>
      </c>
      <c r="AJX11">
        <v>1</v>
      </c>
      <c r="AKI11">
        <v>1</v>
      </c>
      <c r="AKO11">
        <v>1</v>
      </c>
      <c r="ALK11">
        <v>1</v>
      </c>
      <c r="AML11">
        <v>1</v>
      </c>
      <c r="AMM11">
        <v>1</v>
      </c>
      <c r="AMX11">
        <v>1</v>
      </c>
      <c r="ANC11">
        <v>1</v>
      </c>
      <c r="ANQ11">
        <v>1</v>
      </c>
      <c r="AOA11">
        <v>1</v>
      </c>
      <c r="AOY11">
        <v>1</v>
      </c>
      <c r="AQA11">
        <v>1</v>
      </c>
      <c r="AQK11">
        <v>1</v>
      </c>
      <c r="AQQ11">
        <v>1</v>
      </c>
      <c r="AQV11">
        <v>1</v>
      </c>
      <c r="ARF11">
        <v>1</v>
      </c>
      <c r="ARJ11">
        <v>1</v>
      </c>
      <c r="ARK11">
        <v>1</v>
      </c>
      <c r="ARQ11">
        <v>1</v>
      </c>
      <c r="ASJ11">
        <v>1</v>
      </c>
      <c r="ATQ11">
        <v>1</v>
      </c>
      <c r="AUX11">
        <v>1</v>
      </c>
      <c r="AUY11">
        <v>1</v>
      </c>
      <c r="AVB11">
        <v>1</v>
      </c>
      <c r="AVK11">
        <v>1</v>
      </c>
      <c r="AVY11">
        <v>1</v>
      </c>
      <c r="AWP11">
        <v>1</v>
      </c>
      <c r="AWS11">
        <v>1</v>
      </c>
      <c r="AWV11">
        <v>1</v>
      </c>
      <c r="AXA11">
        <v>1</v>
      </c>
      <c r="AXB11">
        <v>1</v>
      </c>
      <c r="AXJ11">
        <v>1</v>
      </c>
      <c r="AXL11">
        <v>1</v>
      </c>
      <c r="AXM11">
        <v>1</v>
      </c>
      <c r="AXN11">
        <v>1</v>
      </c>
      <c r="AXU11">
        <v>1</v>
      </c>
      <c r="AXZ11">
        <v>1</v>
      </c>
      <c r="AYF11">
        <v>1</v>
      </c>
      <c r="AYH11">
        <v>1</v>
      </c>
      <c r="AZC11">
        <v>1</v>
      </c>
      <c r="AZD11">
        <v>1</v>
      </c>
      <c r="AZE11">
        <v>1</v>
      </c>
      <c r="AZP11">
        <v>1</v>
      </c>
      <c r="BAM11">
        <v>1</v>
      </c>
      <c r="BAN11">
        <v>1</v>
      </c>
      <c r="BAQ11">
        <v>1</v>
      </c>
      <c r="BAY11">
        <v>1</v>
      </c>
      <c r="BBQ11">
        <v>1</v>
      </c>
      <c r="BCG11">
        <v>1</v>
      </c>
      <c r="BCI11">
        <v>1</v>
      </c>
      <c r="BCY11">
        <v>1</v>
      </c>
      <c r="BDT11">
        <v>1</v>
      </c>
      <c r="BDW11">
        <v>1</v>
      </c>
      <c r="BEB11">
        <v>1</v>
      </c>
      <c r="BEL11">
        <v>1</v>
      </c>
      <c r="BEN11">
        <v>1</v>
      </c>
      <c r="BET11">
        <v>1</v>
      </c>
      <c r="BEX11">
        <v>1</v>
      </c>
      <c r="BFG11">
        <v>1</v>
      </c>
      <c r="BFH11">
        <v>1</v>
      </c>
      <c r="BFJ11">
        <v>1</v>
      </c>
      <c r="BFU11">
        <v>1</v>
      </c>
      <c r="BFX11">
        <v>1</v>
      </c>
      <c r="BGZ11">
        <v>1</v>
      </c>
      <c r="BHB11">
        <v>1</v>
      </c>
      <c r="BHD11">
        <v>1</v>
      </c>
      <c r="BHG11">
        <v>1</v>
      </c>
      <c r="BHI11">
        <v>1</v>
      </c>
      <c r="BHJ11">
        <v>1</v>
      </c>
      <c r="BHQ11">
        <v>1</v>
      </c>
      <c r="BHR11">
        <v>1</v>
      </c>
      <c r="BHS11">
        <v>1</v>
      </c>
      <c r="BHV11">
        <v>1</v>
      </c>
      <c r="BHX11">
        <v>1</v>
      </c>
      <c r="BID11">
        <v>1</v>
      </c>
      <c r="BIG11">
        <v>1</v>
      </c>
      <c r="BII11">
        <v>1</v>
      </c>
      <c r="BIJ11">
        <v>1</v>
      </c>
      <c r="BIL11">
        <v>1</v>
      </c>
      <c r="BIP11">
        <v>1</v>
      </c>
      <c r="BIU11">
        <v>1</v>
      </c>
      <c r="BIY11">
        <v>1</v>
      </c>
      <c r="BJM11">
        <v>1</v>
      </c>
      <c r="BJO11">
        <v>1</v>
      </c>
      <c r="BJP11">
        <v>1</v>
      </c>
      <c r="BJS11">
        <v>1</v>
      </c>
      <c r="BJU11">
        <v>1</v>
      </c>
      <c r="BKM11">
        <v>1</v>
      </c>
      <c r="BKR11">
        <v>1</v>
      </c>
      <c r="BKV11">
        <v>1</v>
      </c>
      <c r="BLD11">
        <v>1</v>
      </c>
      <c r="BLG11">
        <v>1</v>
      </c>
      <c r="BLM11">
        <v>1</v>
      </c>
      <c r="BLP11">
        <v>1</v>
      </c>
      <c r="BLR11">
        <v>1</v>
      </c>
      <c r="BLV11">
        <v>1</v>
      </c>
      <c r="BLY11">
        <v>1</v>
      </c>
      <c r="BMR11">
        <v>1</v>
      </c>
      <c r="BMV11">
        <v>1</v>
      </c>
      <c r="BMX11">
        <v>1</v>
      </c>
      <c r="BMZ11">
        <v>1</v>
      </c>
      <c r="BNH11">
        <v>1</v>
      </c>
      <c r="BOI11">
        <v>1</v>
      </c>
      <c r="BPM11">
        <v>1</v>
      </c>
      <c r="BPZ11">
        <v>1</v>
      </c>
      <c r="BQM11">
        <v>1</v>
      </c>
      <c r="BQN11">
        <v>1</v>
      </c>
      <c r="BRW11">
        <v>1</v>
      </c>
      <c r="BTU11">
        <v>1</v>
      </c>
      <c r="BTV11">
        <v>1</v>
      </c>
      <c r="BTY11">
        <v>1</v>
      </c>
      <c r="BUF11">
        <v>1</v>
      </c>
      <c r="BUX11">
        <v>1</v>
      </c>
      <c r="BUY11">
        <v>1</v>
      </c>
      <c r="BVE11">
        <v>1</v>
      </c>
      <c r="BVI11">
        <v>1</v>
      </c>
      <c r="BVK11">
        <v>1</v>
      </c>
      <c r="BVR11">
        <v>1</v>
      </c>
      <c r="BVT11">
        <v>1</v>
      </c>
      <c r="BVY11">
        <v>1</v>
      </c>
      <c r="BWR11">
        <v>1</v>
      </c>
      <c r="BWS11">
        <v>1</v>
      </c>
      <c r="BXV11">
        <v>1</v>
      </c>
      <c r="CAJ11">
        <v>1</v>
      </c>
      <c r="CAS11">
        <v>1</v>
      </c>
      <c r="CAT11">
        <v>1</v>
      </c>
      <c r="CBG11">
        <v>1</v>
      </c>
      <c r="CCB11">
        <v>1</v>
      </c>
      <c r="CCF11">
        <v>1</v>
      </c>
      <c r="CCW11">
        <v>1</v>
      </c>
      <c r="CDD11">
        <v>1</v>
      </c>
      <c r="CDT11">
        <v>1</v>
      </c>
      <c r="CEA11">
        <v>1</v>
      </c>
      <c r="CEI11">
        <v>1</v>
      </c>
      <c r="CEN11">
        <v>1</v>
      </c>
      <c r="CEP11">
        <v>1</v>
      </c>
      <c r="CFM11">
        <v>1</v>
      </c>
      <c r="CFX11">
        <v>1</v>
      </c>
      <c r="CFY11">
        <v>1</v>
      </c>
      <c r="CGN11">
        <v>1</v>
      </c>
      <c r="CGQ11">
        <v>1</v>
      </c>
      <c r="CHE11">
        <v>1</v>
      </c>
      <c r="CHG11">
        <v>1</v>
      </c>
      <c r="CHL11">
        <v>1</v>
      </c>
      <c r="CHV11">
        <v>1</v>
      </c>
      <c r="CIH11">
        <v>1</v>
      </c>
      <c r="CJS11">
        <v>1</v>
      </c>
      <c r="CKM11">
        <v>1</v>
      </c>
      <c r="CKQ11">
        <v>1</v>
      </c>
      <c r="CNG11">
        <v>1</v>
      </c>
      <c r="COQ11">
        <v>1</v>
      </c>
      <c r="COV11">
        <v>1</v>
      </c>
      <c r="CPH11">
        <v>1</v>
      </c>
      <c r="CPL11">
        <v>1</v>
      </c>
      <c r="CPP11">
        <v>1</v>
      </c>
      <c r="CPQ11">
        <v>1</v>
      </c>
      <c r="CQB11">
        <v>1</v>
      </c>
      <c r="CQG11">
        <v>1</v>
      </c>
      <c r="CQO11">
        <v>1</v>
      </c>
      <c r="CRL11">
        <v>1</v>
      </c>
      <c r="CSG11">
        <v>1</v>
      </c>
      <c r="CSY11">
        <v>1</v>
      </c>
      <c r="CTC11">
        <v>1</v>
      </c>
      <c r="CVR11">
        <v>1</v>
      </c>
      <c r="CVT11">
        <v>1</v>
      </c>
      <c r="CVV11">
        <v>1</v>
      </c>
      <c r="CVW11">
        <v>1</v>
      </c>
      <c r="CWH11">
        <v>1</v>
      </c>
      <c r="CWJ11">
        <v>1</v>
      </c>
      <c r="CWV11">
        <v>1</v>
      </c>
      <c r="CXL11">
        <v>1</v>
      </c>
      <c r="CXV11">
        <v>1</v>
      </c>
      <c r="CXX11">
        <v>1</v>
      </c>
      <c r="CYI11">
        <v>1</v>
      </c>
      <c r="CYO11">
        <v>1</v>
      </c>
      <c r="CZK11">
        <v>1</v>
      </c>
      <c r="DAL11">
        <v>1</v>
      </c>
      <c r="DAM11">
        <v>1</v>
      </c>
      <c r="DAX11">
        <v>1</v>
      </c>
      <c r="DBC11">
        <v>1</v>
      </c>
      <c r="DBQ11">
        <v>1</v>
      </c>
      <c r="DCA11">
        <v>1</v>
      </c>
      <c r="DCY11">
        <v>1</v>
      </c>
      <c r="DEA11">
        <v>1</v>
      </c>
      <c r="DEK11">
        <v>1</v>
      </c>
      <c r="DEQ11">
        <v>1</v>
      </c>
      <c r="DEV11">
        <v>1</v>
      </c>
      <c r="DFF11">
        <v>1</v>
      </c>
      <c r="DFJ11">
        <v>1</v>
      </c>
      <c r="DFK11">
        <v>1</v>
      </c>
      <c r="DFQ11">
        <v>1</v>
      </c>
      <c r="DGJ11">
        <v>1</v>
      </c>
      <c r="DHQ11">
        <v>1</v>
      </c>
      <c r="DIX11">
        <v>1</v>
      </c>
      <c r="DIY11">
        <v>1</v>
      </c>
      <c r="DJB11">
        <v>1</v>
      </c>
      <c r="DJK11">
        <v>1</v>
      </c>
      <c r="DJY11">
        <v>1</v>
      </c>
      <c r="DKP11">
        <v>1</v>
      </c>
      <c r="DKS11">
        <v>1</v>
      </c>
      <c r="DKV11">
        <v>1</v>
      </c>
      <c r="DLA11">
        <v>1</v>
      </c>
      <c r="DLB11">
        <v>1</v>
      </c>
      <c r="DLJ11">
        <v>1</v>
      </c>
      <c r="DLL11">
        <v>1</v>
      </c>
      <c r="DLM11">
        <v>1</v>
      </c>
      <c r="DLN11">
        <v>1</v>
      </c>
      <c r="DLU11">
        <v>1</v>
      </c>
      <c r="DLZ11">
        <v>1</v>
      </c>
      <c r="DMF11">
        <v>1</v>
      </c>
      <c r="DMH11">
        <v>1</v>
      </c>
      <c r="DNC11">
        <v>1</v>
      </c>
      <c r="DND11">
        <v>1</v>
      </c>
      <c r="DNE11">
        <v>1</v>
      </c>
      <c r="DNP11">
        <v>1</v>
      </c>
      <c r="DOM11">
        <v>1</v>
      </c>
      <c r="DON11">
        <v>1</v>
      </c>
      <c r="DOQ11">
        <v>1</v>
      </c>
      <c r="DOY11">
        <v>1</v>
      </c>
      <c r="DPQ11">
        <v>1</v>
      </c>
      <c r="DQG11">
        <v>1</v>
      </c>
      <c r="DQI11">
        <v>1</v>
      </c>
      <c r="DQY11">
        <v>1</v>
      </c>
      <c r="DRT11">
        <v>1</v>
      </c>
      <c r="DRW11">
        <v>1</v>
      </c>
      <c r="DSB11">
        <v>1</v>
      </c>
      <c r="DSL11">
        <v>1</v>
      </c>
      <c r="DSN11">
        <v>1</v>
      </c>
      <c r="DST11">
        <v>1</v>
      </c>
      <c r="DSX11">
        <v>1</v>
      </c>
      <c r="DTG11">
        <v>1</v>
      </c>
      <c r="DTH11">
        <v>1</v>
      </c>
      <c r="DTJ11">
        <v>1</v>
      </c>
      <c r="DTU11">
        <v>1</v>
      </c>
      <c r="DTX11">
        <v>1</v>
      </c>
      <c r="DUZ11">
        <v>1</v>
      </c>
      <c r="DVB11">
        <v>1</v>
      </c>
      <c r="DVD11">
        <v>1</v>
      </c>
      <c r="DVG11">
        <v>1</v>
      </c>
      <c r="DVI11">
        <v>1</v>
      </c>
      <c r="DVJ11">
        <v>1</v>
      </c>
      <c r="DVQ11">
        <v>1</v>
      </c>
      <c r="DVR11">
        <v>1</v>
      </c>
      <c r="DVS11">
        <v>1</v>
      </c>
      <c r="DVV11">
        <v>1</v>
      </c>
      <c r="DVX11">
        <v>1</v>
      </c>
      <c r="DWD11">
        <v>1</v>
      </c>
      <c r="DWG11">
        <v>1</v>
      </c>
      <c r="DWI11">
        <v>1</v>
      </c>
      <c r="DWJ11">
        <v>1</v>
      </c>
      <c r="DWL11">
        <v>1</v>
      </c>
      <c r="DWP11">
        <v>1</v>
      </c>
      <c r="DWU11">
        <v>1</v>
      </c>
      <c r="DWY11">
        <v>1</v>
      </c>
      <c r="DXM11">
        <v>1</v>
      </c>
      <c r="DXO11">
        <v>1</v>
      </c>
      <c r="DXP11">
        <v>1</v>
      </c>
      <c r="DXS11">
        <v>1</v>
      </c>
      <c r="DXU11">
        <v>1</v>
      </c>
      <c r="DYM11">
        <v>1</v>
      </c>
      <c r="DYR11">
        <v>1</v>
      </c>
      <c r="DYV11">
        <v>1</v>
      </c>
      <c r="DZD11">
        <v>1</v>
      </c>
      <c r="DZG11">
        <v>1</v>
      </c>
      <c r="DZM11">
        <v>1</v>
      </c>
      <c r="DZP11">
        <v>1</v>
      </c>
      <c r="DZR11">
        <v>1</v>
      </c>
      <c r="DZV11">
        <v>1</v>
      </c>
      <c r="DZY11">
        <v>1</v>
      </c>
      <c r="EAR11">
        <v>1</v>
      </c>
      <c r="EAV11">
        <v>1</v>
      </c>
      <c r="EAX11">
        <v>1</v>
      </c>
      <c r="EAZ11">
        <v>1</v>
      </c>
      <c r="ECV11">
        <v>1</v>
      </c>
      <c r="EDG11">
        <f>SUMPRODUCT(Constraint_5,Decision_variables)</f>
        <v>1</v>
      </c>
      <c r="EDH11" t="s">
        <v>5264</v>
      </c>
      <c r="EDI11">
        <v>1</v>
      </c>
    </row>
    <row r="12" spans="1:3493" x14ac:dyDescent="0.3">
      <c r="B12" t="s">
        <v>3497</v>
      </c>
      <c r="D12">
        <v>1</v>
      </c>
      <c r="Z12">
        <v>1</v>
      </c>
      <c r="AP12">
        <v>1</v>
      </c>
      <c r="AQ12">
        <v>1</v>
      </c>
      <c r="AR12">
        <v>1</v>
      </c>
      <c r="BE12">
        <v>1</v>
      </c>
      <c r="CW12">
        <v>1</v>
      </c>
      <c r="DA12">
        <v>1</v>
      </c>
      <c r="DQ12">
        <v>1</v>
      </c>
      <c r="EI12">
        <v>1</v>
      </c>
      <c r="EM12">
        <v>1</v>
      </c>
      <c r="FK12">
        <v>1</v>
      </c>
      <c r="FL12">
        <v>1</v>
      </c>
      <c r="FN12">
        <v>1</v>
      </c>
      <c r="FU12">
        <v>1</v>
      </c>
      <c r="GQ12">
        <v>1</v>
      </c>
      <c r="HC12">
        <v>1</v>
      </c>
      <c r="HR12">
        <v>1</v>
      </c>
      <c r="HS12">
        <v>1</v>
      </c>
      <c r="HT12">
        <v>1</v>
      </c>
      <c r="IG12">
        <v>1</v>
      </c>
      <c r="IH12">
        <v>1</v>
      </c>
      <c r="IP12">
        <v>1</v>
      </c>
      <c r="IR12">
        <v>1</v>
      </c>
      <c r="IT12">
        <v>1</v>
      </c>
      <c r="IV12">
        <v>1</v>
      </c>
      <c r="KZ12">
        <v>1</v>
      </c>
      <c r="LA12">
        <v>1</v>
      </c>
      <c r="LE12">
        <v>1</v>
      </c>
      <c r="LF12">
        <v>1</v>
      </c>
      <c r="LH12">
        <v>1</v>
      </c>
      <c r="LI12">
        <v>1</v>
      </c>
      <c r="MW12">
        <v>1</v>
      </c>
      <c r="MZ12">
        <v>1</v>
      </c>
      <c r="NG12">
        <v>1</v>
      </c>
      <c r="OB12">
        <v>1</v>
      </c>
      <c r="OR12">
        <v>1</v>
      </c>
      <c r="PK12">
        <v>1</v>
      </c>
      <c r="QN12">
        <v>1</v>
      </c>
      <c r="QQ12">
        <v>1</v>
      </c>
      <c r="SF12">
        <v>1</v>
      </c>
      <c r="SV12">
        <v>1</v>
      </c>
      <c r="SY12">
        <v>1</v>
      </c>
      <c r="SZ12">
        <v>1</v>
      </c>
      <c r="TI12">
        <v>1</v>
      </c>
      <c r="TX12">
        <v>1</v>
      </c>
      <c r="TY12">
        <v>1</v>
      </c>
      <c r="VM12">
        <v>1</v>
      </c>
      <c r="VP12">
        <v>1</v>
      </c>
      <c r="VZ12">
        <v>1</v>
      </c>
      <c r="WE12">
        <v>1</v>
      </c>
      <c r="YU12">
        <v>1</v>
      </c>
      <c r="ZT12">
        <v>1</v>
      </c>
      <c r="AAQ12">
        <v>1</v>
      </c>
      <c r="ABB12">
        <v>1</v>
      </c>
      <c r="ABG12">
        <v>1</v>
      </c>
      <c r="ABH12">
        <v>1</v>
      </c>
      <c r="ACA12">
        <v>1</v>
      </c>
      <c r="ACG12">
        <v>1</v>
      </c>
      <c r="ACI12">
        <v>1</v>
      </c>
      <c r="ACQ12">
        <v>1</v>
      </c>
      <c r="ADI12">
        <v>1</v>
      </c>
      <c r="ADL12">
        <v>1</v>
      </c>
      <c r="ADX12">
        <v>1</v>
      </c>
      <c r="ADY12">
        <v>1</v>
      </c>
      <c r="AEG12">
        <v>1</v>
      </c>
      <c r="AFF12">
        <v>1</v>
      </c>
      <c r="AFR12">
        <v>1</v>
      </c>
      <c r="AFS12">
        <v>1</v>
      </c>
      <c r="AHK12">
        <v>1</v>
      </c>
      <c r="AHX12">
        <v>1</v>
      </c>
      <c r="AIF12">
        <v>1</v>
      </c>
      <c r="AIJ12">
        <v>1</v>
      </c>
      <c r="AIS12">
        <v>1</v>
      </c>
      <c r="AJS12">
        <v>1</v>
      </c>
      <c r="AKI12">
        <v>1</v>
      </c>
      <c r="ALK12">
        <v>1</v>
      </c>
      <c r="ALM12">
        <v>1</v>
      </c>
      <c r="AMI12">
        <v>1</v>
      </c>
      <c r="AMY12">
        <v>1</v>
      </c>
      <c r="ANA12">
        <v>1</v>
      </c>
      <c r="ANV12">
        <v>1</v>
      </c>
      <c r="ANX12">
        <v>1</v>
      </c>
      <c r="APB12">
        <v>1</v>
      </c>
      <c r="APM12">
        <v>1</v>
      </c>
      <c r="AQL12">
        <v>1</v>
      </c>
      <c r="AQZ12">
        <v>1</v>
      </c>
      <c r="ARA12">
        <v>1</v>
      </c>
      <c r="ARQ12">
        <v>1</v>
      </c>
      <c r="ASB12">
        <v>1</v>
      </c>
      <c r="ASP12">
        <v>1</v>
      </c>
      <c r="ASY12">
        <v>1</v>
      </c>
      <c r="ATW12">
        <v>1</v>
      </c>
      <c r="AUH12">
        <v>1</v>
      </c>
      <c r="AUI12">
        <v>1</v>
      </c>
      <c r="AUV12">
        <v>1</v>
      </c>
      <c r="AUZ12">
        <v>1</v>
      </c>
      <c r="AVB12">
        <v>1</v>
      </c>
      <c r="AVE12">
        <v>1</v>
      </c>
      <c r="AVU12">
        <v>1</v>
      </c>
      <c r="AVW12">
        <v>1</v>
      </c>
      <c r="AVY12">
        <v>1</v>
      </c>
      <c r="AWH12">
        <v>1</v>
      </c>
      <c r="AWQ12">
        <v>1</v>
      </c>
      <c r="AXA12">
        <v>1</v>
      </c>
      <c r="AXE12">
        <v>1</v>
      </c>
      <c r="AXG12">
        <v>1</v>
      </c>
      <c r="AXT12">
        <v>1</v>
      </c>
      <c r="AYB12">
        <v>1</v>
      </c>
      <c r="AYU12">
        <v>1</v>
      </c>
      <c r="AZM12">
        <v>1</v>
      </c>
      <c r="AZO12">
        <v>1</v>
      </c>
      <c r="AZP12">
        <v>1</v>
      </c>
      <c r="AZX12">
        <v>1</v>
      </c>
      <c r="AZY12">
        <v>1</v>
      </c>
      <c r="BBQ12">
        <v>1</v>
      </c>
      <c r="BBV12">
        <v>1</v>
      </c>
      <c r="BDA12">
        <v>1</v>
      </c>
      <c r="BDD12">
        <v>1</v>
      </c>
      <c r="BEF12">
        <v>1</v>
      </c>
      <c r="BEG12">
        <v>1</v>
      </c>
      <c r="BEO12">
        <v>1</v>
      </c>
      <c r="BEY12">
        <v>1</v>
      </c>
      <c r="BFR12">
        <v>1</v>
      </c>
      <c r="BGB12">
        <v>1</v>
      </c>
      <c r="BGI12">
        <v>1</v>
      </c>
      <c r="BGK12">
        <v>1</v>
      </c>
      <c r="BGM12">
        <v>1</v>
      </c>
      <c r="BGX12">
        <v>1</v>
      </c>
      <c r="BGZ12">
        <v>1</v>
      </c>
      <c r="BHF12">
        <v>1</v>
      </c>
      <c r="BHJ12">
        <v>1</v>
      </c>
      <c r="BHR12">
        <v>1</v>
      </c>
      <c r="BHS12">
        <v>1</v>
      </c>
      <c r="BHV12">
        <v>1</v>
      </c>
      <c r="BHX12">
        <v>1</v>
      </c>
      <c r="BIA12">
        <v>1</v>
      </c>
      <c r="BIK12">
        <v>1</v>
      </c>
      <c r="BJC12">
        <v>1</v>
      </c>
      <c r="BJD12">
        <v>1</v>
      </c>
      <c r="BJH12">
        <v>1</v>
      </c>
      <c r="BJJ12">
        <v>1</v>
      </c>
      <c r="BJL12">
        <v>1</v>
      </c>
      <c r="BJU12">
        <v>1</v>
      </c>
      <c r="BKC12">
        <v>1</v>
      </c>
      <c r="BKJ12">
        <v>1</v>
      </c>
      <c r="BKL12">
        <v>1</v>
      </c>
      <c r="BKM12">
        <v>1</v>
      </c>
      <c r="BLJ12">
        <v>1</v>
      </c>
      <c r="BLR12">
        <v>1</v>
      </c>
      <c r="BLZ12">
        <v>1</v>
      </c>
      <c r="BMB12">
        <v>1</v>
      </c>
      <c r="BMG12">
        <v>1</v>
      </c>
      <c r="BMJ12">
        <v>1</v>
      </c>
      <c r="BMO12">
        <v>1</v>
      </c>
      <c r="BMP12">
        <v>1</v>
      </c>
      <c r="BMR12">
        <v>1</v>
      </c>
      <c r="BMS12">
        <v>1</v>
      </c>
      <c r="BMT12">
        <v>1</v>
      </c>
      <c r="BMU12">
        <v>1</v>
      </c>
      <c r="BMW12">
        <v>1</v>
      </c>
      <c r="BMY12">
        <v>1</v>
      </c>
      <c r="BNA12">
        <v>1</v>
      </c>
      <c r="BNB12">
        <v>1</v>
      </c>
      <c r="BND12">
        <v>1</v>
      </c>
      <c r="BNZ12">
        <v>1</v>
      </c>
      <c r="BOP12">
        <v>1</v>
      </c>
      <c r="BOQ12">
        <v>1</v>
      </c>
      <c r="BOR12">
        <v>1</v>
      </c>
      <c r="BPE12">
        <v>1</v>
      </c>
      <c r="BQW12">
        <v>1</v>
      </c>
      <c r="BRA12">
        <v>1</v>
      </c>
      <c r="BRQ12">
        <v>1</v>
      </c>
      <c r="BSI12">
        <v>1</v>
      </c>
      <c r="BSM12">
        <v>1</v>
      </c>
      <c r="BTK12">
        <v>1</v>
      </c>
      <c r="BTL12">
        <v>1</v>
      </c>
      <c r="BTN12">
        <v>1</v>
      </c>
      <c r="BTU12">
        <v>1</v>
      </c>
      <c r="BUQ12">
        <v>1</v>
      </c>
      <c r="BVC12">
        <v>1</v>
      </c>
      <c r="BVR12">
        <v>1</v>
      </c>
      <c r="BVS12">
        <v>1</v>
      </c>
      <c r="BVT12">
        <v>1</v>
      </c>
      <c r="BWG12">
        <v>1</v>
      </c>
      <c r="BWH12">
        <v>1</v>
      </c>
      <c r="BWP12">
        <v>1</v>
      </c>
      <c r="BWR12">
        <v>1</v>
      </c>
      <c r="BWT12">
        <v>1</v>
      </c>
      <c r="BWV12">
        <v>1</v>
      </c>
      <c r="BYZ12">
        <v>1</v>
      </c>
      <c r="BZA12">
        <v>1</v>
      </c>
      <c r="BZE12">
        <v>1</v>
      </c>
      <c r="BZF12">
        <v>1</v>
      </c>
      <c r="BZH12">
        <v>1</v>
      </c>
      <c r="BZI12">
        <v>1</v>
      </c>
      <c r="CAW12">
        <v>1</v>
      </c>
      <c r="CAZ12">
        <v>1</v>
      </c>
      <c r="CBG12">
        <v>1</v>
      </c>
      <c r="CCB12">
        <v>1</v>
      </c>
      <c r="CCR12">
        <v>1</v>
      </c>
      <c r="CDK12">
        <v>1</v>
      </c>
      <c r="CEN12">
        <v>1</v>
      </c>
      <c r="CEQ12">
        <v>1</v>
      </c>
      <c r="CGF12">
        <v>1</v>
      </c>
      <c r="CGV12">
        <v>1</v>
      </c>
      <c r="CGY12">
        <v>1</v>
      </c>
      <c r="CGZ12">
        <v>1</v>
      </c>
      <c r="CHI12">
        <v>1</v>
      </c>
      <c r="CHX12">
        <v>1</v>
      </c>
      <c r="CHY12">
        <v>1</v>
      </c>
      <c r="CJM12">
        <v>1</v>
      </c>
      <c r="CJP12">
        <v>1</v>
      </c>
      <c r="CJZ12">
        <v>1</v>
      </c>
      <c r="CKE12">
        <v>1</v>
      </c>
      <c r="CMU12">
        <v>1</v>
      </c>
      <c r="CNT12">
        <v>1</v>
      </c>
      <c r="COQ12">
        <v>1</v>
      </c>
      <c r="CPB12">
        <v>1</v>
      </c>
      <c r="CPG12">
        <v>1</v>
      </c>
      <c r="CPH12">
        <v>1</v>
      </c>
      <c r="CQA12">
        <v>1</v>
      </c>
      <c r="CQG12">
        <v>1</v>
      </c>
      <c r="CQI12">
        <v>1</v>
      </c>
      <c r="CQQ12">
        <v>1</v>
      </c>
      <c r="CRI12">
        <v>1</v>
      </c>
      <c r="CRL12">
        <v>1</v>
      </c>
      <c r="CRX12">
        <v>1</v>
      </c>
      <c r="CRY12">
        <v>1</v>
      </c>
      <c r="CSG12">
        <v>1</v>
      </c>
      <c r="CTF12">
        <v>1</v>
      </c>
      <c r="CTR12">
        <v>1</v>
      </c>
      <c r="CTS12">
        <v>1</v>
      </c>
      <c r="CVK12">
        <v>1</v>
      </c>
      <c r="CVX12">
        <v>1</v>
      </c>
      <c r="CWF12">
        <v>1</v>
      </c>
      <c r="CWJ12">
        <v>1</v>
      </c>
      <c r="CWS12">
        <v>1</v>
      </c>
      <c r="CXS12">
        <v>1</v>
      </c>
      <c r="CYI12">
        <v>1</v>
      </c>
      <c r="CZK12">
        <v>1</v>
      </c>
      <c r="CZM12">
        <v>1</v>
      </c>
      <c r="DAI12">
        <v>1</v>
      </c>
      <c r="DAY12">
        <v>1</v>
      </c>
      <c r="DBA12">
        <v>1</v>
      </c>
      <c r="DBV12">
        <v>1</v>
      </c>
      <c r="DBX12">
        <v>1</v>
      </c>
      <c r="DDB12">
        <v>1</v>
      </c>
      <c r="DDM12">
        <v>1</v>
      </c>
      <c r="DEL12">
        <v>1</v>
      </c>
      <c r="DEZ12">
        <v>1</v>
      </c>
      <c r="DFA12">
        <v>1</v>
      </c>
      <c r="DFQ12">
        <v>1</v>
      </c>
      <c r="DGB12">
        <v>1</v>
      </c>
      <c r="DGP12">
        <v>1</v>
      </c>
      <c r="DGY12">
        <v>1</v>
      </c>
      <c r="DHW12">
        <v>1</v>
      </c>
      <c r="DIH12">
        <v>1</v>
      </c>
      <c r="DII12">
        <v>1</v>
      </c>
      <c r="DIV12">
        <v>1</v>
      </c>
      <c r="DIZ12">
        <v>1</v>
      </c>
      <c r="DJB12">
        <v>1</v>
      </c>
      <c r="DJE12">
        <v>1</v>
      </c>
      <c r="DJU12">
        <v>1</v>
      </c>
      <c r="DJW12">
        <v>1</v>
      </c>
      <c r="DJY12">
        <v>1</v>
      </c>
      <c r="DKH12">
        <v>1</v>
      </c>
      <c r="DKQ12">
        <v>1</v>
      </c>
      <c r="DLA12">
        <v>1</v>
      </c>
      <c r="DLE12">
        <v>1</v>
      </c>
      <c r="DLG12">
        <v>1</v>
      </c>
      <c r="DLT12">
        <v>1</v>
      </c>
      <c r="DMB12">
        <v>1</v>
      </c>
      <c r="DMU12">
        <v>1</v>
      </c>
      <c r="DNM12">
        <v>1</v>
      </c>
      <c r="DNO12">
        <v>1</v>
      </c>
      <c r="DNP12">
        <v>1</v>
      </c>
      <c r="DNX12">
        <v>1</v>
      </c>
      <c r="DNY12">
        <v>1</v>
      </c>
      <c r="DPQ12">
        <v>1</v>
      </c>
      <c r="DPV12">
        <v>1</v>
      </c>
      <c r="DRA12">
        <v>1</v>
      </c>
      <c r="DRD12">
        <v>1</v>
      </c>
      <c r="DSF12">
        <v>1</v>
      </c>
      <c r="DSG12">
        <v>1</v>
      </c>
      <c r="DSO12">
        <v>1</v>
      </c>
      <c r="DSY12">
        <v>1</v>
      </c>
      <c r="DTR12">
        <v>1</v>
      </c>
      <c r="DUB12">
        <v>1</v>
      </c>
      <c r="DUI12">
        <v>1</v>
      </c>
      <c r="DUK12">
        <v>1</v>
      </c>
      <c r="DUM12">
        <v>1</v>
      </c>
      <c r="DUX12">
        <v>1</v>
      </c>
      <c r="DUZ12">
        <v>1</v>
      </c>
      <c r="DVF12">
        <v>1</v>
      </c>
      <c r="DVJ12">
        <v>1</v>
      </c>
      <c r="DVR12">
        <v>1</v>
      </c>
      <c r="DVS12">
        <v>1</v>
      </c>
      <c r="DVV12">
        <v>1</v>
      </c>
      <c r="DVX12">
        <v>1</v>
      </c>
      <c r="DWA12">
        <v>1</v>
      </c>
      <c r="DWK12">
        <v>1</v>
      </c>
      <c r="DXC12">
        <v>1</v>
      </c>
      <c r="DXD12">
        <v>1</v>
      </c>
      <c r="DXH12">
        <v>1</v>
      </c>
      <c r="DXJ12">
        <v>1</v>
      </c>
      <c r="DXL12">
        <v>1</v>
      </c>
      <c r="DXU12">
        <v>1</v>
      </c>
      <c r="DYC12">
        <v>1</v>
      </c>
      <c r="DYJ12">
        <v>1</v>
      </c>
      <c r="DYL12">
        <v>1</v>
      </c>
      <c r="DYM12">
        <v>1</v>
      </c>
      <c r="DZJ12">
        <v>1</v>
      </c>
      <c r="DZR12">
        <v>1</v>
      </c>
      <c r="DZZ12">
        <v>1</v>
      </c>
      <c r="EAB12">
        <v>1</v>
      </c>
      <c r="EAG12">
        <v>1</v>
      </c>
      <c r="EAJ12">
        <v>1</v>
      </c>
      <c r="EAO12">
        <v>1</v>
      </c>
      <c r="EAP12">
        <v>1</v>
      </c>
      <c r="EAR12">
        <v>1</v>
      </c>
      <c r="EAS12">
        <v>1</v>
      </c>
      <c r="EAT12">
        <v>1</v>
      </c>
      <c r="EAU12">
        <v>1</v>
      </c>
      <c r="EAW12">
        <v>1</v>
      </c>
      <c r="EAY12">
        <v>1</v>
      </c>
      <c r="EBA12">
        <v>1</v>
      </c>
      <c r="EBB12">
        <v>1</v>
      </c>
      <c r="EDB12">
        <v>1</v>
      </c>
      <c r="EDG12">
        <f>SUMPRODUCT(Constraint_6,Decision_variables)</f>
        <v>1</v>
      </c>
      <c r="EDH12" t="s">
        <v>5264</v>
      </c>
      <c r="EDI12">
        <v>1</v>
      </c>
    </row>
    <row r="13" spans="1:3493" x14ac:dyDescent="0.3">
      <c r="B13" t="s">
        <v>3498</v>
      </c>
      <c r="O13">
        <v>1</v>
      </c>
      <c r="AI13">
        <v>1</v>
      </c>
      <c r="BD13">
        <v>1</v>
      </c>
      <c r="EF13">
        <v>1</v>
      </c>
      <c r="EG13">
        <v>1</v>
      </c>
      <c r="EK13">
        <v>1</v>
      </c>
      <c r="EW13">
        <v>1</v>
      </c>
      <c r="HP13">
        <v>1</v>
      </c>
      <c r="JW13">
        <v>1</v>
      </c>
      <c r="OW13">
        <v>1</v>
      </c>
      <c r="PD13">
        <v>1</v>
      </c>
      <c r="PT13">
        <v>1</v>
      </c>
      <c r="PY13">
        <v>1</v>
      </c>
      <c r="QA13">
        <v>1</v>
      </c>
      <c r="QH13">
        <v>1</v>
      </c>
      <c r="QO13">
        <v>1</v>
      </c>
      <c r="QS13">
        <v>1</v>
      </c>
      <c r="QV13">
        <v>1</v>
      </c>
      <c r="RM13">
        <v>1</v>
      </c>
      <c r="SY13">
        <v>1</v>
      </c>
      <c r="TR13">
        <v>1</v>
      </c>
      <c r="TU13">
        <v>1</v>
      </c>
      <c r="TV13">
        <v>1</v>
      </c>
      <c r="UJ13">
        <v>1</v>
      </c>
      <c r="VM13">
        <v>1</v>
      </c>
      <c r="VP13">
        <v>1</v>
      </c>
      <c r="WW13">
        <v>1</v>
      </c>
      <c r="YG13">
        <v>1</v>
      </c>
      <c r="YM13">
        <v>1</v>
      </c>
      <c r="YO13">
        <v>1</v>
      </c>
      <c r="YP13">
        <v>1</v>
      </c>
      <c r="YX13">
        <v>1</v>
      </c>
      <c r="YY13">
        <v>1</v>
      </c>
      <c r="ZE13">
        <v>1</v>
      </c>
      <c r="ZZ13">
        <v>1</v>
      </c>
      <c r="AAD13">
        <v>1</v>
      </c>
      <c r="AAX13">
        <v>1</v>
      </c>
      <c r="ABC13">
        <v>1</v>
      </c>
      <c r="ABU13">
        <v>1</v>
      </c>
      <c r="ABX13">
        <v>1</v>
      </c>
      <c r="ADJ13">
        <v>1</v>
      </c>
      <c r="AEE13">
        <v>1</v>
      </c>
      <c r="AFA13">
        <v>1</v>
      </c>
      <c r="AFF13">
        <v>1</v>
      </c>
      <c r="AGB13">
        <v>1</v>
      </c>
      <c r="AGU13">
        <v>1</v>
      </c>
      <c r="AHJ13">
        <v>1</v>
      </c>
      <c r="AHY13">
        <v>1</v>
      </c>
      <c r="AID13">
        <v>1</v>
      </c>
      <c r="AIL13">
        <v>1</v>
      </c>
      <c r="AIM13">
        <v>1</v>
      </c>
      <c r="AJW13">
        <v>1</v>
      </c>
      <c r="AKF13">
        <v>1</v>
      </c>
      <c r="ANO13">
        <v>1</v>
      </c>
      <c r="AOD13">
        <v>1</v>
      </c>
      <c r="AOY13">
        <v>1</v>
      </c>
      <c r="AQA13">
        <v>1</v>
      </c>
      <c r="AQJ13">
        <v>1</v>
      </c>
      <c r="AQK13">
        <v>1</v>
      </c>
      <c r="AQM13">
        <v>1</v>
      </c>
      <c r="AQW13">
        <v>1</v>
      </c>
      <c r="ARQ13">
        <v>1</v>
      </c>
      <c r="ASC13">
        <v>1</v>
      </c>
      <c r="ASJ13">
        <v>1</v>
      </c>
      <c r="ASU13">
        <v>1</v>
      </c>
      <c r="ATA13">
        <v>1</v>
      </c>
      <c r="ATB13">
        <v>1</v>
      </c>
      <c r="ATI13">
        <v>1</v>
      </c>
      <c r="ATL13">
        <v>1</v>
      </c>
      <c r="ATR13">
        <v>1</v>
      </c>
      <c r="ATX13">
        <v>1</v>
      </c>
      <c r="AUG13">
        <v>1</v>
      </c>
      <c r="AUI13">
        <v>1</v>
      </c>
      <c r="AUV13">
        <v>1</v>
      </c>
      <c r="AVC13">
        <v>1</v>
      </c>
      <c r="AVW13">
        <v>1</v>
      </c>
      <c r="AWU13">
        <v>1</v>
      </c>
      <c r="AXR13">
        <v>1</v>
      </c>
      <c r="AXW13">
        <v>1</v>
      </c>
      <c r="AXY13">
        <v>1</v>
      </c>
      <c r="AYL13">
        <v>1</v>
      </c>
      <c r="AYQ13">
        <v>1</v>
      </c>
      <c r="AZK13">
        <v>1</v>
      </c>
      <c r="AZL13">
        <v>1</v>
      </c>
      <c r="BAA13">
        <v>1</v>
      </c>
      <c r="BAC13">
        <v>1</v>
      </c>
      <c r="BAD13">
        <v>1</v>
      </c>
      <c r="BAP13">
        <v>1</v>
      </c>
      <c r="BAW13">
        <v>1</v>
      </c>
      <c r="BAY13">
        <v>1</v>
      </c>
      <c r="BAZ13">
        <v>1</v>
      </c>
      <c r="BBA13">
        <v>1</v>
      </c>
      <c r="BBE13">
        <v>1</v>
      </c>
      <c r="BCW13">
        <v>1</v>
      </c>
      <c r="BEK13">
        <v>1</v>
      </c>
      <c r="BEL13">
        <v>1</v>
      </c>
      <c r="BEU13">
        <v>1</v>
      </c>
      <c r="BFN13">
        <v>1</v>
      </c>
      <c r="BFP13">
        <v>1</v>
      </c>
      <c r="BFY13">
        <v>1</v>
      </c>
      <c r="BGQ13">
        <v>1</v>
      </c>
      <c r="BHA13">
        <v>1</v>
      </c>
      <c r="BHY13">
        <v>1</v>
      </c>
      <c r="BIC13">
        <v>1</v>
      </c>
      <c r="BII13">
        <v>1</v>
      </c>
      <c r="BJF13">
        <v>1</v>
      </c>
      <c r="BJR13">
        <v>1</v>
      </c>
      <c r="BKF13">
        <v>1</v>
      </c>
      <c r="BKZ13">
        <v>1</v>
      </c>
      <c r="BLJ13">
        <v>1</v>
      </c>
      <c r="BLQ13">
        <v>1</v>
      </c>
      <c r="BMF13">
        <v>1</v>
      </c>
      <c r="BMI13">
        <v>1</v>
      </c>
      <c r="BMK13">
        <v>1</v>
      </c>
      <c r="BMN13">
        <v>1</v>
      </c>
      <c r="BNO13">
        <v>1</v>
      </c>
      <c r="BOI13">
        <v>1</v>
      </c>
      <c r="BPD13">
        <v>1</v>
      </c>
      <c r="BSF13">
        <v>1</v>
      </c>
      <c r="BSG13">
        <v>1</v>
      </c>
      <c r="BSK13">
        <v>1</v>
      </c>
      <c r="BSW13">
        <v>1</v>
      </c>
      <c r="BVP13">
        <v>1</v>
      </c>
      <c r="BXW13">
        <v>1</v>
      </c>
      <c r="CCW13">
        <v>1</v>
      </c>
      <c r="CDD13">
        <v>1</v>
      </c>
      <c r="CDT13">
        <v>1</v>
      </c>
      <c r="CDY13">
        <v>1</v>
      </c>
      <c r="CEA13">
        <v>1</v>
      </c>
      <c r="CEH13">
        <v>1</v>
      </c>
      <c r="CEO13">
        <v>1</v>
      </c>
      <c r="CES13">
        <v>1</v>
      </c>
      <c r="CEV13">
        <v>1</v>
      </c>
      <c r="CFM13">
        <v>1</v>
      </c>
      <c r="CGY13">
        <v>1</v>
      </c>
      <c r="CHR13">
        <v>1</v>
      </c>
      <c r="CHU13">
        <v>1</v>
      </c>
      <c r="CHV13">
        <v>1</v>
      </c>
      <c r="CIJ13">
        <v>1</v>
      </c>
      <c r="CJM13">
        <v>1</v>
      </c>
      <c r="CJP13">
        <v>1</v>
      </c>
      <c r="CKW13">
        <v>1</v>
      </c>
      <c r="CMG13">
        <v>1</v>
      </c>
      <c r="CMM13">
        <v>1</v>
      </c>
      <c r="CMO13">
        <v>1</v>
      </c>
      <c r="CMP13">
        <v>1</v>
      </c>
      <c r="CMX13">
        <v>1</v>
      </c>
      <c r="CMY13">
        <v>1</v>
      </c>
      <c r="CNE13">
        <v>1</v>
      </c>
      <c r="CNZ13">
        <v>1</v>
      </c>
      <c r="COD13">
        <v>1</v>
      </c>
      <c r="COX13">
        <v>1</v>
      </c>
      <c r="CPC13">
        <v>1</v>
      </c>
      <c r="CPU13">
        <v>1</v>
      </c>
      <c r="CPX13">
        <v>1</v>
      </c>
      <c r="CRJ13">
        <v>1</v>
      </c>
      <c r="CSE13">
        <v>1</v>
      </c>
      <c r="CTA13">
        <v>1</v>
      </c>
      <c r="CTF13">
        <v>1</v>
      </c>
      <c r="CUB13">
        <v>1</v>
      </c>
      <c r="CUU13">
        <v>1</v>
      </c>
      <c r="CVJ13">
        <v>1</v>
      </c>
      <c r="CVY13">
        <v>1</v>
      </c>
      <c r="CWD13">
        <v>1</v>
      </c>
      <c r="CWL13">
        <v>1</v>
      </c>
      <c r="CWM13">
        <v>1</v>
      </c>
      <c r="CXW13">
        <v>1</v>
      </c>
      <c r="CYF13">
        <v>1</v>
      </c>
      <c r="DBO13">
        <v>1</v>
      </c>
      <c r="DCD13">
        <v>1</v>
      </c>
      <c r="DCY13">
        <v>1</v>
      </c>
      <c r="DEA13">
        <v>1</v>
      </c>
      <c r="DEJ13">
        <v>1</v>
      </c>
      <c r="DEK13">
        <v>1</v>
      </c>
      <c r="DEM13">
        <v>1</v>
      </c>
      <c r="DEW13">
        <v>1</v>
      </c>
      <c r="DFQ13">
        <v>1</v>
      </c>
      <c r="DGC13">
        <v>1</v>
      </c>
      <c r="DGJ13">
        <v>1</v>
      </c>
      <c r="DGU13">
        <v>1</v>
      </c>
      <c r="DHA13">
        <v>1</v>
      </c>
      <c r="DHB13">
        <v>1</v>
      </c>
      <c r="DHI13">
        <v>1</v>
      </c>
      <c r="DHL13">
        <v>1</v>
      </c>
      <c r="DHR13">
        <v>1</v>
      </c>
      <c r="DHX13">
        <v>1</v>
      </c>
      <c r="DIG13">
        <v>1</v>
      </c>
      <c r="DII13">
        <v>1</v>
      </c>
      <c r="DIV13">
        <v>1</v>
      </c>
      <c r="DJC13">
        <v>1</v>
      </c>
      <c r="DJW13">
        <v>1</v>
      </c>
      <c r="DKU13">
        <v>1</v>
      </c>
      <c r="DLR13">
        <v>1</v>
      </c>
      <c r="DLW13">
        <v>1</v>
      </c>
      <c r="DLY13">
        <v>1</v>
      </c>
      <c r="DML13">
        <v>1</v>
      </c>
      <c r="DMQ13">
        <v>1</v>
      </c>
      <c r="DNK13">
        <v>1</v>
      </c>
      <c r="DNL13">
        <v>1</v>
      </c>
      <c r="DOA13">
        <v>1</v>
      </c>
      <c r="DOC13">
        <v>1</v>
      </c>
      <c r="DOD13">
        <v>1</v>
      </c>
      <c r="DOP13">
        <v>1</v>
      </c>
      <c r="DOW13">
        <v>1</v>
      </c>
      <c r="DOY13">
        <v>1</v>
      </c>
      <c r="DOZ13">
        <v>1</v>
      </c>
      <c r="DPA13">
        <v>1</v>
      </c>
      <c r="DPE13">
        <v>1</v>
      </c>
      <c r="DQW13">
        <v>1</v>
      </c>
      <c r="DSK13">
        <v>1</v>
      </c>
      <c r="DSL13">
        <v>1</v>
      </c>
      <c r="DSU13">
        <v>1</v>
      </c>
      <c r="DTN13">
        <v>1</v>
      </c>
      <c r="DTP13">
        <v>1</v>
      </c>
      <c r="DTY13">
        <v>1</v>
      </c>
      <c r="DUQ13">
        <v>1</v>
      </c>
      <c r="DVA13">
        <v>1</v>
      </c>
      <c r="DVY13">
        <v>1</v>
      </c>
      <c r="DWC13">
        <v>1</v>
      </c>
      <c r="DWI13">
        <v>1</v>
      </c>
      <c r="DXF13">
        <v>1</v>
      </c>
      <c r="DXR13">
        <v>1</v>
      </c>
      <c r="DYF13">
        <v>1</v>
      </c>
      <c r="DYZ13">
        <v>1</v>
      </c>
      <c r="DZJ13">
        <v>1</v>
      </c>
      <c r="DZQ13">
        <v>1</v>
      </c>
      <c r="EAF13">
        <v>1</v>
      </c>
      <c r="EAI13">
        <v>1</v>
      </c>
      <c r="EAK13">
        <v>1</v>
      </c>
      <c r="EAN13">
        <v>1</v>
      </c>
      <c r="EDC13">
        <v>1</v>
      </c>
      <c r="EDG13">
        <f>SUMPRODUCT(Constraint_7,Decision_variables)</f>
        <v>1</v>
      </c>
      <c r="EDH13" t="s">
        <v>5264</v>
      </c>
      <c r="EDI13">
        <v>1</v>
      </c>
    </row>
    <row r="14" spans="1:3493" x14ac:dyDescent="0.3">
      <c r="B14" t="s">
        <v>3499</v>
      </c>
      <c r="BD14">
        <v>1</v>
      </c>
      <c r="DB14">
        <v>1</v>
      </c>
      <c r="KU14">
        <v>1</v>
      </c>
      <c r="LK14">
        <v>1</v>
      </c>
      <c r="LM14">
        <v>1</v>
      </c>
      <c r="NY14">
        <v>1</v>
      </c>
      <c r="TG14">
        <v>1</v>
      </c>
      <c r="WM14">
        <v>1</v>
      </c>
      <c r="YC14">
        <v>1</v>
      </c>
      <c r="YD14">
        <v>1</v>
      </c>
      <c r="YX14">
        <v>1</v>
      </c>
      <c r="ZZ14">
        <v>1</v>
      </c>
      <c r="AAI14">
        <v>1</v>
      </c>
      <c r="ABC14">
        <v>1</v>
      </c>
      <c r="ABU14">
        <v>1</v>
      </c>
      <c r="ACC14">
        <v>1</v>
      </c>
      <c r="ACX14">
        <v>1</v>
      </c>
      <c r="ADJ14">
        <v>1</v>
      </c>
      <c r="AFA14">
        <v>1</v>
      </c>
      <c r="AFR14">
        <v>1</v>
      </c>
      <c r="AGC14">
        <v>1</v>
      </c>
      <c r="AHC14">
        <v>1</v>
      </c>
      <c r="AHT14">
        <v>1</v>
      </c>
      <c r="AHU14">
        <v>1</v>
      </c>
      <c r="AJP14">
        <v>1</v>
      </c>
      <c r="AKC14">
        <v>1</v>
      </c>
      <c r="AKD14">
        <v>1</v>
      </c>
      <c r="AKH14">
        <v>1</v>
      </c>
      <c r="AKJ14">
        <v>1</v>
      </c>
      <c r="AKN14">
        <v>1</v>
      </c>
      <c r="AKZ14">
        <v>1</v>
      </c>
      <c r="ALJ14">
        <v>1</v>
      </c>
      <c r="ALY14">
        <v>1</v>
      </c>
      <c r="AMB14">
        <v>1</v>
      </c>
      <c r="AMG14">
        <v>1</v>
      </c>
      <c r="ANO14">
        <v>1</v>
      </c>
      <c r="ANU14">
        <v>1</v>
      </c>
      <c r="AOE14">
        <v>1</v>
      </c>
      <c r="APF14">
        <v>1</v>
      </c>
      <c r="APK14">
        <v>1</v>
      </c>
      <c r="APP14">
        <v>1</v>
      </c>
      <c r="APR14">
        <v>1</v>
      </c>
      <c r="APT14">
        <v>1</v>
      </c>
      <c r="APZ14">
        <v>1</v>
      </c>
      <c r="AQG14">
        <v>1</v>
      </c>
      <c r="AQI14">
        <v>1</v>
      </c>
      <c r="AQN14">
        <v>1</v>
      </c>
      <c r="AQX14">
        <v>1</v>
      </c>
      <c r="AQY14">
        <v>1</v>
      </c>
      <c r="ARG14">
        <v>1</v>
      </c>
      <c r="ARL14">
        <v>1</v>
      </c>
      <c r="ARW14">
        <v>1</v>
      </c>
      <c r="ATI14">
        <v>1</v>
      </c>
      <c r="ATO14">
        <v>1</v>
      </c>
      <c r="AUC14">
        <v>1</v>
      </c>
      <c r="AUE14">
        <v>1</v>
      </c>
      <c r="AUS14">
        <v>1</v>
      </c>
      <c r="AUT14">
        <v>1</v>
      </c>
      <c r="AUU14">
        <v>1</v>
      </c>
      <c r="AUW14">
        <v>1</v>
      </c>
      <c r="AVY14">
        <v>1</v>
      </c>
      <c r="AWC14">
        <v>1</v>
      </c>
      <c r="AWF14">
        <v>1</v>
      </c>
      <c r="AWR14">
        <v>1</v>
      </c>
      <c r="AWT14">
        <v>1</v>
      </c>
      <c r="AXE14">
        <v>1</v>
      </c>
      <c r="AXU14">
        <v>1</v>
      </c>
      <c r="AYI14">
        <v>1</v>
      </c>
      <c r="AYP14">
        <v>1</v>
      </c>
      <c r="AYQ14">
        <v>1</v>
      </c>
      <c r="AYR14">
        <v>1</v>
      </c>
      <c r="AYT14">
        <v>1</v>
      </c>
      <c r="AZB14">
        <v>1</v>
      </c>
      <c r="AZH14">
        <v>1</v>
      </c>
      <c r="AZJ14">
        <v>1</v>
      </c>
      <c r="AZO14">
        <v>1</v>
      </c>
      <c r="AZR14">
        <v>1</v>
      </c>
      <c r="AZX14">
        <v>1</v>
      </c>
      <c r="BAM14">
        <v>1</v>
      </c>
      <c r="BAP14">
        <v>1</v>
      </c>
      <c r="BAQ14">
        <v>1</v>
      </c>
      <c r="BBH14">
        <v>1</v>
      </c>
      <c r="BBM14">
        <v>1</v>
      </c>
      <c r="BCB14">
        <v>1</v>
      </c>
      <c r="BCC14">
        <v>1</v>
      </c>
      <c r="BCY14">
        <v>1</v>
      </c>
      <c r="BCZ14">
        <v>1</v>
      </c>
      <c r="BDW14">
        <v>1</v>
      </c>
      <c r="BDX14">
        <v>1</v>
      </c>
      <c r="BEF14">
        <v>1</v>
      </c>
      <c r="BEG14">
        <v>1</v>
      </c>
      <c r="BEH14">
        <v>1</v>
      </c>
      <c r="BEJ14">
        <v>1</v>
      </c>
      <c r="BEZ14">
        <v>1</v>
      </c>
      <c r="BFM14">
        <v>1</v>
      </c>
      <c r="BGR14">
        <v>1</v>
      </c>
      <c r="BGS14">
        <v>1</v>
      </c>
      <c r="BHC14">
        <v>1</v>
      </c>
      <c r="BHI14">
        <v>1</v>
      </c>
      <c r="BHK14">
        <v>1</v>
      </c>
      <c r="BHM14">
        <v>1</v>
      </c>
      <c r="BHU14">
        <v>1</v>
      </c>
      <c r="BHZ14">
        <v>1</v>
      </c>
      <c r="BIA14">
        <v>1</v>
      </c>
      <c r="BIC14">
        <v>1</v>
      </c>
      <c r="BIE14">
        <v>1</v>
      </c>
      <c r="BIT14">
        <v>1</v>
      </c>
      <c r="BIU14">
        <v>1</v>
      </c>
      <c r="BJC14">
        <v>1</v>
      </c>
      <c r="BJG14">
        <v>1</v>
      </c>
      <c r="BJP14">
        <v>1</v>
      </c>
      <c r="BJT14">
        <v>1</v>
      </c>
      <c r="BKA14">
        <v>1</v>
      </c>
      <c r="BKE14">
        <v>1</v>
      </c>
      <c r="BKH14">
        <v>1</v>
      </c>
      <c r="BKI14">
        <v>1</v>
      </c>
      <c r="BKK14">
        <v>1</v>
      </c>
      <c r="BKN14">
        <v>1</v>
      </c>
      <c r="BKO14">
        <v>1</v>
      </c>
      <c r="BKU14">
        <v>1</v>
      </c>
      <c r="BKV14">
        <v>1</v>
      </c>
      <c r="BKW14">
        <v>1</v>
      </c>
      <c r="BKX14">
        <v>1</v>
      </c>
      <c r="BLE14">
        <v>1</v>
      </c>
      <c r="BLF14">
        <v>1</v>
      </c>
      <c r="BLG14">
        <v>1</v>
      </c>
      <c r="BLI14">
        <v>1</v>
      </c>
      <c r="BLQ14">
        <v>1</v>
      </c>
      <c r="BLR14">
        <v>1</v>
      </c>
      <c r="BLX14">
        <v>1</v>
      </c>
      <c r="BPD14">
        <v>1</v>
      </c>
      <c r="BRB14">
        <v>1</v>
      </c>
      <c r="BYU14">
        <v>1</v>
      </c>
      <c r="BZK14">
        <v>1</v>
      </c>
      <c r="BZM14">
        <v>1</v>
      </c>
      <c r="CBY14">
        <v>1</v>
      </c>
      <c r="CHG14">
        <v>1</v>
      </c>
      <c r="CKM14">
        <v>1</v>
      </c>
      <c r="CMC14">
        <v>1</v>
      </c>
      <c r="CMD14">
        <v>1</v>
      </c>
      <c r="CMX14">
        <v>1</v>
      </c>
      <c r="CNZ14">
        <v>1</v>
      </c>
      <c r="COI14">
        <v>1</v>
      </c>
      <c r="CPC14">
        <v>1</v>
      </c>
      <c r="CPU14">
        <v>1</v>
      </c>
      <c r="CQC14">
        <v>1</v>
      </c>
      <c r="CQX14">
        <v>1</v>
      </c>
      <c r="CRJ14">
        <v>1</v>
      </c>
      <c r="CTA14">
        <v>1</v>
      </c>
      <c r="CTR14">
        <v>1</v>
      </c>
      <c r="CUC14">
        <v>1</v>
      </c>
      <c r="CVC14">
        <v>1</v>
      </c>
      <c r="CVT14">
        <v>1</v>
      </c>
      <c r="CVU14">
        <v>1</v>
      </c>
      <c r="CXP14">
        <v>1</v>
      </c>
      <c r="CYC14">
        <v>1</v>
      </c>
      <c r="CYD14">
        <v>1</v>
      </c>
      <c r="CYH14">
        <v>1</v>
      </c>
      <c r="CYJ14">
        <v>1</v>
      </c>
      <c r="CYN14">
        <v>1</v>
      </c>
      <c r="CYZ14">
        <v>1</v>
      </c>
      <c r="CZJ14">
        <v>1</v>
      </c>
      <c r="CZY14">
        <v>1</v>
      </c>
      <c r="DAB14">
        <v>1</v>
      </c>
      <c r="DAG14">
        <v>1</v>
      </c>
      <c r="DBO14">
        <v>1</v>
      </c>
      <c r="DBU14">
        <v>1</v>
      </c>
      <c r="DCE14">
        <v>1</v>
      </c>
      <c r="DDF14">
        <v>1</v>
      </c>
      <c r="DDK14">
        <v>1</v>
      </c>
      <c r="DDP14">
        <v>1</v>
      </c>
      <c r="DDR14">
        <v>1</v>
      </c>
      <c r="DDT14">
        <v>1</v>
      </c>
      <c r="DDZ14">
        <v>1</v>
      </c>
      <c r="DEG14">
        <v>1</v>
      </c>
      <c r="DEI14">
        <v>1</v>
      </c>
      <c r="DEN14">
        <v>1</v>
      </c>
      <c r="DEX14">
        <v>1</v>
      </c>
      <c r="DEY14">
        <v>1</v>
      </c>
      <c r="DFG14">
        <v>1</v>
      </c>
      <c r="DFL14">
        <v>1</v>
      </c>
      <c r="DFW14">
        <v>1</v>
      </c>
      <c r="DHI14">
        <v>1</v>
      </c>
      <c r="DHO14">
        <v>1</v>
      </c>
      <c r="DIC14">
        <v>1</v>
      </c>
      <c r="DIE14">
        <v>1</v>
      </c>
      <c r="DIS14">
        <v>1</v>
      </c>
      <c r="DIT14">
        <v>1</v>
      </c>
      <c r="DIU14">
        <v>1</v>
      </c>
      <c r="DIW14">
        <v>1</v>
      </c>
      <c r="DJY14">
        <v>1</v>
      </c>
      <c r="DKC14">
        <v>1</v>
      </c>
      <c r="DKF14">
        <v>1</v>
      </c>
      <c r="DKR14">
        <v>1</v>
      </c>
      <c r="DKT14">
        <v>1</v>
      </c>
      <c r="DLE14">
        <v>1</v>
      </c>
      <c r="DLU14">
        <v>1</v>
      </c>
      <c r="DMI14">
        <v>1</v>
      </c>
      <c r="DMP14">
        <v>1</v>
      </c>
      <c r="DMQ14">
        <v>1</v>
      </c>
      <c r="DMR14">
        <v>1</v>
      </c>
      <c r="DMT14">
        <v>1</v>
      </c>
      <c r="DNB14">
        <v>1</v>
      </c>
      <c r="DNH14">
        <v>1</v>
      </c>
      <c r="DNJ14">
        <v>1</v>
      </c>
      <c r="DNO14">
        <v>1</v>
      </c>
      <c r="DNR14">
        <v>1</v>
      </c>
      <c r="DNX14">
        <v>1</v>
      </c>
      <c r="DOM14">
        <v>1</v>
      </c>
      <c r="DOP14">
        <v>1</v>
      </c>
      <c r="DOQ14">
        <v>1</v>
      </c>
      <c r="DPH14">
        <v>1</v>
      </c>
      <c r="DPM14">
        <v>1</v>
      </c>
      <c r="DQB14">
        <v>1</v>
      </c>
      <c r="DQC14">
        <v>1</v>
      </c>
      <c r="DQY14">
        <v>1</v>
      </c>
      <c r="DQZ14">
        <v>1</v>
      </c>
      <c r="DRW14">
        <v>1</v>
      </c>
      <c r="DRX14">
        <v>1</v>
      </c>
      <c r="DSF14">
        <v>1</v>
      </c>
      <c r="DSG14">
        <v>1</v>
      </c>
      <c r="DSH14">
        <v>1</v>
      </c>
      <c r="DSJ14">
        <v>1</v>
      </c>
      <c r="DSZ14">
        <v>1</v>
      </c>
      <c r="DTM14">
        <v>1</v>
      </c>
      <c r="DUR14">
        <v>1</v>
      </c>
      <c r="DUS14">
        <v>1</v>
      </c>
      <c r="DVC14">
        <v>1</v>
      </c>
      <c r="DVI14">
        <v>1</v>
      </c>
      <c r="DVK14">
        <v>1</v>
      </c>
      <c r="DVM14">
        <v>1</v>
      </c>
      <c r="DVU14">
        <v>1</v>
      </c>
      <c r="DVZ14">
        <v>1</v>
      </c>
      <c r="DWA14">
        <v>1</v>
      </c>
      <c r="DWC14">
        <v>1</v>
      </c>
      <c r="DWE14">
        <v>1</v>
      </c>
      <c r="DWT14">
        <v>1</v>
      </c>
      <c r="DWU14">
        <v>1</v>
      </c>
      <c r="DXC14">
        <v>1</v>
      </c>
      <c r="DXG14">
        <v>1</v>
      </c>
      <c r="DXP14">
        <v>1</v>
      </c>
      <c r="DXT14">
        <v>1</v>
      </c>
      <c r="DYA14">
        <v>1</v>
      </c>
      <c r="DYE14">
        <v>1</v>
      </c>
      <c r="DYH14">
        <v>1</v>
      </c>
      <c r="DYI14">
        <v>1</v>
      </c>
      <c r="DYK14">
        <v>1</v>
      </c>
      <c r="DYN14">
        <v>1</v>
      </c>
      <c r="DYO14">
        <v>1</v>
      </c>
      <c r="DYU14">
        <v>1</v>
      </c>
      <c r="DYV14">
        <v>1</v>
      </c>
      <c r="DYW14">
        <v>1</v>
      </c>
      <c r="DYX14">
        <v>1</v>
      </c>
      <c r="DZE14">
        <v>1</v>
      </c>
      <c r="DZF14">
        <v>1</v>
      </c>
      <c r="DZG14">
        <v>1</v>
      </c>
      <c r="DZI14">
        <v>1</v>
      </c>
      <c r="DZQ14">
        <v>1</v>
      </c>
      <c r="DZR14">
        <v>1</v>
      </c>
      <c r="DZX14">
        <v>1</v>
      </c>
      <c r="EDD14">
        <v>1</v>
      </c>
      <c r="EDG14">
        <f>SUMPRODUCT(Constraint_8,Decision_variables)</f>
        <v>1</v>
      </c>
      <c r="EDH14" t="s">
        <v>5264</v>
      </c>
      <c r="EDI14">
        <v>1</v>
      </c>
    </row>
    <row r="15" spans="1:3493" x14ac:dyDescent="0.3">
      <c r="B15" t="s">
        <v>3500</v>
      </c>
      <c r="C15">
        <v>1</v>
      </c>
      <c r="X15">
        <v>1</v>
      </c>
      <c r="AK15">
        <v>1</v>
      </c>
      <c r="AM15">
        <v>1</v>
      </c>
      <c r="AS15">
        <v>1</v>
      </c>
      <c r="AU15">
        <v>1</v>
      </c>
      <c r="BV15">
        <v>1</v>
      </c>
      <c r="BY15">
        <v>1</v>
      </c>
      <c r="BZ15">
        <v>1</v>
      </c>
      <c r="CC15">
        <v>1</v>
      </c>
      <c r="CP15">
        <v>1</v>
      </c>
      <c r="CZ15">
        <v>1</v>
      </c>
      <c r="DF15">
        <v>1</v>
      </c>
      <c r="DH15">
        <v>1</v>
      </c>
      <c r="DR15">
        <v>1</v>
      </c>
      <c r="EL15">
        <v>1</v>
      </c>
      <c r="EQ15">
        <v>1</v>
      </c>
      <c r="EU15">
        <v>1</v>
      </c>
      <c r="EX15">
        <v>1</v>
      </c>
      <c r="EY15">
        <v>1</v>
      </c>
      <c r="EZ15">
        <v>1</v>
      </c>
      <c r="GC15">
        <v>1</v>
      </c>
      <c r="GI15">
        <v>1</v>
      </c>
      <c r="GZ15">
        <v>1</v>
      </c>
      <c r="II15">
        <v>1</v>
      </c>
      <c r="IJ15">
        <v>1</v>
      </c>
      <c r="IW15">
        <v>1</v>
      </c>
      <c r="IX15">
        <v>1</v>
      </c>
      <c r="JB15">
        <v>1</v>
      </c>
      <c r="JD15">
        <v>1</v>
      </c>
      <c r="JF15">
        <v>1</v>
      </c>
      <c r="JG15">
        <v>1</v>
      </c>
      <c r="JK15">
        <v>1</v>
      </c>
      <c r="JL15">
        <v>1</v>
      </c>
      <c r="JO15">
        <v>1</v>
      </c>
      <c r="JT15">
        <v>1</v>
      </c>
      <c r="KC15">
        <v>1</v>
      </c>
      <c r="KD15">
        <v>1</v>
      </c>
      <c r="KE15">
        <v>1</v>
      </c>
      <c r="KF15">
        <v>1</v>
      </c>
      <c r="KL15">
        <v>1</v>
      </c>
      <c r="KO15">
        <v>1</v>
      </c>
      <c r="KS15">
        <v>1</v>
      </c>
      <c r="LL15">
        <v>1</v>
      </c>
      <c r="LM15">
        <v>1</v>
      </c>
      <c r="LN15">
        <v>1</v>
      </c>
      <c r="LP15">
        <v>1</v>
      </c>
      <c r="LQ15">
        <v>1</v>
      </c>
      <c r="LT15">
        <v>1</v>
      </c>
      <c r="LV15">
        <v>1</v>
      </c>
      <c r="LZ15">
        <v>1</v>
      </c>
      <c r="MC15">
        <v>1</v>
      </c>
      <c r="MD15">
        <v>1</v>
      </c>
      <c r="MV15">
        <v>1</v>
      </c>
      <c r="NK15">
        <v>1</v>
      </c>
      <c r="NM15">
        <v>1</v>
      </c>
      <c r="NN15">
        <v>1</v>
      </c>
      <c r="NQ15">
        <v>1</v>
      </c>
      <c r="NT15">
        <v>1</v>
      </c>
      <c r="OA15">
        <v>1</v>
      </c>
      <c r="OE15">
        <v>1</v>
      </c>
      <c r="OL15">
        <v>1</v>
      </c>
      <c r="ON15">
        <v>1</v>
      </c>
      <c r="OR15">
        <v>1</v>
      </c>
      <c r="OU15">
        <v>1</v>
      </c>
      <c r="PE15">
        <v>1</v>
      </c>
      <c r="PG15">
        <v>1</v>
      </c>
      <c r="PP15">
        <v>1</v>
      </c>
      <c r="PU15">
        <v>1</v>
      </c>
      <c r="PV15">
        <v>1</v>
      </c>
      <c r="PX15">
        <v>1</v>
      </c>
      <c r="PY15">
        <v>1</v>
      </c>
      <c r="QB15">
        <v>1</v>
      </c>
      <c r="QH15">
        <v>1</v>
      </c>
      <c r="QM15">
        <v>1</v>
      </c>
      <c r="QO15">
        <v>1</v>
      </c>
      <c r="QU15">
        <v>1</v>
      </c>
      <c r="QY15">
        <v>1</v>
      </c>
      <c r="QZ15">
        <v>1</v>
      </c>
      <c r="RG15">
        <v>1</v>
      </c>
      <c r="RH15">
        <v>1</v>
      </c>
      <c r="RI15">
        <v>1</v>
      </c>
      <c r="RL15">
        <v>1</v>
      </c>
      <c r="RQ15">
        <v>1</v>
      </c>
      <c r="RY15">
        <v>1</v>
      </c>
      <c r="SF15">
        <v>1</v>
      </c>
      <c r="SH15">
        <v>1</v>
      </c>
      <c r="SP15">
        <v>1</v>
      </c>
      <c r="SZ15">
        <v>1</v>
      </c>
      <c r="TU15">
        <v>1</v>
      </c>
      <c r="UF15">
        <v>1</v>
      </c>
      <c r="UO15">
        <v>1</v>
      </c>
      <c r="UV15">
        <v>1</v>
      </c>
      <c r="VE15">
        <v>1</v>
      </c>
      <c r="VI15">
        <v>1</v>
      </c>
      <c r="VQ15">
        <v>1</v>
      </c>
      <c r="VS15">
        <v>1</v>
      </c>
      <c r="VT15">
        <v>1</v>
      </c>
      <c r="VZ15">
        <v>1</v>
      </c>
      <c r="WI15">
        <v>1</v>
      </c>
      <c r="WZ15">
        <v>1</v>
      </c>
      <c r="XJ15">
        <v>1</v>
      </c>
      <c r="XR15">
        <v>1</v>
      </c>
      <c r="XY15">
        <v>1</v>
      </c>
      <c r="XZ15">
        <v>1</v>
      </c>
      <c r="YK15">
        <v>1</v>
      </c>
      <c r="YQ15">
        <v>1</v>
      </c>
      <c r="YS15">
        <v>1</v>
      </c>
      <c r="YT15">
        <v>1</v>
      </c>
      <c r="YU15">
        <v>1</v>
      </c>
      <c r="ZA15">
        <v>1</v>
      </c>
      <c r="ZJ15">
        <v>1</v>
      </c>
      <c r="ZR15">
        <v>1</v>
      </c>
      <c r="AAB15">
        <v>1</v>
      </c>
      <c r="AAG15">
        <v>1</v>
      </c>
      <c r="AAK15">
        <v>1</v>
      </c>
      <c r="AAS15">
        <v>1</v>
      </c>
      <c r="ABA15">
        <v>1</v>
      </c>
      <c r="ABB15">
        <v>1</v>
      </c>
      <c r="ABQ15">
        <v>1</v>
      </c>
      <c r="ABV15">
        <v>1</v>
      </c>
      <c r="ABX15">
        <v>1</v>
      </c>
      <c r="ABY15">
        <v>1</v>
      </c>
      <c r="ACA15">
        <v>1</v>
      </c>
      <c r="ACC15">
        <v>1</v>
      </c>
      <c r="ACG15">
        <v>1</v>
      </c>
      <c r="ACH15">
        <v>1</v>
      </c>
      <c r="ACO15">
        <v>1</v>
      </c>
      <c r="ACV15">
        <v>1</v>
      </c>
      <c r="ACX15">
        <v>1</v>
      </c>
      <c r="ACY15">
        <v>1</v>
      </c>
      <c r="ADD15">
        <v>1</v>
      </c>
      <c r="ADL15">
        <v>1</v>
      </c>
      <c r="ADO15">
        <v>1</v>
      </c>
      <c r="ADV15">
        <v>1</v>
      </c>
      <c r="ADW15">
        <v>1</v>
      </c>
      <c r="AEA15">
        <v>1</v>
      </c>
      <c r="AED15">
        <v>1</v>
      </c>
      <c r="AEN15">
        <v>1</v>
      </c>
      <c r="AEQ15">
        <v>1</v>
      </c>
      <c r="AEY15">
        <v>1</v>
      </c>
      <c r="AFH15">
        <v>1</v>
      </c>
      <c r="AFI15">
        <v>1</v>
      </c>
      <c r="AGB15">
        <v>1</v>
      </c>
      <c r="AGF15">
        <v>1</v>
      </c>
      <c r="AHC15">
        <v>1</v>
      </c>
      <c r="AHM15">
        <v>1</v>
      </c>
      <c r="AHU15">
        <v>1</v>
      </c>
      <c r="AIC15">
        <v>1</v>
      </c>
      <c r="AII15">
        <v>1</v>
      </c>
      <c r="AIO15">
        <v>1</v>
      </c>
      <c r="AIR15">
        <v>1</v>
      </c>
      <c r="AIS15">
        <v>1</v>
      </c>
      <c r="AJE15">
        <v>1</v>
      </c>
      <c r="AJH15">
        <v>1</v>
      </c>
      <c r="AJK15">
        <v>1</v>
      </c>
      <c r="AJP15">
        <v>1</v>
      </c>
      <c r="AJS15">
        <v>1</v>
      </c>
      <c r="AKJ15">
        <v>1</v>
      </c>
      <c r="AKZ15">
        <v>1</v>
      </c>
      <c r="ALF15">
        <v>1</v>
      </c>
      <c r="ALM15">
        <v>1</v>
      </c>
      <c r="ALO15">
        <v>1</v>
      </c>
      <c r="ALR15">
        <v>1</v>
      </c>
      <c r="AMG15">
        <v>1</v>
      </c>
      <c r="AMJ15">
        <v>1</v>
      </c>
      <c r="AMN15">
        <v>1</v>
      </c>
      <c r="AMQ15">
        <v>1</v>
      </c>
      <c r="AMU15">
        <v>1</v>
      </c>
      <c r="AMY15">
        <v>1</v>
      </c>
      <c r="ANC15">
        <v>1</v>
      </c>
      <c r="ANI15">
        <v>1</v>
      </c>
      <c r="ANS15">
        <v>1</v>
      </c>
      <c r="ANW15">
        <v>1</v>
      </c>
      <c r="ANZ15">
        <v>1</v>
      </c>
      <c r="AOE15">
        <v>1</v>
      </c>
      <c r="AOF15">
        <v>1</v>
      </c>
      <c r="AOG15">
        <v>1</v>
      </c>
      <c r="AOM15">
        <v>1</v>
      </c>
      <c r="AOO15">
        <v>1</v>
      </c>
      <c r="APF15">
        <v>1</v>
      </c>
      <c r="APQ15">
        <v>1</v>
      </c>
      <c r="APV15">
        <v>1</v>
      </c>
      <c r="APY15">
        <v>1</v>
      </c>
      <c r="AQC15">
        <v>1</v>
      </c>
      <c r="AQI15">
        <v>1</v>
      </c>
      <c r="AQN15">
        <v>1</v>
      </c>
      <c r="AQP15">
        <v>1</v>
      </c>
      <c r="AQW15">
        <v>1</v>
      </c>
      <c r="AQY15">
        <v>1</v>
      </c>
      <c r="ARD15">
        <v>1</v>
      </c>
      <c r="ARY15">
        <v>1</v>
      </c>
      <c r="ASF15">
        <v>1</v>
      </c>
      <c r="ASG15">
        <v>1</v>
      </c>
      <c r="ASS15">
        <v>1</v>
      </c>
      <c r="ASV15">
        <v>1</v>
      </c>
      <c r="ATA15">
        <v>1</v>
      </c>
      <c r="ATH15">
        <v>1</v>
      </c>
      <c r="ATR15">
        <v>1</v>
      </c>
      <c r="ATY15">
        <v>1</v>
      </c>
      <c r="AUA15">
        <v>1</v>
      </c>
      <c r="AUG15">
        <v>1</v>
      </c>
      <c r="AVF15">
        <v>1</v>
      </c>
      <c r="AVH15">
        <v>1</v>
      </c>
      <c r="AVO15">
        <v>1</v>
      </c>
      <c r="AVZ15">
        <v>1</v>
      </c>
      <c r="AWO15">
        <v>1</v>
      </c>
      <c r="AWQ15">
        <v>1</v>
      </c>
      <c r="AXA15">
        <v>1</v>
      </c>
      <c r="AXL15">
        <v>1</v>
      </c>
      <c r="AXM15">
        <v>1</v>
      </c>
      <c r="AYR15">
        <v>1</v>
      </c>
      <c r="AYU15">
        <v>1</v>
      </c>
      <c r="AYW15">
        <v>1</v>
      </c>
      <c r="AYZ15">
        <v>1</v>
      </c>
      <c r="AZJ15">
        <v>1</v>
      </c>
      <c r="AZL15">
        <v>1</v>
      </c>
      <c r="BAB15">
        <v>1</v>
      </c>
      <c r="BAO15">
        <v>1</v>
      </c>
      <c r="BAQ15">
        <v>1</v>
      </c>
      <c r="BBC15">
        <v>1</v>
      </c>
      <c r="BBM15">
        <v>1</v>
      </c>
      <c r="BBX15">
        <v>1</v>
      </c>
      <c r="BCK15">
        <v>1</v>
      </c>
      <c r="BCM15">
        <v>1</v>
      </c>
      <c r="BCP15">
        <v>1</v>
      </c>
      <c r="BCR15">
        <v>1</v>
      </c>
      <c r="BDB15">
        <v>1</v>
      </c>
      <c r="BDF15">
        <v>1</v>
      </c>
      <c r="BDJ15">
        <v>1</v>
      </c>
      <c r="BDS15">
        <v>1</v>
      </c>
      <c r="BDV15">
        <v>1</v>
      </c>
      <c r="BDX15">
        <v>1</v>
      </c>
      <c r="BED15">
        <v>1</v>
      </c>
      <c r="BEI15">
        <v>1</v>
      </c>
      <c r="BEK15">
        <v>1</v>
      </c>
      <c r="BEN15">
        <v>1</v>
      </c>
      <c r="BEV15">
        <v>1</v>
      </c>
      <c r="BEX15">
        <v>1</v>
      </c>
      <c r="BFQ15">
        <v>1</v>
      </c>
      <c r="BGD15">
        <v>1</v>
      </c>
      <c r="BGN15">
        <v>1</v>
      </c>
      <c r="BHF15">
        <v>1</v>
      </c>
      <c r="BHL15">
        <v>1</v>
      </c>
      <c r="BHZ15">
        <v>1</v>
      </c>
      <c r="BIF15">
        <v>1</v>
      </c>
      <c r="BIG15">
        <v>1</v>
      </c>
      <c r="BIH15">
        <v>1</v>
      </c>
      <c r="BJY15">
        <v>1</v>
      </c>
      <c r="BKC15">
        <v>1</v>
      </c>
      <c r="BKE15">
        <v>1</v>
      </c>
      <c r="BKI15">
        <v>1</v>
      </c>
      <c r="BKQ15">
        <v>1</v>
      </c>
      <c r="BKR15">
        <v>1</v>
      </c>
      <c r="BLM15">
        <v>1</v>
      </c>
      <c r="BLW15">
        <v>1</v>
      </c>
      <c r="BMN15">
        <v>1</v>
      </c>
      <c r="BNB15">
        <v>1</v>
      </c>
      <c r="BNC15">
        <v>1</v>
      </c>
      <c r="BNX15">
        <v>1</v>
      </c>
      <c r="BOK15">
        <v>1</v>
      </c>
      <c r="BOM15">
        <v>1</v>
      </c>
      <c r="BOS15">
        <v>1</v>
      </c>
      <c r="BOU15">
        <v>1</v>
      </c>
      <c r="BPV15">
        <v>1</v>
      </c>
      <c r="BPY15">
        <v>1</v>
      </c>
      <c r="BPZ15">
        <v>1</v>
      </c>
      <c r="BQC15">
        <v>1</v>
      </c>
      <c r="BQP15">
        <v>1</v>
      </c>
      <c r="BQZ15">
        <v>1</v>
      </c>
      <c r="BRF15">
        <v>1</v>
      </c>
      <c r="BRH15">
        <v>1</v>
      </c>
      <c r="BRR15">
        <v>1</v>
      </c>
      <c r="BSL15">
        <v>1</v>
      </c>
      <c r="BSQ15">
        <v>1</v>
      </c>
      <c r="BSU15">
        <v>1</v>
      </c>
      <c r="BSX15">
        <v>1</v>
      </c>
      <c r="BSY15">
        <v>1</v>
      </c>
      <c r="BSZ15">
        <v>1</v>
      </c>
      <c r="BUC15">
        <v>1</v>
      </c>
      <c r="BUI15">
        <v>1</v>
      </c>
      <c r="BUZ15">
        <v>1</v>
      </c>
      <c r="BWI15">
        <v>1</v>
      </c>
      <c r="BWJ15">
        <v>1</v>
      </c>
      <c r="BWW15">
        <v>1</v>
      </c>
      <c r="BWX15">
        <v>1</v>
      </c>
      <c r="BXB15">
        <v>1</v>
      </c>
      <c r="BXD15">
        <v>1</v>
      </c>
      <c r="BXF15">
        <v>1</v>
      </c>
      <c r="BXG15">
        <v>1</v>
      </c>
      <c r="BXK15">
        <v>1</v>
      </c>
      <c r="BXL15">
        <v>1</v>
      </c>
      <c r="BXO15">
        <v>1</v>
      </c>
      <c r="BXT15">
        <v>1</v>
      </c>
      <c r="BYC15">
        <v>1</v>
      </c>
      <c r="BYD15">
        <v>1</v>
      </c>
      <c r="BYE15">
        <v>1</v>
      </c>
      <c r="BYF15">
        <v>1</v>
      </c>
      <c r="BYL15">
        <v>1</v>
      </c>
      <c r="BYO15">
        <v>1</v>
      </c>
      <c r="BYS15">
        <v>1</v>
      </c>
      <c r="BZL15">
        <v>1</v>
      </c>
      <c r="BZM15">
        <v>1</v>
      </c>
      <c r="BZN15">
        <v>1</v>
      </c>
      <c r="BZP15">
        <v>1</v>
      </c>
      <c r="BZQ15">
        <v>1</v>
      </c>
      <c r="BZT15">
        <v>1</v>
      </c>
      <c r="BZV15">
        <v>1</v>
      </c>
      <c r="BZZ15">
        <v>1</v>
      </c>
      <c r="CAC15">
        <v>1</v>
      </c>
      <c r="CAD15">
        <v>1</v>
      </c>
      <c r="CAV15">
        <v>1</v>
      </c>
      <c r="CBK15">
        <v>1</v>
      </c>
      <c r="CBM15">
        <v>1</v>
      </c>
      <c r="CBN15">
        <v>1</v>
      </c>
      <c r="CBQ15">
        <v>1</v>
      </c>
      <c r="CBT15">
        <v>1</v>
      </c>
      <c r="CCA15">
        <v>1</v>
      </c>
      <c r="CCE15">
        <v>1</v>
      </c>
      <c r="CCL15">
        <v>1</v>
      </c>
      <c r="CCN15">
        <v>1</v>
      </c>
      <c r="CCR15">
        <v>1</v>
      </c>
      <c r="CCU15">
        <v>1</v>
      </c>
      <c r="CDE15">
        <v>1</v>
      </c>
      <c r="CDG15">
        <v>1</v>
      </c>
      <c r="CDP15">
        <v>1</v>
      </c>
      <c r="CDU15">
        <v>1</v>
      </c>
      <c r="CDV15">
        <v>1</v>
      </c>
      <c r="CDX15">
        <v>1</v>
      </c>
      <c r="CDY15">
        <v>1</v>
      </c>
      <c r="CEB15">
        <v>1</v>
      </c>
      <c r="CEH15">
        <v>1</v>
      </c>
      <c r="CEM15">
        <v>1</v>
      </c>
      <c r="CEO15">
        <v>1</v>
      </c>
      <c r="CEU15">
        <v>1</v>
      </c>
      <c r="CEY15">
        <v>1</v>
      </c>
      <c r="CEZ15">
        <v>1</v>
      </c>
      <c r="CFG15">
        <v>1</v>
      </c>
      <c r="CFH15">
        <v>1</v>
      </c>
      <c r="CFI15">
        <v>1</v>
      </c>
      <c r="CFL15">
        <v>1</v>
      </c>
      <c r="CFQ15">
        <v>1</v>
      </c>
      <c r="CFY15">
        <v>1</v>
      </c>
      <c r="CGF15">
        <v>1</v>
      </c>
      <c r="CGH15">
        <v>1</v>
      </c>
      <c r="CGP15">
        <v>1</v>
      </c>
      <c r="CGZ15">
        <v>1</v>
      </c>
      <c r="CHU15">
        <v>1</v>
      </c>
      <c r="CIF15">
        <v>1</v>
      </c>
      <c r="CIO15">
        <v>1</v>
      </c>
      <c r="CIV15">
        <v>1</v>
      </c>
      <c r="CJE15">
        <v>1</v>
      </c>
      <c r="CJI15">
        <v>1</v>
      </c>
      <c r="CJQ15">
        <v>1</v>
      </c>
      <c r="CJS15">
        <v>1</v>
      </c>
      <c r="CJT15">
        <v>1</v>
      </c>
      <c r="CJZ15">
        <v>1</v>
      </c>
      <c r="CKI15">
        <v>1</v>
      </c>
      <c r="CKZ15">
        <v>1</v>
      </c>
      <c r="CLJ15">
        <v>1</v>
      </c>
      <c r="CLR15">
        <v>1</v>
      </c>
      <c r="CLY15">
        <v>1</v>
      </c>
      <c r="CLZ15">
        <v>1</v>
      </c>
      <c r="CMK15">
        <v>1</v>
      </c>
      <c r="CMQ15">
        <v>1</v>
      </c>
      <c r="CMS15">
        <v>1</v>
      </c>
      <c r="CMT15">
        <v>1</v>
      </c>
      <c r="CMU15">
        <v>1</v>
      </c>
      <c r="CNA15">
        <v>1</v>
      </c>
      <c r="CNJ15">
        <v>1</v>
      </c>
      <c r="CNR15">
        <v>1</v>
      </c>
      <c r="COB15">
        <v>1</v>
      </c>
      <c r="COG15">
        <v>1</v>
      </c>
      <c r="COK15">
        <v>1</v>
      </c>
      <c r="COS15">
        <v>1</v>
      </c>
      <c r="CPA15">
        <v>1</v>
      </c>
      <c r="CPB15">
        <v>1</v>
      </c>
      <c r="CPQ15">
        <v>1</v>
      </c>
      <c r="CPV15">
        <v>1</v>
      </c>
      <c r="CPX15">
        <v>1</v>
      </c>
      <c r="CPY15">
        <v>1</v>
      </c>
      <c r="CQA15">
        <v>1</v>
      </c>
      <c r="CQC15">
        <v>1</v>
      </c>
      <c r="CQG15">
        <v>1</v>
      </c>
      <c r="CQH15">
        <v>1</v>
      </c>
      <c r="CQO15">
        <v>1</v>
      </c>
      <c r="CQV15">
        <v>1</v>
      </c>
      <c r="CQX15">
        <v>1</v>
      </c>
      <c r="CQY15">
        <v>1</v>
      </c>
      <c r="CRD15">
        <v>1</v>
      </c>
      <c r="CRL15">
        <v>1</v>
      </c>
      <c r="CRO15">
        <v>1</v>
      </c>
      <c r="CRV15">
        <v>1</v>
      </c>
      <c r="CRW15">
        <v>1</v>
      </c>
      <c r="CSA15">
        <v>1</v>
      </c>
      <c r="CSD15">
        <v>1</v>
      </c>
      <c r="CSN15">
        <v>1</v>
      </c>
      <c r="CSQ15">
        <v>1</v>
      </c>
      <c r="CSY15">
        <v>1</v>
      </c>
      <c r="CTH15">
        <v>1</v>
      </c>
      <c r="CTI15">
        <v>1</v>
      </c>
      <c r="CUB15">
        <v>1</v>
      </c>
      <c r="CUF15">
        <v>1</v>
      </c>
      <c r="CVC15">
        <v>1</v>
      </c>
      <c r="CVM15">
        <v>1</v>
      </c>
      <c r="CVU15">
        <v>1</v>
      </c>
      <c r="CWC15">
        <v>1</v>
      </c>
      <c r="CWI15">
        <v>1</v>
      </c>
      <c r="CWO15">
        <v>1</v>
      </c>
      <c r="CWR15">
        <v>1</v>
      </c>
      <c r="CWS15">
        <v>1</v>
      </c>
      <c r="CXE15">
        <v>1</v>
      </c>
      <c r="CXH15">
        <v>1</v>
      </c>
      <c r="CXK15">
        <v>1</v>
      </c>
      <c r="CXP15">
        <v>1</v>
      </c>
      <c r="CXS15">
        <v>1</v>
      </c>
      <c r="CYJ15">
        <v>1</v>
      </c>
      <c r="CYZ15">
        <v>1</v>
      </c>
      <c r="CZF15">
        <v>1</v>
      </c>
      <c r="CZM15">
        <v>1</v>
      </c>
      <c r="CZO15">
        <v>1</v>
      </c>
      <c r="CZR15">
        <v>1</v>
      </c>
      <c r="DAG15">
        <v>1</v>
      </c>
      <c r="DAJ15">
        <v>1</v>
      </c>
      <c r="DAN15">
        <v>1</v>
      </c>
      <c r="DAQ15">
        <v>1</v>
      </c>
      <c r="DAU15">
        <v>1</v>
      </c>
      <c r="DAY15">
        <v>1</v>
      </c>
      <c r="DBC15">
        <v>1</v>
      </c>
      <c r="DBI15">
        <v>1</v>
      </c>
      <c r="DBS15">
        <v>1</v>
      </c>
      <c r="DBW15">
        <v>1</v>
      </c>
      <c r="DBZ15">
        <v>1</v>
      </c>
      <c r="DCE15">
        <v>1</v>
      </c>
      <c r="DCF15">
        <v>1</v>
      </c>
      <c r="DCG15">
        <v>1</v>
      </c>
      <c r="DCM15">
        <v>1</v>
      </c>
      <c r="DCO15">
        <v>1</v>
      </c>
      <c r="DDF15">
        <v>1</v>
      </c>
      <c r="DDQ15">
        <v>1</v>
      </c>
      <c r="DDV15">
        <v>1</v>
      </c>
      <c r="DDY15">
        <v>1</v>
      </c>
      <c r="DEC15">
        <v>1</v>
      </c>
      <c r="DEI15">
        <v>1</v>
      </c>
      <c r="DEN15">
        <v>1</v>
      </c>
      <c r="DEP15">
        <v>1</v>
      </c>
      <c r="DEW15">
        <v>1</v>
      </c>
      <c r="DEY15">
        <v>1</v>
      </c>
      <c r="DFD15">
        <v>1</v>
      </c>
      <c r="DFY15">
        <v>1</v>
      </c>
      <c r="DGF15">
        <v>1</v>
      </c>
      <c r="DGG15">
        <v>1</v>
      </c>
      <c r="DGS15">
        <v>1</v>
      </c>
      <c r="DGV15">
        <v>1</v>
      </c>
      <c r="DHA15">
        <v>1</v>
      </c>
      <c r="DHH15">
        <v>1</v>
      </c>
      <c r="DHR15">
        <v>1</v>
      </c>
      <c r="DHY15">
        <v>1</v>
      </c>
      <c r="DIA15">
        <v>1</v>
      </c>
      <c r="DIG15">
        <v>1</v>
      </c>
      <c r="DJF15">
        <v>1</v>
      </c>
      <c r="DJH15">
        <v>1</v>
      </c>
      <c r="DJO15">
        <v>1</v>
      </c>
      <c r="DJZ15">
        <v>1</v>
      </c>
      <c r="DKO15">
        <v>1</v>
      </c>
      <c r="DKQ15">
        <v>1</v>
      </c>
      <c r="DLA15">
        <v>1</v>
      </c>
      <c r="DLL15">
        <v>1</v>
      </c>
      <c r="DLM15">
        <v>1</v>
      </c>
      <c r="DMR15">
        <v>1</v>
      </c>
      <c r="DMU15">
        <v>1</v>
      </c>
      <c r="DMW15">
        <v>1</v>
      </c>
      <c r="DMZ15">
        <v>1</v>
      </c>
      <c r="DNJ15">
        <v>1</v>
      </c>
      <c r="DNL15">
        <v>1</v>
      </c>
      <c r="DOB15">
        <v>1</v>
      </c>
      <c r="DOO15">
        <v>1</v>
      </c>
      <c r="DOQ15">
        <v>1</v>
      </c>
      <c r="DPC15">
        <v>1</v>
      </c>
      <c r="DPM15">
        <v>1</v>
      </c>
      <c r="DPX15">
        <v>1</v>
      </c>
      <c r="DQK15">
        <v>1</v>
      </c>
      <c r="DQM15">
        <v>1</v>
      </c>
      <c r="DQP15">
        <v>1</v>
      </c>
      <c r="DQR15">
        <v>1</v>
      </c>
      <c r="DRB15">
        <v>1</v>
      </c>
      <c r="DRF15">
        <v>1</v>
      </c>
      <c r="DRJ15">
        <v>1</v>
      </c>
      <c r="DRS15">
        <v>1</v>
      </c>
      <c r="DRV15">
        <v>1</v>
      </c>
      <c r="DRX15">
        <v>1</v>
      </c>
      <c r="DSD15">
        <v>1</v>
      </c>
      <c r="DSI15">
        <v>1</v>
      </c>
      <c r="DSK15">
        <v>1</v>
      </c>
      <c r="DSN15">
        <v>1</v>
      </c>
      <c r="DSV15">
        <v>1</v>
      </c>
      <c r="DSX15">
        <v>1</v>
      </c>
      <c r="DTQ15">
        <v>1</v>
      </c>
      <c r="DUD15">
        <v>1</v>
      </c>
      <c r="DUN15">
        <v>1</v>
      </c>
      <c r="DVF15">
        <v>1</v>
      </c>
      <c r="DVL15">
        <v>1</v>
      </c>
      <c r="DVZ15">
        <v>1</v>
      </c>
      <c r="DWF15">
        <v>1</v>
      </c>
      <c r="DWG15">
        <v>1</v>
      </c>
      <c r="DWH15">
        <v>1</v>
      </c>
      <c r="DXY15">
        <v>1</v>
      </c>
      <c r="DYC15">
        <v>1</v>
      </c>
      <c r="DYE15">
        <v>1</v>
      </c>
      <c r="DYI15">
        <v>1</v>
      </c>
      <c r="DYQ15">
        <v>1</v>
      </c>
      <c r="DYR15">
        <v>1</v>
      </c>
      <c r="DZM15">
        <v>1</v>
      </c>
      <c r="DZW15">
        <v>1</v>
      </c>
      <c r="EAN15">
        <v>1</v>
      </c>
      <c r="EBB15">
        <v>1</v>
      </c>
      <c r="EDE15">
        <v>1</v>
      </c>
      <c r="EDG15">
        <f>SUMPRODUCT(Constraint_9,Decision_variables)</f>
        <v>1</v>
      </c>
      <c r="EDH15" t="s">
        <v>5264</v>
      </c>
      <c r="EDI15">
        <v>1</v>
      </c>
    </row>
    <row r="16" spans="1:3493" x14ac:dyDescent="0.3">
      <c r="B16" t="s">
        <v>3501</v>
      </c>
      <c r="G16">
        <v>1</v>
      </c>
      <c r="CI16">
        <v>1</v>
      </c>
      <c r="DM16">
        <v>1</v>
      </c>
      <c r="ES16">
        <v>1</v>
      </c>
      <c r="EZ16">
        <v>1</v>
      </c>
      <c r="FC16">
        <v>1</v>
      </c>
      <c r="GM16">
        <v>1</v>
      </c>
      <c r="GW16">
        <v>1</v>
      </c>
      <c r="HA16">
        <v>1</v>
      </c>
      <c r="HD16">
        <v>1</v>
      </c>
      <c r="HO16">
        <v>1</v>
      </c>
      <c r="IJ16">
        <v>1</v>
      </c>
      <c r="IL16">
        <v>1</v>
      </c>
      <c r="JJ16">
        <v>1</v>
      </c>
      <c r="JV16">
        <v>1</v>
      </c>
      <c r="KQ16">
        <v>1</v>
      </c>
      <c r="NM16">
        <v>1</v>
      </c>
      <c r="OD16">
        <v>1</v>
      </c>
      <c r="PP16">
        <v>1</v>
      </c>
      <c r="QX16">
        <v>1</v>
      </c>
      <c r="QZ16">
        <v>1</v>
      </c>
      <c r="RG16">
        <v>1</v>
      </c>
      <c r="SU16">
        <v>1</v>
      </c>
      <c r="TP16">
        <v>1</v>
      </c>
      <c r="TT16">
        <v>1</v>
      </c>
      <c r="VG16">
        <v>1</v>
      </c>
      <c r="VI16">
        <v>1</v>
      </c>
      <c r="VN16">
        <v>1</v>
      </c>
      <c r="XA16">
        <v>1</v>
      </c>
      <c r="XR16">
        <v>1</v>
      </c>
      <c r="XW16">
        <v>1</v>
      </c>
      <c r="YA16">
        <v>1</v>
      </c>
      <c r="YJ16">
        <v>1</v>
      </c>
      <c r="YT16">
        <v>1</v>
      </c>
      <c r="ZA16">
        <v>1</v>
      </c>
      <c r="ZS16">
        <v>1</v>
      </c>
      <c r="AAA16">
        <v>1</v>
      </c>
      <c r="AAK16">
        <v>1</v>
      </c>
      <c r="AAR16">
        <v>1</v>
      </c>
      <c r="AAS16">
        <v>1</v>
      </c>
      <c r="AAT16">
        <v>1</v>
      </c>
      <c r="AAW16">
        <v>1</v>
      </c>
      <c r="AAY16">
        <v>1</v>
      </c>
      <c r="ABJ16">
        <v>1</v>
      </c>
      <c r="ABO16">
        <v>1</v>
      </c>
      <c r="ABY16">
        <v>1</v>
      </c>
      <c r="ACD16">
        <v>1</v>
      </c>
      <c r="ACM16">
        <v>1</v>
      </c>
      <c r="ACN16">
        <v>1</v>
      </c>
      <c r="ADE16">
        <v>1</v>
      </c>
      <c r="ADS16">
        <v>1</v>
      </c>
      <c r="ADV16">
        <v>1</v>
      </c>
      <c r="ADW16">
        <v>1</v>
      </c>
      <c r="AEB16">
        <v>1</v>
      </c>
      <c r="AED16">
        <v>1</v>
      </c>
      <c r="AEH16">
        <v>1</v>
      </c>
      <c r="AEJ16">
        <v>1</v>
      </c>
      <c r="AEL16">
        <v>1</v>
      </c>
      <c r="AFI16">
        <v>1</v>
      </c>
      <c r="AFU16">
        <v>1</v>
      </c>
      <c r="AFV16">
        <v>1</v>
      </c>
      <c r="AFX16">
        <v>1</v>
      </c>
      <c r="AGE16">
        <v>1</v>
      </c>
      <c r="AGK16">
        <v>1</v>
      </c>
      <c r="AGL16">
        <v>1</v>
      </c>
      <c r="AHA16">
        <v>1</v>
      </c>
      <c r="AHF16">
        <v>1</v>
      </c>
      <c r="AIB16">
        <v>1</v>
      </c>
      <c r="AIC16">
        <v>1</v>
      </c>
      <c r="AIE16">
        <v>1</v>
      </c>
      <c r="AII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JC16">
        <v>1</v>
      </c>
      <c r="AJF16">
        <v>1</v>
      </c>
      <c r="AJJ16">
        <v>1</v>
      </c>
      <c r="AJN16">
        <v>1</v>
      </c>
      <c r="AJQ16">
        <v>1</v>
      </c>
      <c r="AJZ16">
        <v>1</v>
      </c>
      <c r="AKA16">
        <v>1</v>
      </c>
      <c r="AKC16">
        <v>1</v>
      </c>
      <c r="AKG16">
        <v>1</v>
      </c>
      <c r="AKK16">
        <v>1</v>
      </c>
      <c r="AKM16">
        <v>1</v>
      </c>
      <c r="AKQ16">
        <v>1</v>
      </c>
      <c r="AKV16">
        <v>1</v>
      </c>
      <c r="AKX16">
        <v>1</v>
      </c>
      <c r="ALA16">
        <v>1</v>
      </c>
      <c r="ALB16">
        <v>1</v>
      </c>
      <c r="ALG16">
        <v>1</v>
      </c>
      <c r="ALN16">
        <v>1</v>
      </c>
      <c r="ALO16">
        <v>1</v>
      </c>
      <c r="ALQ16">
        <v>1</v>
      </c>
      <c r="ALS16">
        <v>1</v>
      </c>
      <c r="ALW16">
        <v>1</v>
      </c>
      <c r="AMA16">
        <v>1</v>
      </c>
      <c r="AMF16">
        <v>1</v>
      </c>
      <c r="AMJ16">
        <v>1</v>
      </c>
      <c r="AMN16">
        <v>1</v>
      </c>
      <c r="AMR16">
        <v>1</v>
      </c>
      <c r="AMW16">
        <v>1</v>
      </c>
      <c r="ANC16">
        <v>1</v>
      </c>
      <c r="ANI16">
        <v>1</v>
      </c>
      <c r="ANL16">
        <v>1</v>
      </c>
      <c r="ANN16">
        <v>1</v>
      </c>
      <c r="ANP16">
        <v>1</v>
      </c>
      <c r="AOC16">
        <v>1</v>
      </c>
      <c r="AOF16">
        <v>1</v>
      </c>
      <c r="AOH16">
        <v>1</v>
      </c>
      <c r="AOL16">
        <v>1</v>
      </c>
      <c r="AOR16">
        <v>1</v>
      </c>
      <c r="AOS16">
        <v>1</v>
      </c>
      <c r="AOX16">
        <v>1</v>
      </c>
      <c r="API16">
        <v>1</v>
      </c>
      <c r="APP16">
        <v>1</v>
      </c>
      <c r="APU16">
        <v>1</v>
      </c>
      <c r="APV16">
        <v>1</v>
      </c>
      <c r="APW16">
        <v>1</v>
      </c>
      <c r="AQH16">
        <v>1</v>
      </c>
      <c r="AQP16">
        <v>1</v>
      </c>
      <c r="AQR16">
        <v>1</v>
      </c>
      <c r="ARD16">
        <v>1</v>
      </c>
      <c r="ARJ16">
        <v>1</v>
      </c>
      <c r="ARM16">
        <v>1</v>
      </c>
      <c r="ARO16">
        <v>1</v>
      </c>
      <c r="ARS16">
        <v>1</v>
      </c>
      <c r="ART16">
        <v>1</v>
      </c>
      <c r="ARV16">
        <v>1</v>
      </c>
      <c r="ASF16">
        <v>1</v>
      </c>
      <c r="ASH16">
        <v>1</v>
      </c>
      <c r="ASL16">
        <v>1</v>
      </c>
      <c r="ASQ16">
        <v>1</v>
      </c>
      <c r="ASR16">
        <v>1</v>
      </c>
      <c r="AST16">
        <v>1</v>
      </c>
      <c r="ASW16">
        <v>1</v>
      </c>
      <c r="ATC16">
        <v>1</v>
      </c>
      <c r="ATG16">
        <v>1</v>
      </c>
      <c r="ATK16">
        <v>1</v>
      </c>
      <c r="ATP16">
        <v>1</v>
      </c>
      <c r="ATV16">
        <v>1</v>
      </c>
      <c r="ATW16">
        <v>1</v>
      </c>
      <c r="ATZ16">
        <v>1</v>
      </c>
      <c r="AUB16">
        <v>1</v>
      </c>
      <c r="AUD16">
        <v>1</v>
      </c>
      <c r="AUF16">
        <v>1</v>
      </c>
      <c r="AUG16">
        <v>1</v>
      </c>
      <c r="AUL16">
        <v>1</v>
      </c>
      <c r="AUO16">
        <v>1</v>
      </c>
      <c r="AVC16">
        <v>1</v>
      </c>
      <c r="AVG16">
        <v>1</v>
      </c>
      <c r="AVJ16">
        <v>1</v>
      </c>
      <c r="AVK16">
        <v>1</v>
      </c>
      <c r="AVL16">
        <v>1</v>
      </c>
      <c r="AVM16">
        <v>1</v>
      </c>
      <c r="AVN16">
        <v>1</v>
      </c>
      <c r="AVU16">
        <v>1</v>
      </c>
      <c r="AVZ16">
        <v>1</v>
      </c>
      <c r="AWB16">
        <v>1</v>
      </c>
      <c r="AWD16">
        <v>1</v>
      </c>
      <c r="AWE16">
        <v>1</v>
      </c>
      <c r="AWH16">
        <v>1</v>
      </c>
      <c r="AWI16">
        <v>1</v>
      </c>
      <c r="AWJ16">
        <v>1</v>
      </c>
      <c r="AWL16">
        <v>1</v>
      </c>
      <c r="AWM16">
        <v>1</v>
      </c>
      <c r="AWW16">
        <v>1</v>
      </c>
      <c r="AXC16">
        <v>1</v>
      </c>
      <c r="AXL16">
        <v>1</v>
      </c>
      <c r="AXM16">
        <v>1</v>
      </c>
      <c r="AXN16">
        <v>1</v>
      </c>
      <c r="AXO16">
        <v>1</v>
      </c>
      <c r="AXP16">
        <v>1</v>
      </c>
      <c r="AXQ16">
        <v>1</v>
      </c>
      <c r="AXS16">
        <v>1</v>
      </c>
      <c r="AXT16">
        <v>1</v>
      </c>
      <c r="AYA16">
        <v>1</v>
      </c>
      <c r="AYC16">
        <v>1</v>
      </c>
      <c r="AYF16">
        <v>1</v>
      </c>
      <c r="AYJ16">
        <v>1</v>
      </c>
      <c r="AYK16">
        <v>1</v>
      </c>
      <c r="AYP16">
        <v>1</v>
      </c>
      <c r="AYW16">
        <v>1</v>
      </c>
      <c r="AYX16">
        <v>1</v>
      </c>
      <c r="AZA16">
        <v>1</v>
      </c>
      <c r="AZQ16">
        <v>1</v>
      </c>
      <c r="AZR16">
        <v>1</v>
      </c>
      <c r="AZS16">
        <v>1</v>
      </c>
      <c r="AZU16">
        <v>1</v>
      </c>
      <c r="AZY16">
        <v>1</v>
      </c>
      <c r="BAA16">
        <v>1</v>
      </c>
      <c r="BAC16">
        <v>1</v>
      </c>
      <c r="BAD16">
        <v>1</v>
      </c>
      <c r="BAE16">
        <v>1</v>
      </c>
      <c r="BAG16">
        <v>1</v>
      </c>
      <c r="BAH16">
        <v>1</v>
      </c>
      <c r="BAJ16">
        <v>1</v>
      </c>
      <c r="BAL16">
        <v>1</v>
      </c>
      <c r="BAS16">
        <v>1</v>
      </c>
      <c r="BAT16">
        <v>1</v>
      </c>
      <c r="BAU16">
        <v>1</v>
      </c>
      <c r="BAY16">
        <v>1</v>
      </c>
      <c r="BBB16">
        <v>1</v>
      </c>
      <c r="BBD16">
        <v>1</v>
      </c>
      <c r="BBF16">
        <v>1</v>
      </c>
      <c r="BBI16">
        <v>1</v>
      </c>
      <c r="BBJ16">
        <v>1</v>
      </c>
      <c r="BBO16">
        <v>1</v>
      </c>
      <c r="BBP16">
        <v>1</v>
      </c>
      <c r="BBS16">
        <v>1</v>
      </c>
      <c r="BBV16">
        <v>1</v>
      </c>
      <c r="BBW16">
        <v>1</v>
      </c>
      <c r="BBY16">
        <v>1</v>
      </c>
      <c r="BCD16">
        <v>1</v>
      </c>
      <c r="BCE16">
        <v>1</v>
      </c>
      <c r="BCG16">
        <v>1</v>
      </c>
      <c r="BCH16">
        <v>1</v>
      </c>
      <c r="BCJ16">
        <v>1</v>
      </c>
      <c r="BCK16">
        <v>1</v>
      </c>
      <c r="BCL16">
        <v>1</v>
      </c>
      <c r="BCM16">
        <v>1</v>
      </c>
      <c r="BCQ16">
        <v>1</v>
      </c>
      <c r="BCR16">
        <v>1</v>
      </c>
      <c r="BCU16">
        <v>1</v>
      </c>
      <c r="BDA16">
        <v>1</v>
      </c>
      <c r="BDD16">
        <v>1</v>
      </c>
      <c r="BDF16">
        <v>1</v>
      </c>
      <c r="BDH16">
        <v>1</v>
      </c>
      <c r="BDI16">
        <v>1</v>
      </c>
      <c r="BDK16">
        <v>1</v>
      </c>
      <c r="BDO16">
        <v>1</v>
      </c>
      <c r="BDQ16">
        <v>1</v>
      </c>
      <c r="BDT16">
        <v>1</v>
      </c>
      <c r="BDU16">
        <v>1</v>
      </c>
      <c r="BDY16">
        <v>1</v>
      </c>
      <c r="BEE16">
        <v>1</v>
      </c>
      <c r="BEJ16">
        <v>1</v>
      </c>
      <c r="BEK16">
        <v>1</v>
      </c>
      <c r="BEL16">
        <v>1</v>
      </c>
      <c r="BEN16">
        <v>1</v>
      </c>
      <c r="BEQ16">
        <v>1</v>
      </c>
      <c r="BET16">
        <v>1</v>
      </c>
      <c r="BEU16">
        <v>1</v>
      </c>
      <c r="BEV16">
        <v>1</v>
      </c>
      <c r="BEW16">
        <v>1</v>
      </c>
      <c r="BEX16">
        <v>1</v>
      </c>
      <c r="BFD16">
        <v>1</v>
      </c>
      <c r="BFF16">
        <v>1</v>
      </c>
      <c r="BFH16">
        <v>1</v>
      </c>
      <c r="BFI16">
        <v>1</v>
      </c>
      <c r="BFJ16">
        <v>1</v>
      </c>
      <c r="BFK16">
        <v>1</v>
      </c>
      <c r="BFL16">
        <v>1</v>
      </c>
      <c r="BFN16">
        <v>1</v>
      </c>
      <c r="BFO16">
        <v>1</v>
      </c>
      <c r="BFP16">
        <v>1</v>
      </c>
      <c r="BFS16">
        <v>1</v>
      </c>
      <c r="BFU16">
        <v>1</v>
      </c>
      <c r="BFV16">
        <v>1</v>
      </c>
      <c r="BFW16">
        <v>1</v>
      </c>
      <c r="BFY16">
        <v>1</v>
      </c>
      <c r="BGC16">
        <v>1</v>
      </c>
      <c r="BGD16">
        <v>1</v>
      </c>
      <c r="BGE16">
        <v>1</v>
      </c>
      <c r="BGF16">
        <v>1</v>
      </c>
      <c r="BGI16">
        <v>1</v>
      </c>
      <c r="BGK16">
        <v>1</v>
      </c>
      <c r="BGL16">
        <v>1</v>
      </c>
      <c r="BGN16">
        <v>1</v>
      </c>
      <c r="BGP16">
        <v>1</v>
      </c>
      <c r="BGQ16">
        <v>1</v>
      </c>
      <c r="BGR16">
        <v>1</v>
      </c>
      <c r="BGS16">
        <v>1</v>
      </c>
      <c r="BGU16">
        <v>1</v>
      </c>
      <c r="BGY16">
        <v>1</v>
      </c>
      <c r="BGZ16">
        <v>1</v>
      </c>
      <c r="BHB16">
        <v>1</v>
      </c>
      <c r="BHC16">
        <v>1</v>
      </c>
      <c r="BHE16">
        <v>1</v>
      </c>
      <c r="BHG16">
        <v>1</v>
      </c>
      <c r="BHH16">
        <v>1</v>
      </c>
      <c r="BHJ16">
        <v>1</v>
      </c>
      <c r="BHK16">
        <v>1</v>
      </c>
      <c r="BHT16">
        <v>1</v>
      </c>
      <c r="BHY16">
        <v>1</v>
      </c>
      <c r="BIE16">
        <v>1</v>
      </c>
      <c r="BIG16">
        <v>1</v>
      </c>
      <c r="BIH16">
        <v>1</v>
      </c>
      <c r="BIJ16">
        <v>1</v>
      </c>
      <c r="BIK16">
        <v>1</v>
      </c>
      <c r="BIL16">
        <v>1</v>
      </c>
      <c r="BIO16">
        <v>1</v>
      </c>
      <c r="BIR16">
        <v>1</v>
      </c>
      <c r="BIS16">
        <v>1</v>
      </c>
      <c r="BIU16">
        <v>1</v>
      </c>
      <c r="BIX16">
        <v>1</v>
      </c>
      <c r="BJA16">
        <v>1</v>
      </c>
      <c r="BJB16">
        <v>1</v>
      </c>
      <c r="BJE16">
        <v>1</v>
      </c>
      <c r="BJF16">
        <v>1</v>
      </c>
      <c r="BJG16">
        <v>1</v>
      </c>
      <c r="BJJ16">
        <v>1</v>
      </c>
      <c r="BJK16">
        <v>1</v>
      </c>
      <c r="BJL16">
        <v>1</v>
      </c>
      <c r="BJM16">
        <v>1</v>
      </c>
      <c r="BJN16">
        <v>1</v>
      </c>
      <c r="BJQ16">
        <v>1</v>
      </c>
      <c r="BJR16">
        <v>1</v>
      </c>
      <c r="BJS16">
        <v>1</v>
      </c>
      <c r="BJW16">
        <v>1</v>
      </c>
      <c r="BJZ16">
        <v>1</v>
      </c>
      <c r="BKA16">
        <v>1</v>
      </c>
      <c r="BKD16">
        <v>1</v>
      </c>
      <c r="BKG16">
        <v>1</v>
      </c>
      <c r="BKH16">
        <v>1</v>
      </c>
      <c r="BKL16">
        <v>1</v>
      </c>
      <c r="BKM16">
        <v>1</v>
      </c>
      <c r="BKO16">
        <v>1</v>
      </c>
      <c r="BKP16">
        <v>1</v>
      </c>
      <c r="BKR16">
        <v>1</v>
      </c>
      <c r="BKT16">
        <v>1</v>
      </c>
      <c r="BKX16">
        <v>1</v>
      </c>
      <c r="BKY16">
        <v>1</v>
      </c>
      <c r="BLA16">
        <v>1</v>
      </c>
      <c r="BLB16">
        <v>1</v>
      </c>
      <c r="BLC16">
        <v>1</v>
      </c>
      <c r="BLF16">
        <v>1</v>
      </c>
      <c r="BLG16">
        <v>1</v>
      </c>
      <c r="BLK16">
        <v>1</v>
      </c>
      <c r="BLL16">
        <v>1</v>
      </c>
      <c r="BLN16">
        <v>1</v>
      </c>
      <c r="BLO16">
        <v>1</v>
      </c>
      <c r="BLU16">
        <v>1</v>
      </c>
      <c r="BLV16">
        <v>1</v>
      </c>
      <c r="BLW16">
        <v>1</v>
      </c>
      <c r="BLX16">
        <v>1</v>
      </c>
      <c r="BLY16">
        <v>1</v>
      </c>
      <c r="BMA16">
        <v>1</v>
      </c>
      <c r="BMC16">
        <v>1</v>
      </c>
      <c r="BMD16">
        <v>1</v>
      </c>
      <c r="BMF16">
        <v>1</v>
      </c>
      <c r="BMI16">
        <v>1</v>
      </c>
      <c r="BMK16">
        <v>1</v>
      </c>
      <c r="BML16">
        <v>1</v>
      </c>
      <c r="BMM16">
        <v>1</v>
      </c>
      <c r="BMN16">
        <v>1</v>
      </c>
      <c r="BMP16">
        <v>1</v>
      </c>
      <c r="BMQ16">
        <v>1</v>
      </c>
      <c r="BMS16">
        <v>1</v>
      </c>
      <c r="BMU16">
        <v>1</v>
      </c>
      <c r="BMV16">
        <v>1</v>
      </c>
      <c r="BMW16">
        <v>1</v>
      </c>
      <c r="BMX16">
        <v>1</v>
      </c>
      <c r="BMZ16">
        <v>1</v>
      </c>
      <c r="BNB16">
        <v>1</v>
      </c>
      <c r="BNG16">
        <v>1</v>
      </c>
      <c r="BQI16">
        <v>1</v>
      </c>
      <c r="BRM16">
        <v>1</v>
      </c>
      <c r="BSS16">
        <v>1</v>
      </c>
      <c r="BSZ16">
        <v>1</v>
      </c>
      <c r="BTC16">
        <v>1</v>
      </c>
      <c r="BUM16">
        <v>1</v>
      </c>
      <c r="BUW16">
        <v>1</v>
      </c>
      <c r="BVA16">
        <v>1</v>
      </c>
      <c r="BVD16">
        <v>1</v>
      </c>
      <c r="BVO16">
        <v>1</v>
      </c>
      <c r="BWJ16">
        <v>1</v>
      </c>
      <c r="BWL16">
        <v>1</v>
      </c>
      <c r="BXJ16">
        <v>1</v>
      </c>
      <c r="BXV16">
        <v>1</v>
      </c>
      <c r="BYQ16">
        <v>1</v>
      </c>
      <c r="CBM16">
        <v>1</v>
      </c>
      <c r="CCD16">
        <v>1</v>
      </c>
      <c r="CDP16">
        <v>1</v>
      </c>
      <c r="CEX16">
        <v>1</v>
      </c>
      <c r="CEZ16">
        <v>1</v>
      </c>
      <c r="CFG16">
        <v>1</v>
      </c>
      <c r="CGU16">
        <v>1</v>
      </c>
      <c r="CHP16">
        <v>1</v>
      </c>
      <c r="CHT16">
        <v>1</v>
      </c>
      <c r="CJG16">
        <v>1</v>
      </c>
      <c r="CJI16">
        <v>1</v>
      </c>
      <c r="CJN16">
        <v>1</v>
      </c>
      <c r="CLA16">
        <v>1</v>
      </c>
      <c r="CLR16">
        <v>1</v>
      </c>
      <c r="CLW16">
        <v>1</v>
      </c>
      <c r="CMA16">
        <v>1</v>
      </c>
      <c r="CMJ16">
        <v>1</v>
      </c>
      <c r="CMT16">
        <v>1</v>
      </c>
      <c r="CNA16">
        <v>1</v>
      </c>
      <c r="CNS16">
        <v>1</v>
      </c>
      <c r="COA16">
        <v>1</v>
      </c>
      <c r="COK16">
        <v>1</v>
      </c>
      <c r="COR16">
        <v>1</v>
      </c>
      <c r="COS16">
        <v>1</v>
      </c>
      <c r="COT16">
        <v>1</v>
      </c>
      <c r="COW16">
        <v>1</v>
      </c>
      <c r="COY16">
        <v>1</v>
      </c>
      <c r="CPJ16">
        <v>1</v>
      </c>
      <c r="CPO16">
        <v>1</v>
      </c>
      <c r="CPY16">
        <v>1</v>
      </c>
      <c r="CQD16">
        <v>1</v>
      </c>
      <c r="CQM16">
        <v>1</v>
      </c>
      <c r="CQN16">
        <v>1</v>
      </c>
      <c r="CRE16">
        <v>1</v>
      </c>
      <c r="CRS16">
        <v>1</v>
      </c>
      <c r="CRV16">
        <v>1</v>
      </c>
      <c r="CRW16">
        <v>1</v>
      </c>
      <c r="CSB16">
        <v>1</v>
      </c>
      <c r="CSD16">
        <v>1</v>
      </c>
      <c r="CSH16">
        <v>1</v>
      </c>
      <c r="CSJ16">
        <v>1</v>
      </c>
      <c r="CSL16">
        <v>1</v>
      </c>
      <c r="CTI16">
        <v>1</v>
      </c>
      <c r="CTU16">
        <v>1</v>
      </c>
      <c r="CTV16">
        <v>1</v>
      </c>
      <c r="CTX16">
        <v>1</v>
      </c>
      <c r="CUE16">
        <v>1</v>
      </c>
      <c r="CUK16">
        <v>1</v>
      </c>
      <c r="CUL16">
        <v>1</v>
      </c>
      <c r="CVA16">
        <v>1</v>
      </c>
      <c r="CVF16">
        <v>1</v>
      </c>
      <c r="CWB16">
        <v>1</v>
      </c>
      <c r="CWC16">
        <v>1</v>
      </c>
      <c r="CWE16">
        <v>1</v>
      </c>
      <c r="CWI16">
        <v>1</v>
      </c>
      <c r="CWP16">
        <v>1</v>
      </c>
      <c r="CWQ16">
        <v>1</v>
      </c>
      <c r="CWR16">
        <v>1</v>
      </c>
      <c r="CWS16">
        <v>1</v>
      </c>
      <c r="CWT16">
        <v>1</v>
      </c>
      <c r="CWU16">
        <v>1</v>
      </c>
      <c r="CXC16">
        <v>1</v>
      </c>
      <c r="CXF16">
        <v>1</v>
      </c>
      <c r="CXJ16">
        <v>1</v>
      </c>
      <c r="CXN16">
        <v>1</v>
      </c>
      <c r="CXQ16">
        <v>1</v>
      </c>
      <c r="CXZ16">
        <v>1</v>
      </c>
      <c r="CYA16">
        <v>1</v>
      </c>
      <c r="CYC16">
        <v>1</v>
      </c>
      <c r="CYG16">
        <v>1</v>
      </c>
      <c r="CYK16">
        <v>1</v>
      </c>
      <c r="CYM16">
        <v>1</v>
      </c>
      <c r="CYQ16">
        <v>1</v>
      </c>
      <c r="CYV16">
        <v>1</v>
      </c>
      <c r="CYX16">
        <v>1</v>
      </c>
      <c r="CZA16">
        <v>1</v>
      </c>
      <c r="CZB16">
        <v>1</v>
      </c>
      <c r="CZG16">
        <v>1</v>
      </c>
      <c r="CZN16">
        <v>1</v>
      </c>
      <c r="CZO16">
        <v>1</v>
      </c>
      <c r="CZQ16">
        <v>1</v>
      </c>
      <c r="CZS16">
        <v>1</v>
      </c>
      <c r="CZW16">
        <v>1</v>
      </c>
      <c r="DAA16">
        <v>1</v>
      </c>
      <c r="DAF16">
        <v>1</v>
      </c>
      <c r="DAJ16">
        <v>1</v>
      </c>
      <c r="DAN16">
        <v>1</v>
      </c>
      <c r="DAR16">
        <v>1</v>
      </c>
      <c r="DAW16">
        <v>1</v>
      </c>
      <c r="DBC16">
        <v>1</v>
      </c>
      <c r="DBI16">
        <v>1</v>
      </c>
      <c r="DBL16">
        <v>1</v>
      </c>
      <c r="DBN16">
        <v>1</v>
      </c>
      <c r="DBP16">
        <v>1</v>
      </c>
      <c r="DCC16">
        <v>1</v>
      </c>
      <c r="DCF16">
        <v>1</v>
      </c>
      <c r="DCH16">
        <v>1</v>
      </c>
      <c r="DCL16">
        <v>1</v>
      </c>
      <c r="DCR16">
        <v>1</v>
      </c>
      <c r="DCS16">
        <v>1</v>
      </c>
      <c r="DCX16">
        <v>1</v>
      </c>
      <c r="DDI16">
        <v>1</v>
      </c>
      <c r="DDP16">
        <v>1</v>
      </c>
      <c r="DDU16">
        <v>1</v>
      </c>
      <c r="DDV16">
        <v>1</v>
      </c>
      <c r="DDW16">
        <v>1</v>
      </c>
      <c r="DEH16">
        <v>1</v>
      </c>
      <c r="DEP16">
        <v>1</v>
      </c>
      <c r="DER16">
        <v>1</v>
      </c>
      <c r="DFD16">
        <v>1</v>
      </c>
      <c r="DFJ16">
        <v>1</v>
      </c>
      <c r="DFM16">
        <v>1</v>
      </c>
      <c r="DFO16">
        <v>1</v>
      </c>
      <c r="DFS16">
        <v>1</v>
      </c>
      <c r="DFT16">
        <v>1</v>
      </c>
      <c r="DFV16">
        <v>1</v>
      </c>
      <c r="DGF16">
        <v>1</v>
      </c>
      <c r="DGH16">
        <v>1</v>
      </c>
      <c r="DGL16">
        <v>1</v>
      </c>
      <c r="DGQ16">
        <v>1</v>
      </c>
      <c r="DGR16">
        <v>1</v>
      </c>
      <c r="DGT16">
        <v>1</v>
      </c>
      <c r="DGW16">
        <v>1</v>
      </c>
      <c r="DHC16">
        <v>1</v>
      </c>
      <c r="DHG16">
        <v>1</v>
      </c>
      <c r="DHK16">
        <v>1</v>
      </c>
      <c r="DHP16">
        <v>1</v>
      </c>
      <c r="DHV16">
        <v>1</v>
      </c>
      <c r="DHW16">
        <v>1</v>
      </c>
      <c r="DHZ16">
        <v>1</v>
      </c>
      <c r="DIB16">
        <v>1</v>
      </c>
      <c r="DID16">
        <v>1</v>
      </c>
      <c r="DIF16">
        <v>1</v>
      </c>
      <c r="DIG16">
        <v>1</v>
      </c>
      <c r="DIL16">
        <v>1</v>
      </c>
      <c r="DIO16">
        <v>1</v>
      </c>
      <c r="DJC16">
        <v>1</v>
      </c>
      <c r="DJG16">
        <v>1</v>
      </c>
      <c r="DJJ16">
        <v>1</v>
      </c>
      <c r="DJK16">
        <v>1</v>
      </c>
      <c r="DJL16">
        <v>1</v>
      </c>
      <c r="DJM16">
        <v>1</v>
      </c>
      <c r="DJN16">
        <v>1</v>
      </c>
      <c r="DJU16">
        <v>1</v>
      </c>
      <c r="DJZ16">
        <v>1</v>
      </c>
      <c r="DKB16">
        <v>1</v>
      </c>
      <c r="DKD16">
        <v>1</v>
      </c>
      <c r="DKE16">
        <v>1</v>
      </c>
      <c r="DKH16">
        <v>1</v>
      </c>
      <c r="DKI16">
        <v>1</v>
      </c>
      <c r="DKJ16">
        <v>1</v>
      </c>
      <c r="DKL16">
        <v>1</v>
      </c>
      <c r="DKM16">
        <v>1</v>
      </c>
      <c r="DKW16">
        <v>1</v>
      </c>
      <c r="DLC16">
        <v>1</v>
      </c>
      <c r="DLL16">
        <v>1</v>
      </c>
      <c r="DLM16">
        <v>1</v>
      </c>
      <c r="DLN16">
        <v>1</v>
      </c>
      <c r="DLO16">
        <v>1</v>
      </c>
      <c r="DLP16">
        <v>1</v>
      </c>
      <c r="DLQ16">
        <v>1</v>
      </c>
      <c r="DLS16">
        <v>1</v>
      </c>
      <c r="DLT16">
        <v>1</v>
      </c>
      <c r="DMA16">
        <v>1</v>
      </c>
      <c r="DMC16">
        <v>1</v>
      </c>
      <c r="DMF16">
        <v>1</v>
      </c>
      <c r="DMJ16">
        <v>1</v>
      </c>
      <c r="DMK16">
        <v>1</v>
      </c>
      <c r="DMP16">
        <v>1</v>
      </c>
      <c r="DMW16">
        <v>1</v>
      </c>
      <c r="DMX16">
        <v>1</v>
      </c>
      <c r="DNA16">
        <v>1</v>
      </c>
      <c r="DNQ16">
        <v>1</v>
      </c>
      <c r="DNR16">
        <v>1</v>
      </c>
      <c r="DNS16">
        <v>1</v>
      </c>
      <c r="DNU16">
        <v>1</v>
      </c>
      <c r="DNY16">
        <v>1</v>
      </c>
      <c r="DOA16">
        <v>1</v>
      </c>
      <c r="DOC16">
        <v>1</v>
      </c>
      <c r="DOD16">
        <v>1</v>
      </c>
      <c r="DOE16">
        <v>1</v>
      </c>
      <c r="DOG16">
        <v>1</v>
      </c>
      <c r="DOH16">
        <v>1</v>
      </c>
      <c r="DOJ16">
        <v>1</v>
      </c>
      <c r="DOL16">
        <v>1</v>
      </c>
      <c r="DOS16">
        <v>1</v>
      </c>
      <c r="DOT16">
        <v>1</v>
      </c>
      <c r="DOU16">
        <v>1</v>
      </c>
      <c r="DOY16">
        <v>1</v>
      </c>
      <c r="DPB16">
        <v>1</v>
      </c>
      <c r="DPD16">
        <v>1</v>
      </c>
      <c r="DPF16">
        <v>1</v>
      </c>
      <c r="DPI16">
        <v>1</v>
      </c>
      <c r="DPJ16">
        <v>1</v>
      </c>
      <c r="DPO16">
        <v>1</v>
      </c>
      <c r="DPP16">
        <v>1</v>
      </c>
      <c r="DPS16">
        <v>1</v>
      </c>
      <c r="DPV16">
        <v>1</v>
      </c>
      <c r="DPW16">
        <v>1</v>
      </c>
      <c r="DPY16">
        <v>1</v>
      </c>
      <c r="DQD16">
        <v>1</v>
      </c>
      <c r="DQE16">
        <v>1</v>
      </c>
      <c r="DQG16">
        <v>1</v>
      </c>
      <c r="DQH16">
        <v>1</v>
      </c>
      <c r="DQJ16">
        <v>1</v>
      </c>
      <c r="DQK16">
        <v>1</v>
      </c>
      <c r="DQL16">
        <v>1</v>
      </c>
      <c r="DQM16">
        <v>1</v>
      </c>
      <c r="DQQ16">
        <v>1</v>
      </c>
      <c r="DQR16">
        <v>1</v>
      </c>
      <c r="DQU16">
        <v>1</v>
      </c>
      <c r="DRA16">
        <v>1</v>
      </c>
      <c r="DRD16">
        <v>1</v>
      </c>
      <c r="DRF16">
        <v>1</v>
      </c>
      <c r="DRH16">
        <v>1</v>
      </c>
      <c r="DRI16">
        <v>1</v>
      </c>
      <c r="DRK16">
        <v>1</v>
      </c>
      <c r="DRO16">
        <v>1</v>
      </c>
      <c r="DRQ16">
        <v>1</v>
      </c>
      <c r="DRT16">
        <v>1</v>
      </c>
      <c r="DRU16">
        <v>1</v>
      </c>
      <c r="DRY16">
        <v>1</v>
      </c>
      <c r="DSE16">
        <v>1</v>
      </c>
      <c r="DSJ16">
        <v>1</v>
      </c>
      <c r="DSK16">
        <v>1</v>
      </c>
      <c r="DSL16">
        <v>1</v>
      </c>
      <c r="DSN16">
        <v>1</v>
      </c>
      <c r="DSQ16">
        <v>1</v>
      </c>
      <c r="DST16">
        <v>1</v>
      </c>
      <c r="DSU16">
        <v>1</v>
      </c>
      <c r="DSV16">
        <v>1</v>
      </c>
      <c r="DSW16">
        <v>1</v>
      </c>
      <c r="DSX16">
        <v>1</v>
      </c>
      <c r="DTD16">
        <v>1</v>
      </c>
      <c r="DTF16">
        <v>1</v>
      </c>
      <c r="DTH16">
        <v>1</v>
      </c>
      <c r="DTI16">
        <v>1</v>
      </c>
      <c r="DTJ16">
        <v>1</v>
      </c>
      <c r="DTK16">
        <v>1</v>
      </c>
      <c r="DTL16">
        <v>1</v>
      </c>
      <c r="DTN16">
        <v>1</v>
      </c>
      <c r="DTO16">
        <v>1</v>
      </c>
      <c r="DTP16">
        <v>1</v>
      </c>
      <c r="DTS16">
        <v>1</v>
      </c>
      <c r="DTU16">
        <v>1</v>
      </c>
      <c r="DTV16">
        <v>1</v>
      </c>
      <c r="DTW16">
        <v>1</v>
      </c>
      <c r="DTY16">
        <v>1</v>
      </c>
      <c r="DUC16">
        <v>1</v>
      </c>
      <c r="DUD16">
        <v>1</v>
      </c>
      <c r="DUE16">
        <v>1</v>
      </c>
      <c r="DUF16">
        <v>1</v>
      </c>
      <c r="DUI16">
        <v>1</v>
      </c>
      <c r="DUK16">
        <v>1</v>
      </c>
      <c r="DUL16">
        <v>1</v>
      </c>
      <c r="DUN16">
        <v>1</v>
      </c>
      <c r="DUP16">
        <v>1</v>
      </c>
      <c r="DUQ16">
        <v>1</v>
      </c>
      <c r="DUR16">
        <v>1</v>
      </c>
      <c r="DUS16">
        <v>1</v>
      </c>
      <c r="DUU16">
        <v>1</v>
      </c>
      <c r="DUY16">
        <v>1</v>
      </c>
      <c r="DUZ16">
        <v>1</v>
      </c>
      <c r="DVB16">
        <v>1</v>
      </c>
      <c r="DVC16">
        <v>1</v>
      </c>
      <c r="DVE16">
        <v>1</v>
      </c>
      <c r="DVG16">
        <v>1</v>
      </c>
      <c r="DVH16">
        <v>1</v>
      </c>
      <c r="DVJ16">
        <v>1</v>
      </c>
      <c r="DVK16">
        <v>1</v>
      </c>
      <c r="DVT16">
        <v>1</v>
      </c>
      <c r="DVY16">
        <v>1</v>
      </c>
      <c r="DWE16">
        <v>1</v>
      </c>
      <c r="DWG16">
        <v>1</v>
      </c>
      <c r="DWH16">
        <v>1</v>
      </c>
      <c r="DWJ16">
        <v>1</v>
      </c>
      <c r="DWK16">
        <v>1</v>
      </c>
      <c r="DWL16">
        <v>1</v>
      </c>
      <c r="DWO16">
        <v>1</v>
      </c>
      <c r="DWR16">
        <v>1</v>
      </c>
      <c r="DWS16">
        <v>1</v>
      </c>
      <c r="DWU16">
        <v>1</v>
      </c>
      <c r="DWX16">
        <v>1</v>
      </c>
      <c r="DXA16">
        <v>1</v>
      </c>
      <c r="DXB16">
        <v>1</v>
      </c>
      <c r="DXE16">
        <v>1</v>
      </c>
      <c r="DXF16">
        <v>1</v>
      </c>
      <c r="DXG16">
        <v>1</v>
      </c>
      <c r="DXJ16">
        <v>1</v>
      </c>
      <c r="DXK16">
        <v>1</v>
      </c>
      <c r="DXL16">
        <v>1</v>
      </c>
      <c r="DXM16">
        <v>1</v>
      </c>
      <c r="DXN16">
        <v>1</v>
      </c>
      <c r="DXQ16">
        <v>1</v>
      </c>
      <c r="DXR16">
        <v>1</v>
      </c>
      <c r="DXS16">
        <v>1</v>
      </c>
      <c r="DXW16">
        <v>1</v>
      </c>
      <c r="DXZ16">
        <v>1</v>
      </c>
      <c r="DYA16">
        <v>1</v>
      </c>
      <c r="DYD16">
        <v>1</v>
      </c>
      <c r="DYG16">
        <v>1</v>
      </c>
      <c r="DYH16">
        <v>1</v>
      </c>
      <c r="DYL16">
        <v>1</v>
      </c>
      <c r="DYM16">
        <v>1</v>
      </c>
      <c r="DYO16">
        <v>1</v>
      </c>
      <c r="DYP16">
        <v>1</v>
      </c>
      <c r="DYR16">
        <v>1</v>
      </c>
      <c r="DYT16">
        <v>1</v>
      </c>
      <c r="DYX16">
        <v>1</v>
      </c>
      <c r="DYY16">
        <v>1</v>
      </c>
      <c r="DZA16">
        <v>1</v>
      </c>
      <c r="DZB16">
        <v>1</v>
      </c>
      <c r="DZC16">
        <v>1</v>
      </c>
      <c r="DZF16">
        <v>1</v>
      </c>
      <c r="DZG16">
        <v>1</v>
      </c>
      <c r="DZK16">
        <v>1</v>
      </c>
      <c r="DZL16">
        <v>1</v>
      </c>
      <c r="DZN16">
        <v>1</v>
      </c>
      <c r="DZO16">
        <v>1</v>
      </c>
      <c r="DZU16">
        <v>1</v>
      </c>
      <c r="DZV16">
        <v>1</v>
      </c>
      <c r="DZW16">
        <v>1</v>
      </c>
      <c r="DZX16">
        <v>1</v>
      </c>
      <c r="DZY16">
        <v>1</v>
      </c>
      <c r="EAA16">
        <v>1</v>
      </c>
      <c r="EAC16">
        <v>1</v>
      </c>
      <c r="EAD16">
        <v>1</v>
      </c>
      <c r="EAF16">
        <v>1</v>
      </c>
      <c r="EAI16">
        <v>1</v>
      </c>
      <c r="EAK16">
        <v>1</v>
      </c>
      <c r="EAL16">
        <v>1</v>
      </c>
      <c r="EAM16">
        <v>1</v>
      </c>
      <c r="EAN16">
        <v>1</v>
      </c>
      <c r="EAP16">
        <v>1</v>
      </c>
      <c r="EAQ16">
        <v>1</v>
      </c>
      <c r="EAS16">
        <v>1</v>
      </c>
      <c r="EAU16">
        <v>1</v>
      </c>
      <c r="EAV16">
        <v>1</v>
      </c>
      <c r="EAW16">
        <v>1</v>
      </c>
      <c r="EAX16">
        <v>1</v>
      </c>
      <c r="EAZ16">
        <v>1</v>
      </c>
      <c r="EBB16">
        <v>1</v>
      </c>
      <c r="EBE16">
        <v>1</v>
      </c>
      <c r="EDG16">
        <f>SUMPRODUCT(Constraint_10,Decision_variables)</f>
        <v>1</v>
      </c>
      <c r="EDH16" t="s">
        <v>5264</v>
      </c>
      <c r="EDI16">
        <v>1</v>
      </c>
    </row>
    <row r="17" spans="2:3493" x14ac:dyDescent="0.3">
      <c r="B17" t="s">
        <v>3502</v>
      </c>
      <c r="J17">
        <v>1</v>
      </c>
      <c r="BP17">
        <v>1</v>
      </c>
      <c r="BQ17">
        <v>1</v>
      </c>
      <c r="BZ17">
        <v>1</v>
      </c>
      <c r="CB17">
        <v>1</v>
      </c>
      <c r="CV17">
        <v>1</v>
      </c>
      <c r="DC17">
        <v>1</v>
      </c>
      <c r="DQ17">
        <v>1</v>
      </c>
      <c r="DY17">
        <v>1</v>
      </c>
      <c r="DZ17">
        <v>1</v>
      </c>
      <c r="EB17">
        <v>1</v>
      </c>
      <c r="EU17">
        <v>1</v>
      </c>
      <c r="EX17">
        <v>1</v>
      </c>
      <c r="GD17">
        <v>1</v>
      </c>
      <c r="GT17">
        <v>1</v>
      </c>
      <c r="HJ17">
        <v>1</v>
      </c>
      <c r="HZ17">
        <v>1</v>
      </c>
      <c r="IX17">
        <v>1</v>
      </c>
      <c r="JD17">
        <v>1</v>
      </c>
      <c r="JF17">
        <v>1</v>
      </c>
      <c r="JK17">
        <v>1</v>
      </c>
      <c r="JR17">
        <v>1</v>
      </c>
      <c r="KE17">
        <v>1</v>
      </c>
      <c r="KF17">
        <v>1</v>
      </c>
      <c r="KJ17">
        <v>1</v>
      </c>
      <c r="KP17">
        <v>1</v>
      </c>
      <c r="KR17">
        <v>1</v>
      </c>
      <c r="KT17">
        <v>1</v>
      </c>
      <c r="KW17">
        <v>1</v>
      </c>
      <c r="LK17">
        <v>1</v>
      </c>
      <c r="LL17">
        <v>1</v>
      </c>
      <c r="LO17">
        <v>1</v>
      </c>
      <c r="LT17">
        <v>1</v>
      </c>
      <c r="MA17">
        <v>1</v>
      </c>
      <c r="MF17">
        <v>1</v>
      </c>
      <c r="MN17">
        <v>1</v>
      </c>
      <c r="MP17">
        <v>1</v>
      </c>
      <c r="MR17">
        <v>1</v>
      </c>
      <c r="NX17">
        <v>1</v>
      </c>
      <c r="OA17">
        <v>1</v>
      </c>
      <c r="OG17">
        <v>1</v>
      </c>
      <c r="OL17">
        <v>1</v>
      </c>
      <c r="ON17">
        <v>1</v>
      </c>
      <c r="OU17">
        <v>1</v>
      </c>
      <c r="PC17">
        <v>1</v>
      </c>
      <c r="PG17">
        <v>1</v>
      </c>
      <c r="PL17">
        <v>1</v>
      </c>
      <c r="PM17">
        <v>1</v>
      </c>
      <c r="PQ17">
        <v>1</v>
      </c>
      <c r="PW17">
        <v>1</v>
      </c>
      <c r="PX17">
        <v>1</v>
      </c>
      <c r="RD17">
        <v>1</v>
      </c>
      <c r="RK17">
        <v>1</v>
      </c>
      <c r="RQ17">
        <v>1</v>
      </c>
      <c r="SG17">
        <v>1</v>
      </c>
      <c r="SM17">
        <v>1</v>
      </c>
      <c r="SP17">
        <v>1</v>
      </c>
      <c r="TP17">
        <v>1</v>
      </c>
      <c r="TQ17">
        <v>1</v>
      </c>
      <c r="TZ17">
        <v>1</v>
      </c>
      <c r="UF17">
        <v>1</v>
      </c>
      <c r="UN17">
        <v>1</v>
      </c>
      <c r="VA17">
        <v>1</v>
      </c>
      <c r="VY17">
        <v>1</v>
      </c>
      <c r="WA17">
        <v>1</v>
      </c>
      <c r="WC17">
        <v>1</v>
      </c>
      <c r="WI17">
        <v>1</v>
      </c>
      <c r="WS17">
        <v>1</v>
      </c>
      <c r="XA17">
        <v>1</v>
      </c>
      <c r="XD17">
        <v>1</v>
      </c>
      <c r="XI17">
        <v>1</v>
      </c>
      <c r="XJ17">
        <v>1</v>
      </c>
      <c r="XL17">
        <v>1</v>
      </c>
      <c r="XN17">
        <v>1</v>
      </c>
      <c r="XW17">
        <v>1</v>
      </c>
      <c r="XX17">
        <v>1</v>
      </c>
      <c r="YA17">
        <v>1</v>
      </c>
      <c r="YB17">
        <v>1</v>
      </c>
      <c r="YH17">
        <v>1</v>
      </c>
      <c r="YJ17">
        <v>1</v>
      </c>
      <c r="YL17">
        <v>1</v>
      </c>
      <c r="YM17">
        <v>1</v>
      </c>
      <c r="YP17">
        <v>1</v>
      </c>
      <c r="ZJ17">
        <v>1</v>
      </c>
      <c r="ZP17">
        <v>1</v>
      </c>
      <c r="ZS17">
        <v>1</v>
      </c>
      <c r="AAI17">
        <v>1</v>
      </c>
      <c r="ABE17">
        <v>1</v>
      </c>
      <c r="ABF17">
        <v>1</v>
      </c>
      <c r="ABO17">
        <v>1</v>
      </c>
      <c r="ABS17">
        <v>1</v>
      </c>
      <c r="ACD17">
        <v>1</v>
      </c>
      <c r="ACP17">
        <v>1</v>
      </c>
      <c r="ACU17">
        <v>1</v>
      </c>
      <c r="ACV17">
        <v>1</v>
      </c>
      <c r="ADH17">
        <v>1</v>
      </c>
      <c r="ADM17">
        <v>1</v>
      </c>
      <c r="ADN17">
        <v>1</v>
      </c>
      <c r="AEA17">
        <v>1</v>
      </c>
      <c r="AEB17">
        <v>1</v>
      </c>
      <c r="AEC17">
        <v>1</v>
      </c>
      <c r="AEH17">
        <v>1</v>
      </c>
      <c r="AEV17">
        <v>1</v>
      </c>
      <c r="AFM17">
        <v>1</v>
      </c>
      <c r="AFN17">
        <v>1</v>
      </c>
      <c r="AFS17">
        <v>1</v>
      </c>
      <c r="AFW17">
        <v>1</v>
      </c>
      <c r="AGG17">
        <v>1</v>
      </c>
      <c r="AGM17">
        <v>1</v>
      </c>
      <c r="AHO17">
        <v>1</v>
      </c>
      <c r="AHX17">
        <v>1</v>
      </c>
      <c r="AHZ17">
        <v>1</v>
      </c>
      <c r="AIO17">
        <v>1</v>
      </c>
      <c r="AIR17">
        <v>1</v>
      </c>
      <c r="AIT17">
        <v>1</v>
      </c>
      <c r="AIU17">
        <v>1</v>
      </c>
      <c r="AIX17">
        <v>1</v>
      </c>
      <c r="AJH17">
        <v>1</v>
      </c>
      <c r="AJJ17">
        <v>1</v>
      </c>
      <c r="AJM17">
        <v>1</v>
      </c>
      <c r="AJN17">
        <v>1</v>
      </c>
      <c r="AJO17">
        <v>1</v>
      </c>
      <c r="AKA17">
        <v>1</v>
      </c>
      <c r="AKF17">
        <v>1</v>
      </c>
      <c r="AKG17">
        <v>1</v>
      </c>
      <c r="AKK17">
        <v>1</v>
      </c>
      <c r="AKP17">
        <v>1</v>
      </c>
      <c r="AKW17">
        <v>1</v>
      </c>
      <c r="ALD17">
        <v>1</v>
      </c>
      <c r="ALL17">
        <v>1</v>
      </c>
      <c r="ALS17">
        <v>1</v>
      </c>
      <c r="AME17">
        <v>1</v>
      </c>
      <c r="AMG17">
        <v>1</v>
      </c>
      <c r="AMT17">
        <v>1</v>
      </c>
      <c r="AMU17">
        <v>1</v>
      </c>
      <c r="AMV17">
        <v>1</v>
      </c>
      <c r="ANL17">
        <v>1</v>
      </c>
      <c r="ANY17">
        <v>1</v>
      </c>
      <c r="APL17">
        <v>1</v>
      </c>
      <c r="APZ17">
        <v>1</v>
      </c>
      <c r="AQC17">
        <v>1</v>
      </c>
      <c r="AQU17">
        <v>1</v>
      </c>
      <c r="ARC17">
        <v>1</v>
      </c>
      <c r="ARG17">
        <v>1</v>
      </c>
      <c r="ARH17">
        <v>1</v>
      </c>
      <c r="ARM17">
        <v>1</v>
      </c>
      <c r="ARN17">
        <v>1</v>
      </c>
      <c r="ARP17">
        <v>1</v>
      </c>
      <c r="ARW17">
        <v>1</v>
      </c>
      <c r="ARZ17">
        <v>1</v>
      </c>
      <c r="ASA17">
        <v>1</v>
      </c>
      <c r="ASB17">
        <v>1</v>
      </c>
      <c r="ASG17">
        <v>1</v>
      </c>
      <c r="ASH17">
        <v>1</v>
      </c>
      <c r="ASN17">
        <v>1</v>
      </c>
      <c r="ASS17">
        <v>1</v>
      </c>
      <c r="ATN17">
        <v>1</v>
      </c>
      <c r="ATP17">
        <v>1</v>
      </c>
      <c r="ATQ17">
        <v>1</v>
      </c>
      <c r="ATS17">
        <v>1</v>
      </c>
      <c r="AUP17">
        <v>1</v>
      </c>
      <c r="AUQ17">
        <v>1</v>
      </c>
      <c r="AUW17">
        <v>1</v>
      </c>
      <c r="AUX17">
        <v>1</v>
      </c>
      <c r="AVA17">
        <v>1</v>
      </c>
      <c r="AVD17">
        <v>1</v>
      </c>
      <c r="AVQ17">
        <v>1</v>
      </c>
      <c r="AVS17">
        <v>1</v>
      </c>
      <c r="AWK17">
        <v>1</v>
      </c>
      <c r="AWL17">
        <v>1</v>
      </c>
      <c r="AWR17">
        <v>1</v>
      </c>
      <c r="AWZ17">
        <v>1</v>
      </c>
      <c r="AXQ17">
        <v>1</v>
      </c>
      <c r="AYP17">
        <v>1</v>
      </c>
      <c r="AYU17">
        <v>1</v>
      </c>
      <c r="AZA17">
        <v>1</v>
      </c>
      <c r="AZD17">
        <v>1</v>
      </c>
      <c r="AZE17">
        <v>1</v>
      </c>
      <c r="AZQ17">
        <v>1</v>
      </c>
      <c r="BAR17">
        <v>1</v>
      </c>
      <c r="BAZ17">
        <v>1</v>
      </c>
      <c r="BBD17">
        <v>1</v>
      </c>
      <c r="BBE17">
        <v>1</v>
      </c>
      <c r="BBH17">
        <v>1</v>
      </c>
      <c r="BBJ17">
        <v>1</v>
      </c>
      <c r="BBO17">
        <v>1</v>
      </c>
      <c r="BBY17">
        <v>1</v>
      </c>
      <c r="BCC17">
        <v>1</v>
      </c>
      <c r="BCJ17">
        <v>1</v>
      </c>
      <c r="BCN17">
        <v>1</v>
      </c>
      <c r="BCO17">
        <v>1</v>
      </c>
      <c r="BCP17">
        <v>1</v>
      </c>
      <c r="BCR17">
        <v>1</v>
      </c>
      <c r="BCV17">
        <v>1</v>
      </c>
      <c r="BCW17">
        <v>1</v>
      </c>
      <c r="BDQ17">
        <v>1</v>
      </c>
      <c r="BDR17">
        <v>1</v>
      </c>
      <c r="BEA17">
        <v>1</v>
      </c>
      <c r="BEF17">
        <v>1</v>
      </c>
      <c r="BEG17">
        <v>1</v>
      </c>
      <c r="BEI17">
        <v>1</v>
      </c>
      <c r="BFO17">
        <v>1</v>
      </c>
      <c r="BFS17">
        <v>1</v>
      </c>
      <c r="BHR17">
        <v>1</v>
      </c>
      <c r="BHS17">
        <v>1</v>
      </c>
      <c r="BHX17">
        <v>1</v>
      </c>
      <c r="BHY17">
        <v>1</v>
      </c>
      <c r="BJE17">
        <v>1</v>
      </c>
      <c r="BJV17">
        <v>1</v>
      </c>
      <c r="BKC17">
        <v>1</v>
      </c>
      <c r="BKE17">
        <v>1</v>
      </c>
      <c r="BKG17">
        <v>1</v>
      </c>
      <c r="BKI17">
        <v>1</v>
      </c>
      <c r="BKK17">
        <v>1</v>
      </c>
      <c r="BML17">
        <v>1</v>
      </c>
      <c r="BMN17">
        <v>1</v>
      </c>
      <c r="BMQ17">
        <v>1</v>
      </c>
      <c r="BNJ17">
        <v>1</v>
      </c>
      <c r="BPP17">
        <v>1</v>
      </c>
      <c r="BPQ17">
        <v>1</v>
      </c>
      <c r="BPZ17">
        <v>1</v>
      </c>
      <c r="BQB17">
        <v>1</v>
      </c>
      <c r="BQV17">
        <v>1</v>
      </c>
      <c r="BRC17">
        <v>1</v>
      </c>
      <c r="BRQ17">
        <v>1</v>
      </c>
      <c r="BRY17">
        <v>1</v>
      </c>
      <c r="BRZ17">
        <v>1</v>
      </c>
      <c r="BSB17">
        <v>1</v>
      </c>
      <c r="BSU17">
        <v>1</v>
      </c>
      <c r="BSX17">
        <v>1</v>
      </c>
      <c r="BUD17">
        <v>1</v>
      </c>
      <c r="BUT17">
        <v>1</v>
      </c>
      <c r="BVJ17">
        <v>1</v>
      </c>
      <c r="BVZ17">
        <v>1</v>
      </c>
      <c r="BWX17">
        <v>1</v>
      </c>
      <c r="BXD17">
        <v>1</v>
      </c>
      <c r="BXF17">
        <v>1</v>
      </c>
      <c r="BXK17">
        <v>1</v>
      </c>
      <c r="BXR17">
        <v>1</v>
      </c>
      <c r="BYE17">
        <v>1</v>
      </c>
      <c r="BYF17">
        <v>1</v>
      </c>
      <c r="BYJ17">
        <v>1</v>
      </c>
      <c r="BYP17">
        <v>1</v>
      </c>
      <c r="BYR17">
        <v>1</v>
      </c>
      <c r="BYT17">
        <v>1</v>
      </c>
      <c r="BYW17">
        <v>1</v>
      </c>
      <c r="BZK17">
        <v>1</v>
      </c>
      <c r="BZL17">
        <v>1</v>
      </c>
      <c r="BZO17">
        <v>1</v>
      </c>
      <c r="BZT17">
        <v>1</v>
      </c>
      <c r="CAA17">
        <v>1</v>
      </c>
      <c r="CAF17">
        <v>1</v>
      </c>
      <c r="CAN17">
        <v>1</v>
      </c>
      <c r="CAP17">
        <v>1</v>
      </c>
      <c r="CAR17">
        <v>1</v>
      </c>
      <c r="CBX17">
        <v>1</v>
      </c>
      <c r="CCA17">
        <v>1</v>
      </c>
      <c r="CCG17">
        <v>1</v>
      </c>
      <c r="CCL17">
        <v>1</v>
      </c>
      <c r="CCN17">
        <v>1</v>
      </c>
      <c r="CCU17">
        <v>1</v>
      </c>
      <c r="CDC17">
        <v>1</v>
      </c>
      <c r="CDG17">
        <v>1</v>
      </c>
      <c r="CDL17">
        <v>1</v>
      </c>
      <c r="CDM17">
        <v>1</v>
      </c>
      <c r="CDQ17">
        <v>1</v>
      </c>
      <c r="CDW17">
        <v>1</v>
      </c>
      <c r="CDX17">
        <v>1</v>
      </c>
      <c r="CFD17">
        <v>1</v>
      </c>
      <c r="CFK17">
        <v>1</v>
      </c>
      <c r="CFQ17">
        <v>1</v>
      </c>
      <c r="CGG17">
        <v>1</v>
      </c>
      <c r="CGM17">
        <v>1</v>
      </c>
      <c r="CGP17">
        <v>1</v>
      </c>
      <c r="CHP17">
        <v>1</v>
      </c>
      <c r="CHQ17">
        <v>1</v>
      </c>
      <c r="CHZ17">
        <v>1</v>
      </c>
      <c r="CIF17">
        <v>1</v>
      </c>
      <c r="CIN17">
        <v>1</v>
      </c>
      <c r="CJA17">
        <v>1</v>
      </c>
      <c r="CJY17">
        <v>1</v>
      </c>
      <c r="CKA17">
        <v>1</v>
      </c>
      <c r="CKC17">
        <v>1</v>
      </c>
      <c r="CKI17">
        <v>1</v>
      </c>
      <c r="CKS17">
        <v>1</v>
      </c>
      <c r="CLA17">
        <v>1</v>
      </c>
      <c r="CLD17">
        <v>1</v>
      </c>
      <c r="CLI17">
        <v>1</v>
      </c>
      <c r="CLJ17">
        <v>1</v>
      </c>
      <c r="CLL17">
        <v>1</v>
      </c>
      <c r="CLN17">
        <v>1</v>
      </c>
      <c r="CLW17">
        <v>1</v>
      </c>
      <c r="CLX17">
        <v>1</v>
      </c>
      <c r="CMA17">
        <v>1</v>
      </c>
      <c r="CMB17">
        <v>1</v>
      </c>
      <c r="CMH17">
        <v>1</v>
      </c>
      <c r="CMJ17">
        <v>1</v>
      </c>
      <c r="CML17">
        <v>1</v>
      </c>
      <c r="CMM17">
        <v>1</v>
      </c>
      <c r="CMP17">
        <v>1</v>
      </c>
      <c r="CNJ17">
        <v>1</v>
      </c>
      <c r="CNP17">
        <v>1</v>
      </c>
      <c r="CNS17">
        <v>1</v>
      </c>
      <c r="COI17">
        <v>1</v>
      </c>
      <c r="CPE17">
        <v>1</v>
      </c>
      <c r="CPF17">
        <v>1</v>
      </c>
      <c r="CPO17">
        <v>1</v>
      </c>
      <c r="CPS17">
        <v>1</v>
      </c>
      <c r="CQD17">
        <v>1</v>
      </c>
      <c r="CQP17">
        <v>1</v>
      </c>
      <c r="CQU17">
        <v>1</v>
      </c>
      <c r="CQV17">
        <v>1</v>
      </c>
      <c r="CRH17">
        <v>1</v>
      </c>
      <c r="CRM17">
        <v>1</v>
      </c>
      <c r="CRN17">
        <v>1</v>
      </c>
      <c r="CSA17">
        <v>1</v>
      </c>
      <c r="CSB17">
        <v>1</v>
      </c>
      <c r="CSC17">
        <v>1</v>
      </c>
      <c r="CSH17">
        <v>1</v>
      </c>
      <c r="CSV17">
        <v>1</v>
      </c>
      <c r="CTM17">
        <v>1</v>
      </c>
      <c r="CTN17">
        <v>1</v>
      </c>
      <c r="CTS17">
        <v>1</v>
      </c>
      <c r="CTW17">
        <v>1</v>
      </c>
      <c r="CUG17">
        <v>1</v>
      </c>
      <c r="CUM17">
        <v>1</v>
      </c>
      <c r="CVO17">
        <v>1</v>
      </c>
      <c r="CVX17">
        <v>1</v>
      </c>
      <c r="CVZ17">
        <v>1</v>
      </c>
      <c r="CWO17">
        <v>1</v>
      </c>
      <c r="CWR17">
        <v>1</v>
      </c>
      <c r="CWT17">
        <v>1</v>
      </c>
      <c r="CWU17">
        <v>1</v>
      </c>
      <c r="CWX17">
        <v>1</v>
      </c>
      <c r="CXH17">
        <v>1</v>
      </c>
      <c r="CXJ17">
        <v>1</v>
      </c>
      <c r="CXM17">
        <v>1</v>
      </c>
      <c r="CXN17">
        <v>1</v>
      </c>
      <c r="CXO17">
        <v>1</v>
      </c>
      <c r="CYA17">
        <v>1</v>
      </c>
      <c r="CYF17">
        <v>1</v>
      </c>
      <c r="CYG17">
        <v>1</v>
      </c>
      <c r="CYK17">
        <v>1</v>
      </c>
      <c r="CYP17">
        <v>1</v>
      </c>
      <c r="CYW17">
        <v>1</v>
      </c>
      <c r="CZD17">
        <v>1</v>
      </c>
      <c r="CZL17">
        <v>1</v>
      </c>
      <c r="CZS17">
        <v>1</v>
      </c>
      <c r="DAE17">
        <v>1</v>
      </c>
      <c r="DAG17">
        <v>1</v>
      </c>
      <c r="DAT17">
        <v>1</v>
      </c>
      <c r="DAU17">
        <v>1</v>
      </c>
      <c r="DAV17">
        <v>1</v>
      </c>
      <c r="DBL17">
        <v>1</v>
      </c>
      <c r="DBY17">
        <v>1</v>
      </c>
      <c r="DDL17">
        <v>1</v>
      </c>
      <c r="DDZ17">
        <v>1</v>
      </c>
      <c r="DEC17">
        <v>1</v>
      </c>
      <c r="DEU17">
        <v>1</v>
      </c>
      <c r="DFC17">
        <v>1</v>
      </c>
      <c r="DFG17">
        <v>1</v>
      </c>
      <c r="DFH17">
        <v>1</v>
      </c>
      <c r="DFM17">
        <v>1</v>
      </c>
      <c r="DFN17">
        <v>1</v>
      </c>
      <c r="DFP17">
        <v>1</v>
      </c>
      <c r="DFW17">
        <v>1</v>
      </c>
      <c r="DFZ17">
        <v>1</v>
      </c>
      <c r="DGA17">
        <v>1</v>
      </c>
      <c r="DGB17">
        <v>1</v>
      </c>
      <c r="DGG17">
        <v>1</v>
      </c>
      <c r="DGH17">
        <v>1</v>
      </c>
      <c r="DGN17">
        <v>1</v>
      </c>
      <c r="DGS17">
        <v>1</v>
      </c>
      <c r="DHN17">
        <v>1</v>
      </c>
      <c r="DHP17">
        <v>1</v>
      </c>
      <c r="DHQ17">
        <v>1</v>
      </c>
      <c r="DHS17">
        <v>1</v>
      </c>
      <c r="DIP17">
        <v>1</v>
      </c>
      <c r="DIQ17">
        <v>1</v>
      </c>
      <c r="DIW17">
        <v>1</v>
      </c>
      <c r="DIX17">
        <v>1</v>
      </c>
      <c r="DJA17">
        <v>1</v>
      </c>
      <c r="DJD17">
        <v>1</v>
      </c>
      <c r="DJQ17">
        <v>1</v>
      </c>
      <c r="DJS17">
        <v>1</v>
      </c>
      <c r="DKK17">
        <v>1</v>
      </c>
      <c r="DKL17">
        <v>1</v>
      </c>
      <c r="DKR17">
        <v>1</v>
      </c>
      <c r="DKZ17">
        <v>1</v>
      </c>
      <c r="DLQ17">
        <v>1</v>
      </c>
      <c r="DMP17">
        <v>1</v>
      </c>
      <c r="DMU17">
        <v>1</v>
      </c>
      <c r="DNA17">
        <v>1</v>
      </c>
      <c r="DND17">
        <v>1</v>
      </c>
      <c r="DNE17">
        <v>1</v>
      </c>
      <c r="DNQ17">
        <v>1</v>
      </c>
      <c r="DOR17">
        <v>1</v>
      </c>
      <c r="DOZ17">
        <v>1</v>
      </c>
      <c r="DPD17">
        <v>1</v>
      </c>
      <c r="DPE17">
        <v>1</v>
      </c>
      <c r="DPH17">
        <v>1</v>
      </c>
      <c r="DPJ17">
        <v>1</v>
      </c>
      <c r="DPO17">
        <v>1</v>
      </c>
      <c r="DPY17">
        <v>1</v>
      </c>
      <c r="DQC17">
        <v>1</v>
      </c>
      <c r="DQJ17">
        <v>1</v>
      </c>
      <c r="DQN17">
        <v>1</v>
      </c>
      <c r="DQO17">
        <v>1</v>
      </c>
      <c r="DQP17">
        <v>1</v>
      </c>
      <c r="DQR17">
        <v>1</v>
      </c>
      <c r="DQV17">
        <v>1</v>
      </c>
      <c r="DQW17">
        <v>1</v>
      </c>
      <c r="DRQ17">
        <v>1</v>
      </c>
      <c r="DRR17">
        <v>1</v>
      </c>
      <c r="DSA17">
        <v>1</v>
      </c>
      <c r="DSF17">
        <v>1</v>
      </c>
      <c r="DSG17">
        <v>1</v>
      </c>
      <c r="DSI17">
        <v>1</v>
      </c>
      <c r="DTO17">
        <v>1</v>
      </c>
      <c r="DTS17">
        <v>1</v>
      </c>
      <c r="DVR17">
        <v>1</v>
      </c>
      <c r="DVS17">
        <v>1</v>
      </c>
      <c r="DVX17">
        <v>1</v>
      </c>
      <c r="DVY17">
        <v>1</v>
      </c>
      <c r="DXE17">
        <v>1</v>
      </c>
      <c r="DXV17">
        <v>1</v>
      </c>
      <c r="DYC17">
        <v>1</v>
      </c>
      <c r="DYE17">
        <v>1</v>
      </c>
      <c r="DYG17">
        <v>1</v>
      </c>
      <c r="DYI17">
        <v>1</v>
      </c>
      <c r="DYK17">
        <v>1</v>
      </c>
      <c r="EAL17">
        <v>1</v>
      </c>
      <c r="EAN17">
        <v>1</v>
      </c>
      <c r="EAQ17">
        <v>1</v>
      </c>
      <c r="EBF17">
        <v>1</v>
      </c>
      <c r="EDG17">
        <f>SUMPRODUCT(Constraint_11,Decision_variables)</f>
        <v>1</v>
      </c>
      <c r="EDH17" t="s">
        <v>5264</v>
      </c>
      <c r="EDI17">
        <v>1</v>
      </c>
    </row>
    <row r="18" spans="2:3493" x14ac:dyDescent="0.3">
      <c r="B18" t="s">
        <v>3503</v>
      </c>
      <c r="S18">
        <v>1</v>
      </c>
      <c r="AO18">
        <v>1</v>
      </c>
      <c r="BF18">
        <v>1</v>
      </c>
      <c r="EN18">
        <v>1</v>
      </c>
      <c r="FQ18">
        <v>1</v>
      </c>
      <c r="HV18">
        <v>1</v>
      </c>
      <c r="HW18">
        <v>1</v>
      </c>
      <c r="JP18">
        <v>1</v>
      </c>
      <c r="KN18">
        <v>1</v>
      </c>
      <c r="LW18">
        <v>1</v>
      </c>
      <c r="MB18">
        <v>1</v>
      </c>
      <c r="SI18">
        <v>1</v>
      </c>
      <c r="SM18">
        <v>1</v>
      </c>
      <c r="SX18">
        <v>1</v>
      </c>
      <c r="TJ18">
        <v>1</v>
      </c>
      <c r="TQ18">
        <v>1</v>
      </c>
      <c r="TW18">
        <v>1</v>
      </c>
      <c r="UN18">
        <v>1</v>
      </c>
      <c r="UR18">
        <v>1</v>
      </c>
      <c r="US18">
        <v>1</v>
      </c>
      <c r="VH18">
        <v>1</v>
      </c>
      <c r="VW18">
        <v>1</v>
      </c>
      <c r="YL18">
        <v>1</v>
      </c>
      <c r="ZL18">
        <v>1</v>
      </c>
      <c r="ABF18">
        <v>1</v>
      </c>
      <c r="ADN18">
        <v>1</v>
      </c>
      <c r="AEI18">
        <v>1</v>
      </c>
      <c r="AEQ18">
        <v>1</v>
      </c>
      <c r="AFG18">
        <v>1</v>
      </c>
      <c r="AFW18">
        <v>1</v>
      </c>
      <c r="AHA18">
        <v>1</v>
      </c>
      <c r="AHV18">
        <v>1</v>
      </c>
      <c r="AHW18">
        <v>1</v>
      </c>
      <c r="AJD18">
        <v>1</v>
      </c>
      <c r="AJM18">
        <v>1</v>
      </c>
      <c r="AJV18">
        <v>1</v>
      </c>
      <c r="AKO18">
        <v>1</v>
      </c>
      <c r="ALW18">
        <v>1</v>
      </c>
      <c r="AMF18">
        <v>1</v>
      </c>
      <c r="AMH18">
        <v>1</v>
      </c>
      <c r="AMJ18">
        <v>1</v>
      </c>
      <c r="AMT18">
        <v>1</v>
      </c>
      <c r="ANN18">
        <v>1</v>
      </c>
      <c r="APJ18">
        <v>1</v>
      </c>
      <c r="APN18">
        <v>1</v>
      </c>
      <c r="APV18">
        <v>1</v>
      </c>
      <c r="AQF18">
        <v>1</v>
      </c>
      <c r="AQH18">
        <v>1</v>
      </c>
      <c r="ASQ18">
        <v>1</v>
      </c>
      <c r="ATK18">
        <v>1</v>
      </c>
      <c r="ATV18">
        <v>1</v>
      </c>
      <c r="ATY18">
        <v>1</v>
      </c>
      <c r="AUF18">
        <v>1</v>
      </c>
      <c r="AVE18">
        <v>1</v>
      </c>
      <c r="AVI18">
        <v>1</v>
      </c>
      <c r="AVM18">
        <v>1</v>
      </c>
      <c r="AVT18">
        <v>1</v>
      </c>
      <c r="AWL18">
        <v>1</v>
      </c>
      <c r="AWP18">
        <v>1</v>
      </c>
      <c r="AWW18">
        <v>1</v>
      </c>
      <c r="AWZ18">
        <v>1</v>
      </c>
      <c r="AXB18">
        <v>1</v>
      </c>
      <c r="AXQ18">
        <v>1</v>
      </c>
      <c r="AXW18">
        <v>1</v>
      </c>
      <c r="AXY18">
        <v>1</v>
      </c>
      <c r="AYA18">
        <v>1</v>
      </c>
      <c r="AYB18">
        <v>1</v>
      </c>
      <c r="AYL18">
        <v>1</v>
      </c>
      <c r="AZN18">
        <v>1</v>
      </c>
      <c r="BAJ18">
        <v>1</v>
      </c>
      <c r="BBG18">
        <v>1</v>
      </c>
      <c r="BCD18">
        <v>1</v>
      </c>
      <c r="BCK18">
        <v>1</v>
      </c>
      <c r="BDE18">
        <v>1</v>
      </c>
      <c r="BDH18">
        <v>1</v>
      </c>
      <c r="BDI18">
        <v>1</v>
      </c>
      <c r="BDL18">
        <v>1</v>
      </c>
      <c r="BDO18">
        <v>1</v>
      </c>
      <c r="BED18">
        <v>1</v>
      </c>
      <c r="BEE18">
        <v>1</v>
      </c>
      <c r="BEX18">
        <v>1</v>
      </c>
      <c r="BFE18">
        <v>1</v>
      </c>
      <c r="BFG18">
        <v>1</v>
      </c>
      <c r="BFK18">
        <v>1</v>
      </c>
      <c r="BFQ18">
        <v>1</v>
      </c>
      <c r="BFT18">
        <v>1</v>
      </c>
      <c r="BGB18">
        <v>1</v>
      </c>
      <c r="BGV18">
        <v>1</v>
      </c>
      <c r="BHQ18">
        <v>1</v>
      </c>
      <c r="BHS18">
        <v>1</v>
      </c>
      <c r="BHW18">
        <v>1</v>
      </c>
      <c r="BIF18">
        <v>1</v>
      </c>
      <c r="BIH18">
        <v>1</v>
      </c>
      <c r="BIN18">
        <v>1</v>
      </c>
      <c r="BIQ18">
        <v>1</v>
      </c>
      <c r="BIW18">
        <v>1</v>
      </c>
      <c r="BKC18">
        <v>1</v>
      </c>
      <c r="BKT18">
        <v>1</v>
      </c>
      <c r="BKY18">
        <v>1</v>
      </c>
      <c r="BLC18">
        <v>1</v>
      </c>
      <c r="BLO18">
        <v>1</v>
      </c>
      <c r="BLP18">
        <v>1</v>
      </c>
      <c r="BMC18">
        <v>1</v>
      </c>
      <c r="BMR18">
        <v>1</v>
      </c>
      <c r="BMT18">
        <v>1</v>
      </c>
      <c r="BMU18">
        <v>1</v>
      </c>
      <c r="BNS18">
        <v>1</v>
      </c>
      <c r="BOO18">
        <v>1</v>
      </c>
      <c r="BPF18">
        <v>1</v>
      </c>
      <c r="BSN18">
        <v>1</v>
      </c>
      <c r="BTQ18">
        <v>1</v>
      </c>
      <c r="BVV18">
        <v>1</v>
      </c>
      <c r="BVW18">
        <v>1</v>
      </c>
      <c r="BXP18">
        <v>1</v>
      </c>
      <c r="BYN18">
        <v>1</v>
      </c>
      <c r="BZW18">
        <v>1</v>
      </c>
      <c r="CAB18">
        <v>1</v>
      </c>
      <c r="CGI18">
        <v>1</v>
      </c>
      <c r="CGM18">
        <v>1</v>
      </c>
      <c r="CGX18">
        <v>1</v>
      </c>
      <c r="CHJ18">
        <v>1</v>
      </c>
      <c r="CHQ18">
        <v>1</v>
      </c>
      <c r="CHW18">
        <v>1</v>
      </c>
      <c r="CIN18">
        <v>1</v>
      </c>
      <c r="CIR18">
        <v>1</v>
      </c>
      <c r="CIS18">
        <v>1</v>
      </c>
      <c r="CJH18">
        <v>1</v>
      </c>
      <c r="CJW18">
        <v>1</v>
      </c>
      <c r="CML18">
        <v>1</v>
      </c>
      <c r="CNL18">
        <v>1</v>
      </c>
      <c r="CPF18">
        <v>1</v>
      </c>
      <c r="CRN18">
        <v>1</v>
      </c>
      <c r="CSI18">
        <v>1</v>
      </c>
      <c r="CSQ18">
        <v>1</v>
      </c>
      <c r="CTG18">
        <v>1</v>
      </c>
      <c r="CTW18">
        <v>1</v>
      </c>
      <c r="CVA18">
        <v>1</v>
      </c>
      <c r="CVV18">
        <v>1</v>
      </c>
      <c r="CVW18">
        <v>1</v>
      </c>
      <c r="CXD18">
        <v>1</v>
      </c>
      <c r="CXM18">
        <v>1</v>
      </c>
      <c r="CXV18">
        <v>1</v>
      </c>
      <c r="CYO18">
        <v>1</v>
      </c>
      <c r="CZW18">
        <v>1</v>
      </c>
      <c r="DAF18">
        <v>1</v>
      </c>
      <c r="DAH18">
        <v>1</v>
      </c>
      <c r="DAJ18">
        <v>1</v>
      </c>
      <c r="DAT18">
        <v>1</v>
      </c>
      <c r="DBN18">
        <v>1</v>
      </c>
      <c r="DDJ18">
        <v>1</v>
      </c>
      <c r="DDN18">
        <v>1</v>
      </c>
      <c r="DDV18">
        <v>1</v>
      </c>
      <c r="DEF18">
        <v>1</v>
      </c>
      <c r="DEH18">
        <v>1</v>
      </c>
      <c r="DGQ18">
        <v>1</v>
      </c>
      <c r="DHK18">
        <v>1</v>
      </c>
      <c r="DHV18">
        <v>1</v>
      </c>
      <c r="DHY18">
        <v>1</v>
      </c>
      <c r="DIF18">
        <v>1</v>
      </c>
      <c r="DJE18">
        <v>1</v>
      </c>
      <c r="DJI18">
        <v>1</v>
      </c>
      <c r="DJM18">
        <v>1</v>
      </c>
      <c r="DJT18">
        <v>1</v>
      </c>
      <c r="DKL18">
        <v>1</v>
      </c>
      <c r="DKP18">
        <v>1</v>
      </c>
      <c r="DKW18">
        <v>1</v>
      </c>
      <c r="DKZ18">
        <v>1</v>
      </c>
      <c r="DLB18">
        <v>1</v>
      </c>
      <c r="DLQ18">
        <v>1</v>
      </c>
      <c r="DLW18">
        <v>1</v>
      </c>
      <c r="DLY18">
        <v>1</v>
      </c>
      <c r="DMA18">
        <v>1</v>
      </c>
      <c r="DMB18">
        <v>1</v>
      </c>
      <c r="DML18">
        <v>1</v>
      </c>
      <c r="DNN18">
        <v>1</v>
      </c>
      <c r="DOJ18">
        <v>1</v>
      </c>
      <c r="DPG18">
        <v>1</v>
      </c>
      <c r="DQD18">
        <v>1</v>
      </c>
      <c r="DQK18">
        <v>1</v>
      </c>
      <c r="DRE18">
        <v>1</v>
      </c>
      <c r="DRH18">
        <v>1</v>
      </c>
      <c r="DRI18">
        <v>1</v>
      </c>
      <c r="DRL18">
        <v>1</v>
      </c>
      <c r="DRO18">
        <v>1</v>
      </c>
      <c r="DSD18">
        <v>1</v>
      </c>
      <c r="DSE18">
        <v>1</v>
      </c>
      <c r="DSX18">
        <v>1</v>
      </c>
      <c r="DTE18">
        <v>1</v>
      </c>
      <c r="DTG18">
        <v>1</v>
      </c>
      <c r="DTK18">
        <v>1</v>
      </c>
      <c r="DTQ18">
        <v>1</v>
      </c>
      <c r="DTT18">
        <v>1</v>
      </c>
      <c r="DUB18">
        <v>1</v>
      </c>
      <c r="DUV18">
        <v>1</v>
      </c>
      <c r="DVQ18">
        <v>1</v>
      </c>
      <c r="DVS18">
        <v>1</v>
      </c>
      <c r="DVW18">
        <v>1</v>
      </c>
      <c r="DWF18">
        <v>1</v>
      </c>
      <c r="DWH18">
        <v>1</v>
      </c>
      <c r="DWN18">
        <v>1</v>
      </c>
      <c r="DWQ18">
        <v>1</v>
      </c>
      <c r="DWW18">
        <v>1</v>
      </c>
      <c r="DYC18">
        <v>1</v>
      </c>
      <c r="DYT18">
        <v>1</v>
      </c>
      <c r="DYY18">
        <v>1</v>
      </c>
      <c r="DZC18">
        <v>1</v>
      </c>
      <c r="DZO18">
        <v>1</v>
      </c>
      <c r="DZP18">
        <v>1</v>
      </c>
      <c r="EAC18">
        <v>1</v>
      </c>
      <c r="EAR18">
        <v>1</v>
      </c>
      <c r="EAT18">
        <v>1</v>
      </c>
      <c r="EAU18">
        <v>1</v>
      </c>
      <c r="EBG18">
        <v>1</v>
      </c>
      <c r="EDG18">
        <f>SUMPRODUCT(Constraint_12,Decision_variables)</f>
        <v>1</v>
      </c>
      <c r="EDH18" t="s">
        <v>5264</v>
      </c>
      <c r="EDI18">
        <v>1</v>
      </c>
    </row>
    <row r="19" spans="2:3493" x14ac:dyDescent="0.3">
      <c r="B19" t="s">
        <v>3504</v>
      </c>
      <c r="U19">
        <v>1</v>
      </c>
      <c r="FI19">
        <v>1</v>
      </c>
      <c r="GG19">
        <v>1</v>
      </c>
      <c r="GH19">
        <v>1</v>
      </c>
      <c r="HQ19">
        <v>1</v>
      </c>
      <c r="KB19">
        <v>1</v>
      </c>
      <c r="OQ19">
        <v>1</v>
      </c>
      <c r="TC19">
        <v>1</v>
      </c>
      <c r="WU19">
        <v>1</v>
      </c>
      <c r="ADQ19">
        <v>1</v>
      </c>
      <c r="AHJ19">
        <v>1</v>
      </c>
      <c r="AHL19">
        <v>1</v>
      </c>
      <c r="AHY19">
        <v>1</v>
      </c>
      <c r="AIL19">
        <v>1</v>
      </c>
      <c r="AIM19">
        <v>1</v>
      </c>
      <c r="AJI19">
        <v>1</v>
      </c>
      <c r="ALZ19">
        <v>1</v>
      </c>
      <c r="AMM19">
        <v>1</v>
      </c>
      <c r="AND19">
        <v>1</v>
      </c>
      <c r="ANQ19">
        <v>1</v>
      </c>
      <c r="AQX19">
        <v>1</v>
      </c>
      <c r="ASC19">
        <v>1</v>
      </c>
      <c r="ATB19">
        <v>1</v>
      </c>
      <c r="ATL19">
        <v>1</v>
      </c>
      <c r="ATX19">
        <v>1</v>
      </c>
      <c r="AUM19">
        <v>1</v>
      </c>
      <c r="AWA19">
        <v>1</v>
      </c>
      <c r="AWG19">
        <v>1</v>
      </c>
      <c r="AWO19">
        <v>1</v>
      </c>
      <c r="AXK19">
        <v>1</v>
      </c>
      <c r="AYG19">
        <v>1</v>
      </c>
      <c r="AYO19">
        <v>1</v>
      </c>
      <c r="AYS19">
        <v>1</v>
      </c>
      <c r="AZV19">
        <v>1</v>
      </c>
      <c r="AZW19">
        <v>1</v>
      </c>
      <c r="BAN19">
        <v>1</v>
      </c>
      <c r="BBT19">
        <v>1</v>
      </c>
      <c r="BCB19">
        <v>1</v>
      </c>
      <c r="BCF19">
        <v>1</v>
      </c>
      <c r="BDG19">
        <v>1</v>
      </c>
      <c r="BDP19">
        <v>1</v>
      </c>
      <c r="BEA19">
        <v>1</v>
      </c>
      <c r="BEB19">
        <v>1</v>
      </c>
      <c r="BEP19">
        <v>1</v>
      </c>
      <c r="BER19">
        <v>1</v>
      </c>
      <c r="BEY19">
        <v>1</v>
      </c>
      <c r="BEZ19">
        <v>1</v>
      </c>
      <c r="BFA19">
        <v>1</v>
      </c>
      <c r="BFM19">
        <v>1</v>
      </c>
      <c r="BGO19">
        <v>1</v>
      </c>
      <c r="BGT19">
        <v>1</v>
      </c>
      <c r="BHN19">
        <v>1</v>
      </c>
      <c r="BHO19">
        <v>1</v>
      </c>
      <c r="BIM19">
        <v>1</v>
      </c>
      <c r="BIP19">
        <v>1</v>
      </c>
      <c r="BIQ19">
        <v>1</v>
      </c>
      <c r="BIV19">
        <v>1</v>
      </c>
      <c r="BIY19">
        <v>1</v>
      </c>
      <c r="BJA19">
        <v>1</v>
      </c>
      <c r="BJB19">
        <v>1</v>
      </c>
      <c r="BJI19">
        <v>1</v>
      </c>
      <c r="BJL19">
        <v>1</v>
      </c>
      <c r="BJT19">
        <v>1</v>
      </c>
      <c r="BKB19">
        <v>1</v>
      </c>
      <c r="BKD19">
        <v>1</v>
      </c>
      <c r="BKG19">
        <v>1</v>
      </c>
      <c r="BKH19">
        <v>1</v>
      </c>
      <c r="BKI19">
        <v>1</v>
      </c>
      <c r="BKK19">
        <v>1</v>
      </c>
      <c r="BKP19">
        <v>1</v>
      </c>
      <c r="BKU19">
        <v>1</v>
      </c>
      <c r="BLF19">
        <v>1</v>
      </c>
      <c r="BLH19">
        <v>1</v>
      </c>
      <c r="BLL19">
        <v>1</v>
      </c>
      <c r="BLT19">
        <v>1</v>
      </c>
      <c r="BMA19">
        <v>1</v>
      </c>
      <c r="BMB19">
        <v>1</v>
      </c>
      <c r="BMH19">
        <v>1</v>
      </c>
      <c r="BMJ19">
        <v>1</v>
      </c>
      <c r="BML19">
        <v>1</v>
      </c>
      <c r="BMM19">
        <v>1</v>
      </c>
      <c r="BMO19">
        <v>1</v>
      </c>
      <c r="BMP19">
        <v>1</v>
      </c>
      <c r="BNU19">
        <v>1</v>
      </c>
      <c r="BTI19">
        <v>1</v>
      </c>
      <c r="BUG19">
        <v>1</v>
      </c>
      <c r="BUH19">
        <v>1</v>
      </c>
      <c r="BVQ19">
        <v>1</v>
      </c>
      <c r="BYB19">
        <v>1</v>
      </c>
      <c r="CCQ19">
        <v>1</v>
      </c>
      <c r="CHC19">
        <v>1</v>
      </c>
      <c r="CKU19">
        <v>1</v>
      </c>
      <c r="CRQ19">
        <v>1</v>
      </c>
      <c r="CVJ19">
        <v>1</v>
      </c>
      <c r="CVL19">
        <v>1</v>
      </c>
      <c r="CVY19">
        <v>1</v>
      </c>
      <c r="CWL19">
        <v>1</v>
      </c>
      <c r="CWM19">
        <v>1</v>
      </c>
      <c r="CXI19">
        <v>1</v>
      </c>
      <c r="CZZ19">
        <v>1</v>
      </c>
      <c r="DAM19">
        <v>1</v>
      </c>
      <c r="DBD19">
        <v>1</v>
      </c>
      <c r="DBQ19">
        <v>1</v>
      </c>
      <c r="DEX19">
        <v>1</v>
      </c>
      <c r="DGC19">
        <v>1</v>
      </c>
      <c r="DHB19">
        <v>1</v>
      </c>
      <c r="DHL19">
        <v>1</v>
      </c>
      <c r="DHX19">
        <v>1</v>
      </c>
      <c r="DIM19">
        <v>1</v>
      </c>
      <c r="DKA19">
        <v>1</v>
      </c>
      <c r="DKG19">
        <v>1</v>
      </c>
      <c r="DKO19">
        <v>1</v>
      </c>
      <c r="DLK19">
        <v>1</v>
      </c>
      <c r="DMG19">
        <v>1</v>
      </c>
      <c r="DMO19">
        <v>1</v>
      </c>
      <c r="DMS19">
        <v>1</v>
      </c>
      <c r="DNV19">
        <v>1</v>
      </c>
      <c r="DNW19">
        <v>1</v>
      </c>
      <c r="DON19">
        <v>1</v>
      </c>
      <c r="DPT19">
        <v>1</v>
      </c>
      <c r="DQB19">
        <v>1</v>
      </c>
      <c r="DQF19">
        <v>1</v>
      </c>
      <c r="DRG19">
        <v>1</v>
      </c>
      <c r="DRP19">
        <v>1</v>
      </c>
      <c r="DSA19">
        <v>1</v>
      </c>
      <c r="DSB19">
        <v>1</v>
      </c>
      <c r="DSP19">
        <v>1</v>
      </c>
      <c r="DSR19">
        <v>1</v>
      </c>
      <c r="DSY19">
        <v>1</v>
      </c>
      <c r="DSZ19">
        <v>1</v>
      </c>
      <c r="DTA19">
        <v>1</v>
      </c>
      <c r="DTM19">
        <v>1</v>
      </c>
      <c r="DUO19">
        <v>1</v>
      </c>
      <c r="DUT19">
        <v>1</v>
      </c>
      <c r="DVN19">
        <v>1</v>
      </c>
      <c r="DVO19">
        <v>1</v>
      </c>
      <c r="DWM19">
        <v>1</v>
      </c>
      <c r="DWP19">
        <v>1</v>
      </c>
      <c r="DWQ19">
        <v>1</v>
      </c>
      <c r="DWV19">
        <v>1</v>
      </c>
      <c r="DWY19">
        <v>1</v>
      </c>
      <c r="DXA19">
        <v>1</v>
      </c>
      <c r="DXB19">
        <v>1</v>
      </c>
      <c r="DXI19">
        <v>1</v>
      </c>
      <c r="DXL19">
        <v>1</v>
      </c>
      <c r="DXT19">
        <v>1</v>
      </c>
      <c r="DYB19">
        <v>1</v>
      </c>
      <c r="DYD19">
        <v>1</v>
      </c>
      <c r="DYG19">
        <v>1</v>
      </c>
      <c r="DYH19">
        <v>1</v>
      </c>
      <c r="DYI19">
        <v>1</v>
      </c>
      <c r="DYK19">
        <v>1</v>
      </c>
      <c r="DYP19">
        <v>1</v>
      </c>
      <c r="DYU19">
        <v>1</v>
      </c>
      <c r="DZF19">
        <v>1</v>
      </c>
      <c r="DZH19">
        <v>1</v>
      </c>
      <c r="DZL19">
        <v>1</v>
      </c>
      <c r="DZT19">
        <v>1</v>
      </c>
      <c r="EAA19">
        <v>1</v>
      </c>
      <c r="EAB19">
        <v>1</v>
      </c>
      <c r="EAH19">
        <v>1</v>
      </c>
      <c r="EAJ19">
        <v>1</v>
      </c>
      <c r="EAL19">
        <v>1</v>
      </c>
      <c r="EAM19">
        <v>1</v>
      </c>
      <c r="EAO19">
        <v>1</v>
      </c>
      <c r="EAP19">
        <v>1</v>
      </c>
      <c r="EBH19">
        <v>1</v>
      </c>
      <c r="EDG19">
        <f>SUMPRODUCT(Constraint_13,Decision_variables)</f>
        <v>1</v>
      </c>
      <c r="EDH19" t="s">
        <v>5264</v>
      </c>
      <c r="EDI19">
        <v>1</v>
      </c>
    </row>
    <row r="20" spans="2:3493" x14ac:dyDescent="0.3">
      <c r="B20" t="s">
        <v>3505</v>
      </c>
      <c r="CH20">
        <v>1</v>
      </c>
      <c r="FG20">
        <v>1</v>
      </c>
      <c r="HY20">
        <v>1</v>
      </c>
      <c r="JW20">
        <v>1</v>
      </c>
      <c r="ABM20">
        <v>1</v>
      </c>
      <c r="AFQ20">
        <v>1</v>
      </c>
      <c r="AGA20">
        <v>1</v>
      </c>
      <c r="AIX20">
        <v>1</v>
      </c>
      <c r="AJY20">
        <v>1</v>
      </c>
      <c r="AKE20">
        <v>1</v>
      </c>
      <c r="AKU20">
        <v>1</v>
      </c>
      <c r="ALT20">
        <v>1</v>
      </c>
      <c r="AND20">
        <v>1</v>
      </c>
      <c r="APD20">
        <v>1</v>
      </c>
      <c r="APE20">
        <v>1</v>
      </c>
      <c r="AQC20">
        <v>1</v>
      </c>
      <c r="AQE20">
        <v>1</v>
      </c>
      <c r="ARU20">
        <v>1</v>
      </c>
      <c r="ARZ20">
        <v>1</v>
      </c>
      <c r="ASJ20">
        <v>1</v>
      </c>
      <c r="ATA20">
        <v>1</v>
      </c>
      <c r="AUE20">
        <v>1</v>
      </c>
      <c r="AUZ20">
        <v>1</v>
      </c>
      <c r="AVW20">
        <v>1</v>
      </c>
      <c r="AWO20">
        <v>1</v>
      </c>
      <c r="BAN20">
        <v>1</v>
      </c>
      <c r="BDL20">
        <v>1</v>
      </c>
      <c r="BFQ20">
        <v>1</v>
      </c>
      <c r="BHQ20">
        <v>1</v>
      </c>
      <c r="BIF20">
        <v>1</v>
      </c>
      <c r="BJE20">
        <v>1</v>
      </c>
      <c r="BMW20">
        <v>1</v>
      </c>
      <c r="BQH20">
        <v>1</v>
      </c>
      <c r="BTG20">
        <v>1</v>
      </c>
      <c r="BVY20">
        <v>1</v>
      </c>
      <c r="BXW20">
        <v>1</v>
      </c>
      <c r="CPM20">
        <v>1</v>
      </c>
      <c r="CTQ20">
        <v>1</v>
      </c>
      <c r="CUA20">
        <v>1</v>
      </c>
      <c r="CWX20">
        <v>1</v>
      </c>
      <c r="CXY20">
        <v>1</v>
      </c>
      <c r="CYE20">
        <v>1</v>
      </c>
      <c r="CYU20">
        <v>1</v>
      </c>
      <c r="CZT20">
        <v>1</v>
      </c>
      <c r="DBD20">
        <v>1</v>
      </c>
      <c r="DDD20">
        <v>1</v>
      </c>
      <c r="DDE20">
        <v>1</v>
      </c>
      <c r="DEC20">
        <v>1</v>
      </c>
      <c r="DEE20">
        <v>1</v>
      </c>
      <c r="DFU20">
        <v>1</v>
      </c>
      <c r="DFZ20">
        <v>1</v>
      </c>
      <c r="DGJ20">
        <v>1</v>
      </c>
      <c r="DHA20">
        <v>1</v>
      </c>
      <c r="DIE20">
        <v>1</v>
      </c>
      <c r="DIZ20">
        <v>1</v>
      </c>
      <c r="DJW20">
        <v>1</v>
      </c>
      <c r="DKO20">
        <v>1</v>
      </c>
      <c r="DON20">
        <v>1</v>
      </c>
      <c r="DRL20">
        <v>1</v>
      </c>
      <c r="DTQ20">
        <v>1</v>
      </c>
      <c r="DVQ20">
        <v>1</v>
      </c>
      <c r="DWF20">
        <v>1</v>
      </c>
      <c r="DXE20">
        <v>1</v>
      </c>
      <c r="EAW20">
        <v>1</v>
      </c>
      <c r="EBI20">
        <v>1</v>
      </c>
      <c r="EDG20">
        <f>SUMPRODUCT(Constraint_14,Decision_variables)</f>
        <v>1</v>
      </c>
      <c r="EDH20" t="s">
        <v>5264</v>
      </c>
      <c r="EDI20">
        <v>1</v>
      </c>
    </row>
    <row r="21" spans="2:3493" x14ac:dyDescent="0.3">
      <c r="B21" t="s">
        <v>3506</v>
      </c>
      <c r="AG21">
        <v>1</v>
      </c>
      <c r="CD21">
        <v>1</v>
      </c>
      <c r="DB21">
        <v>1</v>
      </c>
      <c r="EI21">
        <v>1</v>
      </c>
      <c r="IM21">
        <v>1</v>
      </c>
      <c r="NP21">
        <v>1</v>
      </c>
      <c r="NY21">
        <v>1</v>
      </c>
      <c r="OC21">
        <v>1</v>
      </c>
      <c r="OH21">
        <v>1</v>
      </c>
      <c r="PI21">
        <v>1</v>
      </c>
      <c r="QC21">
        <v>1</v>
      </c>
      <c r="RC21">
        <v>1</v>
      </c>
      <c r="SO21">
        <v>1</v>
      </c>
      <c r="WD21">
        <v>1</v>
      </c>
      <c r="WX21">
        <v>1</v>
      </c>
      <c r="XB21">
        <v>1</v>
      </c>
      <c r="XC21">
        <v>1</v>
      </c>
      <c r="XF21">
        <v>1</v>
      </c>
      <c r="XP21">
        <v>1</v>
      </c>
      <c r="ABK21">
        <v>1</v>
      </c>
      <c r="ADC21">
        <v>1</v>
      </c>
      <c r="ADG21">
        <v>1</v>
      </c>
      <c r="AER21">
        <v>1</v>
      </c>
      <c r="AFK21">
        <v>1</v>
      </c>
      <c r="AHG21">
        <v>1</v>
      </c>
      <c r="AHP21">
        <v>1</v>
      </c>
      <c r="AKZ21">
        <v>1</v>
      </c>
      <c r="ALJ21">
        <v>1</v>
      </c>
      <c r="AMB21">
        <v>1</v>
      </c>
      <c r="ANM21">
        <v>1</v>
      </c>
      <c r="AOI21">
        <v>1</v>
      </c>
      <c r="AOK21">
        <v>1</v>
      </c>
      <c r="APB21">
        <v>1</v>
      </c>
      <c r="APD21">
        <v>1</v>
      </c>
      <c r="APE21">
        <v>1</v>
      </c>
      <c r="APG21">
        <v>1</v>
      </c>
      <c r="APM21">
        <v>1</v>
      </c>
      <c r="AQU21">
        <v>1</v>
      </c>
      <c r="ASG21">
        <v>1</v>
      </c>
      <c r="ASV21">
        <v>1</v>
      </c>
      <c r="AVL21">
        <v>1</v>
      </c>
      <c r="AWT21">
        <v>1</v>
      </c>
      <c r="AZB21">
        <v>1</v>
      </c>
      <c r="AZH21">
        <v>1</v>
      </c>
      <c r="BAL21">
        <v>1</v>
      </c>
      <c r="BAT21">
        <v>1</v>
      </c>
      <c r="BBU21">
        <v>1</v>
      </c>
      <c r="BCX21">
        <v>1</v>
      </c>
      <c r="BEC21">
        <v>1</v>
      </c>
      <c r="BFL21">
        <v>1</v>
      </c>
      <c r="BFR21">
        <v>1</v>
      </c>
      <c r="BLF21">
        <v>1</v>
      </c>
      <c r="BOG21">
        <v>1</v>
      </c>
      <c r="BQD21">
        <v>1</v>
      </c>
      <c r="BRB21">
        <v>1</v>
      </c>
      <c r="BSI21">
        <v>1</v>
      </c>
      <c r="BWM21">
        <v>1</v>
      </c>
      <c r="CBP21">
        <v>1</v>
      </c>
      <c r="CBY21">
        <v>1</v>
      </c>
      <c r="CCC21">
        <v>1</v>
      </c>
      <c r="CCH21">
        <v>1</v>
      </c>
      <c r="CDI21">
        <v>1</v>
      </c>
      <c r="CEC21">
        <v>1</v>
      </c>
      <c r="CFC21">
        <v>1</v>
      </c>
      <c r="CGO21">
        <v>1</v>
      </c>
      <c r="CKD21">
        <v>1</v>
      </c>
      <c r="CKX21">
        <v>1</v>
      </c>
      <c r="CLB21">
        <v>1</v>
      </c>
      <c r="CLC21">
        <v>1</v>
      </c>
      <c r="CLF21">
        <v>1</v>
      </c>
      <c r="CLP21">
        <v>1</v>
      </c>
      <c r="CPK21">
        <v>1</v>
      </c>
      <c r="CRC21">
        <v>1</v>
      </c>
      <c r="CRG21">
        <v>1</v>
      </c>
      <c r="CSR21">
        <v>1</v>
      </c>
      <c r="CTK21">
        <v>1</v>
      </c>
      <c r="CVG21">
        <v>1</v>
      </c>
      <c r="CVP21">
        <v>1</v>
      </c>
      <c r="CYZ21">
        <v>1</v>
      </c>
      <c r="CZJ21">
        <v>1</v>
      </c>
      <c r="DAB21">
        <v>1</v>
      </c>
      <c r="DBM21">
        <v>1</v>
      </c>
      <c r="DCI21">
        <v>1</v>
      </c>
      <c r="DCK21">
        <v>1</v>
      </c>
      <c r="DDB21">
        <v>1</v>
      </c>
      <c r="DDD21">
        <v>1</v>
      </c>
      <c r="DDE21">
        <v>1</v>
      </c>
      <c r="DDG21">
        <v>1</v>
      </c>
      <c r="DDM21">
        <v>1</v>
      </c>
      <c r="DEU21">
        <v>1</v>
      </c>
      <c r="DGG21">
        <v>1</v>
      </c>
      <c r="DGV21">
        <v>1</v>
      </c>
      <c r="DJL21">
        <v>1</v>
      </c>
      <c r="DKT21">
        <v>1</v>
      </c>
      <c r="DNB21">
        <v>1</v>
      </c>
      <c r="DNH21">
        <v>1</v>
      </c>
      <c r="DOL21">
        <v>1</v>
      </c>
      <c r="DOT21">
        <v>1</v>
      </c>
      <c r="DPU21">
        <v>1</v>
      </c>
      <c r="DQX21">
        <v>1</v>
      </c>
      <c r="DSC21">
        <v>1</v>
      </c>
      <c r="DTL21">
        <v>1</v>
      </c>
      <c r="DTR21">
        <v>1</v>
      </c>
      <c r="DZF21">
        <v>1</v>
      </c>
      <c r="EBJ21">
        <v>1</v>
      </c>
      <c r="EDG21">
        <f>SUMPRODUCT(Constraint_15,Decision_variables)</f>
        <v>1</v>
      </c>
      <c r="EDH21" t="s">
        <v>5264</v>
      </c>
      <c r="EDI21">
        <v>1</v>
      </c>
    </row>
    <row r="22" spans="2:3493" x14ac:dyDescent="0.3">
      <c r="B22" t="s">
        <v>3507</v>
      </c>
      <c r="BW22">
        <v>1</v>
      </c>
      <c r="ES22">
        <v>1</v>
      </c>
      <c r="GT22">
        <v>1</v>
      </c>
      <c r="MB22">
        <v>1</v>
      </c>
      <c r="SH22">
        <v>1</v>
      </c>
      <c r="SU22">
        <v>1</v>
      </c>
      <c r="VE22">
        <v>1</v>
      </c>
      <c r="ZV22">
        <v>1</v>
      </c>
      <c r="ZY22">
        <v>1</v>
      </c>
      <c r="AAU22">
        <v>1</v>
      </c>
      <c r="ACL22">
        <v>1</v>
      </c>
      <c r="ADO22">
        <v>1</v>
      </c>
      <c r="AFB22">
        <v>1</v>
      </c>
      <c r="AFZ22">
        <v>1</v>
      </c>
      <c r="AGI22">
        <v>1</v>
      </c>
      <c r="AGT22">
        <v>1</v>
      </c>
      <c r="AIG22">
        <v>1</v>
      </c>
      <c r="AJU22">
        <v>1</v>
      </c>
      <c r="ALW22">
        <v>1</v>
      </c>
      <c r="ALX22">
        <v>1</v>
      </c>
      <c r="AWQ22">
        <v>1</v>
      </c>
      <c r="AZT22">
        <v>1</v>
      </c>
      <c r="BAI22">
        <v>1</v>
      </c>
      <c r="BDQ22">
        <v>1</v>
      </c>
      <c r="BEW22">
        <v>1</v>
      </c>
      <c r="BFD22">
        <v>1</v>
      </c>
      <c r="BFG22">
        <v>1</v>
      </c>
      <c r="BGB22">
        <v>1</v>
      </c>
      <c r="BHA22">
        <v>1</v>
      </c>
      <c r="BIZ22">
        <v>1</v>
      </c>
      <c r="BLP22">
        <v>1</v>
      </c>
      <c r="BPW22">
        <v>1</v>
      </c>
      <c r="BSS22">
        <v>1</v>
      </c>
      <c r="BUT22">
        <v>1</v>
      </c>
      <c r="CAB22">
        <v>1</v>
      </c>
      <c r="CGH22">
        <v>1</v>
      </c>
      <c r="CGU22">
        <v>1</v>
      </c>
      <c r="CJE22">
        <v>1</v>
      </c>
      <c r="CNV22">
        <v>1</v>
      </c>
      <c r="CNY22">
        <v>1</v>
      </c>
      <c r="COU22">
        <v>1</v>
      </c>
      <c r="CQL22">
        <v>1</v>
      </c>
      <c r="CRO22">
        <v>1</v>
      </c>
      <c r="CTB22">
        <v>1</v>
      </c>
      <c r="CTZ22">
        <v>1</v>
      </c>
      <c r="CUI22">
        <v>1</v>
      </c>
      <c r="CUT22">
        <v>1</v>
      </c>
      <c r="CWG22">
        <v>1</v>
      </c>
      <c r="CXU22">
        <v>1</v>
      </c>
      <c r="CZW22">
        <v>1</v>
      </c>
      <c r="CZX22">
        <v>1</v>
      </c>
      <c r="DKQ22">
        <v>1</v>
      </c>
      <c r="DNT22">
        <v>1</v>
      </c>
      <c r="DOI22">
        <v>1</v>
      </c>
      <c r="DRQ22">
        <v>1</v>
      </c>
      <c r="DSW22">
        <v>1</v>
      </c>
      <c r="DTD22">
        <v>1</v>
      </c>
      <c r="DTG22">
        <v>1</v>
      </c>
      <c r="DUB22">
        <v>1</v>
      </c>
      <c r="DVA22">
        <v>1</v>
      </c>
      <c r="DWZ22">
        <v>1</v>
      </c>
      <c r="DZP22">
        <v>1</v>
      </c>
      <c r="EBK22">
        <v>1</v>
      </c>
      <c r="EDG22">
        <f>SUMPRODUCT(Constraint_16,Decision_variables)</f>
        <v>1</v>
      </c>
      <c r="EDH22" t="s">
        <v>5264</v>
      </c>
      <c r="EDI22">
        <v>1</v>
      </c>
    </row>
    <row r="23" spans="2:3493" x14ac:dyDescent="0.3">
      <c r="B23" t="s">
        <v>3508</v>
      </c>
      <c r="BS23">
        <v>1</v>
      </c>
      <c r="HC23">
        <v>1</v>
      </c>
      <c r="UX23">
        <v>1</v>
      </c>
      <c r="YN23">
        <v>1</v>
      </c>
      <c r="ACJ23">
        <v>1</v>
      </c>
      <c r="ADF23">
        <v>1</v>
      </c>
      <c r="AGF23">
        <v>1</v>
      </c>
      <c r="AGJ23">
        <v>1</v>
      </c>
      <c r="AGO23">
        <v>1</v>
      </c>
      <c r="AGZ23">
        <v>1</v>
      </c>
      <c r="AHP23">
        <v>1</v>
      </c>
      <c r="AIY23">
        <v>1</v>
      </c>
      <c r="ALP23">
        <v>1</v>
      </c>
      <c r="ALV23">
        <v>1</v>
      </c>
      <c r="AMP23">
        <v>1</v>
      </c>
      <c r="ANS23">
        <v>1</v>
      </c>
      <c r="AOU23">
        <v>1</v>
      </c>
      <c r="AOZ23">
        <v>1</v>
      </c>
      <c r="AQD23">
        <v>1</v>
      </c>
      <c r="AQS23">
        <v>1</v>
      </c>
      <c r="AQX23">
        <v>1</v>
      </c>
      <c r="ASO23">
        <v>1</v>
      </c>
      <c r="AZI23">
        <v>1</v>
      </c>
      <c r="BAF23">
        <v>1</v>
      </c>
      <c r="BBG23">
        <v>1</v>
      </c>
      <c r="BDC23">
        <v>1</v>
      </c>
      <c r="BDP23">
        <v>1</v>
      </c>
      <c r="BJC23">
        <v>1</v>
      </c>
      <c r="BJI23">
        <v>1</v>
      </c>
      <c r="BKX23">
        <v>1</v>
      </c>
      <c r="BMS23">
        <v>1</v>
      </c>
      <c r="BMV23">
        <v>1</v>
      </c>
      <c r="BPS23">
        <v>1</v>
      </c>
      <c r="BVC23">
        <v>1</v>
      </c>
      <c r="CIX23">
        <v>1</v>
      </c>
      <c r="CMN23">
        <v>1</v>
      </c>
      <c r="CQJ23">
        <v>1</v>
      </c>
      <c r="CRF23">
        <v>1</v>
      </c>
      <c r="CUF23">
        <v>1</v>
      </c>
      <c r="CUJ23">
        <v>1</v>
      </c>
      <c r="CUO23">
        <v>1</v>
      </c>
      <c r="CUZ23">
        <v>1</v>
      </c>
      <c r="CVP23">
        <v>1</v>
      </c>
      <c r="CWY23">
        <v>1</v>
      </c>
      <c r="CZP23">
        <v>1</v>
      </c>
      <c r="CZV23">
        <v>1</v>
      </c>
      <c r="DAP23">
        <v>1</v>
      </c>
      <c r="DBS23">
        <v>1</v>
      </c>
      <c r="DCU23">
        <v>1</v>
      </c>
      <c r="DCZ23">
        <v>1</v>
      </c>
      <c r="DED23">
        <v>1</v>
      </c>
      <c r="DES23">
        <v>1</v>
      </c>
      <c r="DEX23">
        <v>1</v>
      </c>
      <c r="DGO23">
        <v>1</v>
      </c>
      <c r="DNI23">
        <v>1</v>
      </c>
      <c r="DOF23">
        <v>1</v>
      </c>
      <c r="DPG23">
        <v>1</v>
      </c>
      <c r="DRC23">
        <v>1</v>
      </c>
      <c r="DRP23">
        <v>1</v>
      </c>
      <c r="DXC23">
        <v>1</v>
      </c>
      <c r="DXI23">
        <v>1</v>
      </c>
      <c r="DYX23">
        <v>1</v>
      </c>
      <c r="EAS23">
        <v>1</v>
      </c>
      <c r="EAV23">
        <v>1</v>
      </c>
      <c r="EBL23">
        <v>1</v>
      </c>
      <c r="EDG23">
        <f>SUMPRODUCT(Constraint_17,Decision_variables)</f>
        <v>1</v>
      </c>
      <c r="EDH23" t="s">
        <v>5264</v>
      </c>
      <c r="EDI23">
        <v>1</v>
      </c>
    </row>
    <row r="24" spans="2:3493" x14ac:dyDescent="0.3">
      <c r="B24" t="s">
        <v>3509</v>
      </c>
      <c r="AH24">
        <v>1</v>
      </c>
      <c r="HQ24">
        <v>1</v>
      </c>
      <c r="JH24">
        <v>1</v>
      </c>
      <c r="OC24">
        <v>1</v>
      </c>
      <c r="YF24">
        <v>1</v>
      </c>
      <c r="ZB24">
        <v>1</v>
      </c>
      <c r="ZN24">
        <v>1</v>
      </c>
      <c r="ADT24">
        <v>1</v>
      </c>
      <c r="AFL24">
        <v>1</v>
      </c>
      <c r="AFP24">
        <v>1</v>
      </c>
      <c r="AGJ24">
        <v>1</v>
      </c>
      <c r="AHQ24">
        <v>1</v>
      </c>
      <c r="AMC24">
        <v>1</v>
      </c>
      <c r="ANH24">
        <v>1</v>
      </c>
      <c r="AOG24">
        <v>1</v>
      </c>
      <c r="AOO24">
        <v>1</v>
      </c>
      <c r="AOP24">
        <v>1</v>
      </c>
      <c r="APY24">
        <v>1</v>
      </c>
      <c r="AQE24">
        <v>1</v>
      </c>
      <c r="AQL24">
        <v>1</v>
      </c>
      <c r="ASN24">
        <v>1</v>
      </c>
      <c r="ATG24">
        <v>1</v>
      </c>
      <c r="ATT24">
        <v>1</v>
      </c>
      <c r="AWF24">
        <v>1</v>
      </c>
      <c r="AWT24">
        <v>1</v>
      </c>
      <c r="AXH24">
        <v>1</v>
      </c>
      <c r="AXV24">
        <v>1</v>
      </c>
      <c r="AXX24">
        <v>1</v>
      </c>
      <c r="AYV24">
        <v>1</v>
      </c>
      <c r="AZC24">
        <v>1</v>
      </c>
      <c r="AZH24">
        <v>1</v>
      </c>
      <c r="AZT24">
        <v>1</v>
      </c>
      <c r="BBL24">
        <v>1</v>
      </c>
      <c r="BCL24">
        <v>1</v>
      </c>
      <c r="BFB24">
        <v>1</v>
      </c>
      <c r="BFR24">
        <v>1</v>
      </c>
      <c r="BGP24">
        <v>1</v>
      </c>
      <c r="BIC24">
        <v>1</v>
      </c>
      <c r="BIS24">
        <v>1</v>
      </c>
      <c r="BJV24">
        <v>1</v>
      </c>
      <c r="BKQ24">
        <v>1</v>
      </c>
      <c r="BKS24">
        <v>1</v>
      </c>
      <c r="BKZ24">
        <v>1</v>
      </c>
      <c r="BLN24">
        <v>1</v>
      </c>
      <c r="BLU24">
        <v>1</v>
      </c>
      <c r="BME24">
        <v>1</v>
      </c>
      <c r="BMZ24">
        <v>1</v>
      </c>
      <c r="BNB24">
        <v>1</v>
      </c>
      <c r="BOH24">
        <v>1</v>
      </c>
      <c r="BVQ24">
        <v>1</v>
      </c>
      <c r="BXH24">
        <v>1</v>
      </c>
      <c r="CCC24">
        <v>1</v>
      </c>
      <c r="CMF24">
        <v>1</v>
      </c>
      <c r="CNB24">
        <v>1</v>
      </c>
      <c r="CNN24">
        <v>1</v>
      </c>
      <c r="CRT24">
        <v>1</v>
      </c>
      <c r="CTL24">
        <v>1</v>
      </c>
      <c r="CTP24">
        <v>1</v>
      </c>
      <c r="CUJ24">
        <v>1</v>
      </c>
      <c r="CVQ24">
        <v>1</v>
      </c>
      <c r="DAC24">
        <v>1</v>
      </c>
      <c r="DBH24">
        <v>1</v>
      </c>
      <c r="DCG24">
        <v>1</v>
      </c>
      <c r="DCO24">
        <v>1</v>
      </c>
      <c r="DCP24">
        <v>1</v>
      </c>
      <c r="DDY24">
        <v>1</v>
      </c>
      <c r="DEE24">
        <v>1</v>
      </c>
      <c r="DEL24">
        <v>1</v>
      </c>
      <c r="DGN24">
        <v>1</v>
      </c>
      <c r="DHG24">
        <v>1</v>
      </c>
      <c r="DHT24">
        <v>1</v>
      </c>
      <c r="DKF24">
        <v>1</v>
      </c>
      <c r="DKT24">
        <v>1</v>
      </c>
      <c r="DLH24">
        <v>1</v>
      </c>
      <c r="DLV24">
        <v>1</v>
      </c>
      <c r="DLX24">
        <v>1</v>
      </c>
      <c r="DMV24">
        <v>1</v>
      </c>
      <c r="DNC24">
        <v>1</v>
      </c>
      <c r="DNH24">
        <v>1</v>
      </c>
      <c r="DNT24">
        <v>1</v>
      </c>
      <c r="DPL24">
        <v>1</v>
      </c>
      <c r="DQL24">
        <v>1</v>
      </c>
      <c r="DTB24">
        <v>1</v>
      </c>
      <c r="DTR24">
        <v>1</v>
      </c>
      <c r="DUP24">
        <v>1</v>
      </c>
      <c r="DWC24">
        <v>1</v>
      </c>
      <c r="DWS24">
        <v>1</v>
      </c>
      <c r="DXV24">
        <v>1</v>
      </c>
      <c r="DYQ24">
        <v>1</v>
      </c>
      <c r="DYS24">
        <v>1</v>
      </c>
      <c r="DYZ24">
        <v>1</v>
      </c>
      <c r="DZN24">
        <v>1</v>
      </c>
      <c r="DZU24">
        <v>1</v>
      </c>
      <c r="EAE24">
        <v>1</v>
      </c>
      <c r="EAZ24">
        <v>1</v>
      </c>
      <c r="EBB24">
        <v>1</v>
      </c>
      <c r="EBM24">
        <v>1</v>
      </c>
      <c r="EDG24">
        <f>SUMPRODUCT(Constraint_18,Decision_variables)</f>
        <v>1</v>
      </c>
      <c r="EDH24" t="s">
        <v>5264</v>
      </c>
      <c r="EDI24">
        <v>1</v>
      </c>
    </row>
    <row r="25" spans="2:3493" x14ac:dyDescent="0.3">
      <c r="B25" t="s">
        <v>3510</v>
      </c>
      <c r="AX25">
        <v>1</v>
      </c>
      <c r="FA25">
        <v>1</v>
      </c>
      <c r="FL25">
        <v>1</v>
      </c>
      <c r="FT25">
        <v>1</v>
      </c>
      <c r="MI25">
        <v>1</v>
      </c>
      <c r="OS25">
        <v>1</v>
      </c>
      <c r="PJ25">
        <v>1</v>
      </c>
      <c r="PW25">
        <v>1</v>
      </c>
      <c r="QE25">
        <v>1</v>
      </c>
      <c r="QJ25">
        <v>1</v>
      </c>
      <c r="RF25">
        <v>1</v>
      </c>
      <c r="RL25">
        <v>1</v>
      </c>
      <c r="RN25">
        <v>1</v>
      </c>
      <c r="TC25">
        <v>1</v>
      </c>
      <c r="TJ25">
        <v>1</v>
      </c>
      <c r="TQ25">
        <v>1</v>
      </c>
      <c r="UM25">
        <v>1</v>
      </c>
      <c r="US25">
        <v>1</v>
      </c>
      <c r="VT25">
        <v>1</v>
      </c>
      <c r="VU25">
        <v>1</v>
      </c>
      <c r="WY25">
        <v>1</v>
      </c>
      <c r="XQ25">
        <v>1</v>
      </c>
      <c r="AAI25">
        <v>1</v>
      </c>
      <c r="ADC25">
        <v>1</v>
      </c>
      <c r="ADR25">
        <v>1</v>
      </c>
      <c r="AEW25">
        <v>1</v>
      </c>
      <c r="AFK25">
        <v>1</v>
      </c>
      <c r="AFL25">
        <v>1</v>
      </c>
      <c r="AJV25">
        <v>1</v>
      </c>
      <c r="AKK25">
        <v>1</v>
      </c>
      <c r="APH25">
        <v>1</v>
      </c>
      <c r="ARA25">
        <v>1</v>
      </c>
      <c r="ARC25">
        <v>1</v>
      </c>
      <c r="AWB25">
        <v>1</v>
      </c>
      <c r="AYW25">
        <v>1</v>
      </c>
      <c r="BAS25">
        <v>1</v>
      </c>
      <c r="BCR25">
        <v>1</v>
      </c>
      <c r="BDC25">
        <v>1</v>
      </c>
      <c r="BDH25">
        <v>1</v>
      </c>
      <c r="BGY25">
        <v>1</v>
      </c>
      <c r="BHZ25">
        <v>1</v>
      </c>
      <c r="BIQ25">
        <v>1</v>
      </c>
      <c r="BIV25">
        <v>1</v>
      </c>
      <c r="BKW25">
        <v>1</v>
      </c>
      <c r="BLC25">
        <v>1</v>
      </c>
      <c r="BLZ25">
        <v>1</v>
      </c>
      <c r="BMF25">
        <v>1</v>
      </c>
      <c r="BOX25">
        <v>1</v>
      </c>
      <c r="BTA25">
        <v>1</v>
      </c>
      <c r="BTL25">
        <v>1</v>
      </c>
      <c r="BTT25">
        <v>1</v>
      </c>
      <c r="CAI25">
        <v>1</v>
      </c>
      <c r="CCS25">
        <v>1</v>
      </c>
      <c r="CDJ25">
        <v>1</v>
      </c>
      <c r="CDW25">
        <v>1</v>
      </c>
      <c r="CEE25">
        <v>1</v>
      </c>
      <c r="CEJ25">
        <v>1</v>
      </c>
      <c r="CFF25">
        <v>1</v>
      </c>
      <c r="CFL25">
        <v>1</v>
      </c>
      <c r="CFN25">
        <v>1</v>
      </c>
      <c r="CHC25">
        <v>1</v>
      </c>
      <c r="CHJ25">
        <v>1</v>
      </c>
      <c r="CHQ25">
        <v>1</v>
      </c>
      <c r="CIM25">
        <v>1</v>
      </c>
      <c r="CIS25">
        <v>1</v>
      </c>
      <c r="CJT25">
        <v>1</v>
      </c>
      <c r="CJU25">
        <v>1</v>
      </c>
      <c r="CKY25">
        <v>1</v>
      </c>
      <c r="CLQ25">
        <v>1</v>
      </c>
      <c r="COI25">
        <v>1</v>
      </c>
      <c r="CRC25">
        <v>1</v>
      </c>
      <c r="CRR25">
        <v>1</v>
      </c>
      <c r="CSW25">
        <v>1</v>
      </c>
      <c r="CTK25">
        <v>1</v>
      </c>
      <c r="CTL25">
        <v>1</v>
      </c>
      <c r="CXV25">
        <v>1</v>
      </c>
      <c r="CYK25">
        <v>1</v>
      </c>
      <c r="DDH25">
        <v>1</v>
      </c>
      <c r="DFA25">
        <v>1</v>
      </c>
      <c r="DFC25">
        <v>1</v>
      </c>
      <c r="DKB25">
        <v>1</v>
      </c>
      <c r="DMW25">
        <v>1</v>
      </c>
      <c r="DOS25">
        <v>1</v>
      </c>
      <c r="DQR25">
        <v>1</v>
      </c>
      <c r="DRC25">
        <v>1</v>
      </c>
      <c r="DRH25">
        <v>1</v>
      </c>
      <c r="DUY25">
        <v>1</v>
      </c>
      <c r="DVZ25">
        <v>1</v>
      </c>
      <c r="DWQ25">
        <v>1</v>
      </c>
      <c r="DWV25">
        <v>1</v>
      </c>
      <c r="DYW25">
        <v>1</v>
      </c>
      <c r="DZC25">
        <v>1</v>
      </c>
      <c r="DZZ25">
        <v>1</v>
      </c>
      <c r="EAF25">
        <v>1</v>
      </c>
      <c r="EBN25">
        <v>1</v>
      </c>
      <c r="EDG25">
        <f>SUMPRODUCT(Constraint_19,Decision_variables)</f>
        <v>1</v>
      </c>
      <c r="EDH25" t="s">
        <v>5264</v>
      </c>
      <c r="EDI25">
        <v>1</v>
      </c>
    </row>
    <row r="26" spans="2:3493" x14ac:dyDescent="0.3">
      <c r="B26" t="s">
        <v>3511</v>
      </c>
      <c r="Q26">
        <v>1</v>
      </c>
      <c r="AP26">
        <v>1</v>
      </c>
      <c r="AR26">
        <v>1</v>
      </c>
      <c r="BH26">
        <v>1</v>
      </c>
      <c r="CJ26">
        <v>1</v>
      </c>
      <c r="CK26">
        <v>1</v>
      </c>
      <c r="DI26">
        <v>1</v>
      </c>
      <c r="EY26">
        <v>1</v>
      </c>
      <c r="FH26">
        <v>1</v>
      </c>
      <c r="FJ26">
        <v>1</v>
      </c>
      <c r="FK26">
        <v>1</v>
      </c>
      <c r="FX26">
        <v>1</v>
      </c>
      <c r="GO26">
        <v>1</v>
      </c>
      <c r="GP26">
        <v>1</v>
      </c>
      <c r="HS26">
        <v>1</v>
      </c>
      <c r="HU26">
        <v>1</v>
      </c>
      <c r="HX26">
        <v>1</v>
      </c>
      <c r="IH26">
        <v>1</v>
      </c>
      <c r="IP26">
        <v>1</v>
      </c>
      <c r="IT26">
        <v>1</v>
      </c>
      <c r="IV26">
        <v>1</v>
      </c>
      <c r="IW26">
        <v>1</v>
      </c>
      <c r="JB26">
        <v>1</v>
      </c>
      <c r="JS26">
        <v>1</v>
      </c>
      <c r="KV26">
        <v>1</v>
      </c>
      <c r="KZ26">
        <v>1</v>
      </c>
      <c r="LA26">
        <v>1</v>
      </c>
      <c r="LH26">
        <v>1</v>
      </c>
      <c r="LI26">
        <v>1</v>
      </c>
      <c r="LP26">
        <v>1</v>
      </c>
      <c r="LR26">
        <v>1</v>
      </c>
      <c r="LU26">
        <v>1</v>
      </c>
      <c r="MC26">
        <v>1</v>
      </c>
      <c r="MD26">
        <v>1</v>
      </c>
      <c r="NB26">
        <v>1</v>
      </c>
      <c r="NH26">
        <v>1</v>
      </c>
      <c r="NV26">
        <v>1</v>
      </c>
      <c r="OF26">
        <v>1</v>
      </c>
      <c r="OI26">
        <v>1</v>
      </c>
      <c r="PZ26">
        <v>1</v>
      </c>
      <c r="QG26">
        <v>1</v>
      </c>
      <c r="RQ26">
        <v>1</v>
      </c>
      <c r="RR26">
        <v>1</v>
      </c>
      <c r="TE26">
        <v>1</v>
      </c>
      <c r="TX26">
        <v>1</v>
      </c>
      <c r="TY26">
        <v>1</v>
      </c>
      <c r="UA26">
        <v>1</v>
      </c>
      <c r="UH26">
        <v>1</v>
      </c>
      <c r="VC26">
        <v>1</v>
      </c>
      <c r="VO26">
        <v>1</v>
      </c>
      <c r="VZ26">
        <v>1</v>
      </c>
      <c r="XN26">
        <v>1</v>
      </c>
      <c r="XV26">
        <v>1</v>
      </c>
      <c r="XX26">
        <v>1</v>
      </c>
      <c r="YQ26">
        <v>1</v>
      </c>
      <c r="ZF26">
        <v>1</v>
      </c>
      <c r="ZG26">
        <v>1</v>
      </c>
      <c r="ZM26">
        <v>1</v>
      </c>
      <c r="ZU26">
        <v>1</v>
      </c>
      <c r="ABI26">
        <v>1</v>
      </c>
      <c r="ACI26">
        <v>1</v>
      </c>
      <c r="ACK26">
        <v>1</v>
      </c>
      <c r="ACL26">
        <v>1</v>
      </c>
      <c r="ACQ26">
        <v>1</v>
      </c>
      <c r="ADA26">
        <v>1</v>
      </c>
      <c r="ADH26">
        <v>1</v>
      </c>
      <c r="AEE26">
        <v>1</v>
      </c>
      <c r="AFM26">
        <v>1</v>
      </c>
      <c r="AFO26">
        <v>1</v>
      </c>
      <c r="AGE26">
        <v>1</v>
      </c>
      <c r="AGN26">
        <v>1</v>
      </c>
      <c r="AGX26">
        <v>1</v>
      </c>
      <c r="AHE26">
        <v>1</v>
      </c>
      <c r="AHI26">
        <v>1</v>
      </c>
      <c r="ALH26">
        <v>1</v>
      </c>
      <c r="ALU26">
        <v>1</v>
      </c>
      <c r="AMK26">
        <v>1</v>
      </c>
      <c r="ANB26">
        <v>1</v>
      </c>
      <c r="ANV26">
        <v>1</v>
      </c>
      <c r="AOJ26">
        <v>1</v>
      </c>
      <c r="AOL26">
        <v>1</v>
      </c>
      <c r="AOX26">
        <v>1</v>
      </c>
      <c r="APJ26">
        <v>1</v>
      </c>
      <c r="APQ26">
        <v>1</v>
      </c>
      <c r="APY26">
        <v>1</v>
      </c>
      <c r="ARO26">
        <v>1</v>
      </c>
      <c r="ASD26">
        <v>1</v>
      </c>
      <c r="ATD26">
        <v>1</v>
      </c>
      <c r="ATE26">
        <v>1</v>
      </c>
      <c r="AUO26">
        <v>1</v>
      </c>
      <c r="AVG26">
        <v>1</v>
      </c>
      <c r="AVI26">
        <v>1</v>
      </c>
      <c r="AVV26">
        <v>1</v>
      </c>
      <c r="AVY26">
        <v>1</v>
      </c>
      <c r="AYB26">
        <v>1</v>
      </c>
      <c r="AYM26">
        <v>1</v>
      </c>
      <c r="AYN26">
        <v>1</v>
      </c>
      <c r="AYX26">
        <v>1</v>
      </c>
      <c r="AZG26">
        <v>1</v>
      </c>
      <c r="AZI26">
        <v>1</v>
      </c>
      <c r="AZO26">
        <v>1</v>
      </c>
      <c r="AZS26">
        <v>1</v>
      </c>
      <c r="BAP26">
        <v>1</v>
      </c>
      <c r="BAR26">
        <v>1</v>
      </c>
      <c r="BBX26">
        <v>1</v>
      </c>
      <c r="BFW26">
        <v>1</v>
      </c>
      <c r="BGA26">
        <v>1</v>
      </c>
      <c r="BGF26">
        <v>1</v>
      </c>
      <c r="BGH26">
        <v>1</v>
      </c>
      <c r="BGM26">
        <v>1</v>
      </c>
      <c r="BHL26">
        <v>1</v>
      </c>
      <c r="BKK26">
        <v>1</v>
      </c>
      <c r="BKM26">
        <v>1</v>
      </c>
      <c r="BKU26">
        <v>1</v>
      </c>
      <c r="BKZ26">
        <v>1</v>
      </c>
      <c r="BLE26">
        <v>1</v>
      </c>
      <c r="BLW26">
        <v>1</v>
      </c>
      <c r="BMB26">
        <v>1</v>
      </c>
      <c r="BNQ26">
        <v>1</v>
      </c>
      <c r="BOP26">
        <v>1</v>
      </c>
      <c r="BOR26">
        <v>1</v>
      </c>
      <c r="BPH26">
        <v>1</v>
      </c>
      <c r="BQJ26">
        <v>1</v>
      </c>
      <c r="BQK26">
        <v>1</v>
      </c>
      <c r="BRI26">
        <v>1</v>
      </c>
      <c r="BSY26">
        <v>1</v>
      </c>
      <c r="BTH26">
        <v>1</v>
      </c>
      <c r="BTJ26">
        <v>1</v>
      </c>
      <c r="BTK26">
        <v>1</v>
      </c>
      <c r="BTX26">
        <v>1</v>
      </c>
      <c r="BUO26">
        <v>1</v>
      </c>
      <c r="BUP26">
        <v>1</v>
      </c>
      <c r="BVS26">
        <v>1</v>
      </c>
      <c r="BVU26">
        <v>1</v>
      </c>
      <c r="BVX26">
        <v>1</v>
      </c>
      <c r="BWH26">
        <v>1</v>
      </c>
      <c r="BWP26">
        <v>1</v>
      </c>
      <c r="BWT26">
        <v>1</v>
      </c>
      <c r="BWV26">
        <v>1</v>
      </c>
      <c r="BWW26">
        <v>1</v>
      </c>
      <c r="BXB26">
        <v>1</v>
      </c>
      <c r="BXS26">
        <v>1</v>
      </c>
      <c r="BYV26">
        <v>1</v>
      </c>
      <c r="BYZ26">
        <v>1</v>
      </c>
      <c r="BZA26">
        <v>1</v>
      </c>
      <c r="BZH26">
        <v>1</v>
      </c>
      <c r="BZI26">
        <v>1</v>
      </c>
      <c r="BZP26">
        <v>1</v>
      </c>
      <c r="BZR26">
        <v>1</v>
      </c>
      <c r="BZU26">
        <v>1</v>
      </c>
      <c r="CAC26">
        <v>1</v>
      </c>
      <c r="CAD26">
        <v>1</v>
      </c>
      <c r="CBB26">
        <v>1</v>
      </c>
      <c r="CBH26">
        <v>1</v>
      </c>
      <c r="CBV26">
        <v>1</v>
      </c>
      <c r="CCF26">
        <v>1</v>
      </c>
      <c r="CCI26">
        <v>1</v>
      </c>
      <c r="CDZ26">
        <v>1</v>
      </c>
      <c r="CEG26">
        <v>1</v>
      </c>
      <c r="CFQ26">
        <v>1</v>
      </c>
      <c r="CFR26">
        <v>1</v>
      </c>
      <c r="CHE26">
        <v>1</v>
      </c>
      <c r="CHX26">
        <v>1</v>
      </c>
      <c r="CHY26">
        <v>1</v>
      </c>
      <c r="CIA26">
        <v>1</v>
      </c>
      <c r="CIH26">
        <v>1</v>
      </c>
      <c r="CJC26">
        <v>1</v>
      </c>
      <c r="CJO26">
        <v>1</v>
      </c>
      <c r="CJZ26">
        <v>1</v>
      </c>
      <c r="CLN26">
        <v>1</v>
      </c>
      <c r="CLV26">
        <v>1</v>
      </c>
      <c r="CLX26">
        <v>1</v>
      </c>
      <c r="CMQ26">
        <v>1</v>
      </c>
      <c r="CNF26">
        <v>1</v>
      </c>
      <c r="CNG26">
        <v>1</v>
      </c>
      <c r="CNM26">
        <v>1</v>
      </c>
      <c r="CNU26">
        <v>1</v>
      </c>
      <c r="CPI26">
        <v>1</v>
      </c>
      <c r="CQI26">
        <v>1</v>
      </c>
      <c r="CQK26">
        <v>1</v>
      </c>
      <c r="CQL26">
        <v>1</v>
      </c>
      <c r="CQQ26">
        <v>1</v>
      </c>
      <c r="CRA26">
        <v>1</v>
      </c>
      <c r="CRH26">
        <v>1</v>
      </c>
      <c r="CSE26">
        <v>1</v>
      </c>
      <c r="CTM26">
        <v>1</v>
      </c>
      <c r="CTO26">
        <v>1</v>
      </c>
      <c r="CUE26">
        <v>1</v>
      </c>
      <c r="CUN26">
        <v>1</v>
      </c>
      <c r="CUX26">
        <v>1</v>
      </c>
      <c r="CVE26">
        <v>1</v>
      </c>
      <c r="CVI26">
        <v>1</v>
      </c>
      <c r="CZH26">
        <v>1</v>
      </c>
      <c r="CZU26">
        <v>1</v>
      </c>
      <c r="DAK26">
        <v>1</v>
      </c>
      <c r="DBB26">
        <v>1</v>
      </c>
      <c r="DBV26">
        <v>1</v>
      </c>
      <c r="DCJ26">
        <v>1</v>
      </c>
      <c r="DCL26">
        <v>1</v>
      </c>
      <c r="DCX26">
        <v>1</v>
      </c>
      <c r="DDJ26">
        <v>1</v>
      </c>
      <c r="DDQ26">
        <v>1</v>
      </c>
      <c r="DDY26">
        <v>1</v>
      </c>
      <c r="DFO26">
        <v>1</v>
      </c>
      <c r="DGD26">
        <v>1</v>
      </c>
      <c r="DHD26">
        <v>1</v>
      </c>
      <c r="DHE26">
        <v>1</v>
      </c>
      <c r="DIO26">
        <v>1</v>
      </c>
      <c r="DJG26">
        <v>1</v>
      </c>
      <c r="DJI26">
        <v>1</v>
      </c>
      <c r="DJV26">
        <v>1</v>
      </c>
      <c r="DJY26">
        <v>1</v>
      </c>
      <c r="DMB26">
        <v>1</v>
      </c>
      <c r="DMM26">
        <v>1</v>
      </c>
      <c r="DMN26">
        <v>1</v>
      </c>
      <c r="DMX26">
        <v>1</v>
      </c>
      <c r="DNG26">
        <v>1</v>
      </c>
      <c r="DNI26">
        <v>1</v>
      </c>
      <c r="DNO26">
        <v>1</v>
      </c>
      <c r="DNS26">
        <v>1</v>
      </c>
      <c r="DOP26">
        <v>1</v>
      </c>
      <c r="DOR26">
        <v>1</v>
      </c>
      <c r="DPX26">
        <v>1</v>
      </c>
      <c r="DTW26">
        <v>1</v>
      </c>
      <c r="DUA26">
        <v>1</v>
      </c>
      <c r="DUF26">
        <v>1</v>
      </c>
      <c r="DUH26">
        <v>1</v>
      </c>
      <c r="DUM26">
        <v>1</v>
      </c>
      <c r="DVL26">
        <v>1</v>
      </c>
      <c r="DYK26">
        <v>1</v>
      </c>
      <c r="DYM26">
        <v>1</v>
      </c>
      <c r="DYU26">
        <v>1</v>
      </c>
      <c r="DYZ26">
        <v>1</v>
      </c>
      <c r="DZE26">
        <v>1</v>
      </c>
      <c r="DZW26">
        <v>1</v>
      </c>
      <c r="EAB26">
        <v>1</v>
      </c>
      <c r="EBP26">
        <v>1</v>
      </c>
      <c r="EDG26">
        <f>SUMPRODUCT(Constraint_20,Decision_variables)</f>
        <v>1</v>
      </c>
      <c r="EDH26" t="s">
        <v>5264</v>
      </c>
      <c r="EDI26">
        <v>1</v>
      </c>
    </row>
    <row r="27" spans="2:3493" x14ac:dyDescent="0.3">
      <c r="B27" t="s">
        <v>3512</v>
      </c>
      <c r="AL27">
        <v>1</v>
      </c>
      <c r="DW27">
        <v>1</v>
      </c>
      <c r="EF27">
        <v>1</v>
      </c>
      <c r="EG27">
        <v>1</v>
      </c>
      <c r="EO27">
        <v>1</v>
      </c>
      <c r="JA27">
        <v>1</v>
      </c>
      <c r="KI27">
        <v>1</v>
      </c>
      <c r="PD27">
        <v>1</v>
      </c>
      <c r="PT27">
        <v>1</v>
      </c>
      <c r="PY27">
        <v>1</v>
      </c>
      <c r="QA27">
        <v>1</v>
      </c>
      <c r="QH27">
        <v>1</v>
      </c>
      <c r="QN27">
        <v>1</v>
      </c>
      <c r="QO27">
        <v>1</v>
      </c>
      <c r="SY27">
        <v>1</v>
      </c>
      <c r="TK27">
        <v>1</v>
      </c>
      <c r="UD27">
        <v>1</v>
      </c>
      <c r="UE27">
        <v>1</v>
      </c>
      <c r="UJ27">
        <v>1</v>
      </c>
      <c r="UQ27">
        <v>1</v>
      </c>
      <c r="VD27">
        <v>1</v>
      </c>
      <c r="VV27">
        <v>1</v>
      </c>
      <c r="VX27">
        <v>1</v>
      </c>
      <c r="YG27">
        <v>1</v>
      </c>
      <c r="YM27">
        <v>1</v>
      </c>
      <c r="YO27">
        <v>1</v>
      </c>
      <c r="YP27">
        <v>1</v>
      </c>
      <c r="YX27">
        <v>1</v>
      </c>
      <c r="YY27">
        <v>1</v>
      </c>
      <c r="ZE27">
        <v>1</v>
      </c>
      <c r="ZZ27">
        <v>1</v>
      </c>
      <c r="ABC27">
        <v>1</v>
      </c>
      <c r="ACF27">
        <v>1</v>
      </c>
      <c r="ACZ27">
        <v>1</v>
      </c>
      <c r="ADB27">
        <v>1</v>
      </c>
      <c r="AHB27">
        <v>1</v>
      </c>
      <c r="ANJ27">
        <v>1</v>
      </c>
      <c r="AOW27">
        <v>1</v>
      </c>
      <c r="ATB27">
        <v>1</v>
      </c>
      <c r="ATL27">
        <v>1</v>
      </c>
      <c r="ATX27">
        <v>1</v>
      </c>
      <c r="AXH27">
        <v>1</v>
      </c>
      <c r="AXW27">
        <v>1</v>
      </c>
      <c r="AXY27">
        <v>1</v>
      </c>
      <c r="AYL27">
        <v>1</v>
      </c>
      <c r="AZK27">
        <v>1</v>
      </c>
      <c r="BCV27">
        <v>1</v>
      </c>
      <c r="BDF27">
        <v>1</v>
      </c>
      <c r="BFN27">
        <v>1</v>
      </c>
      <c r="BFY27">
        <v>1</v>
      </c>
      <c r="BGH27">
        <v>1</v>
      </c>
      <c r="BJR27">
        <v>1</v>
      </c>
      <c r="BNA27">
        <v>1</v>
      </c>
      <c r="BOL27">
        <v>1</v>
      </c>
      <c r="BRW27">
        <v>1</v>
      </c>
      <c r="BSF27">
        <v>1</v>
      </c>
      <c r="BSG27">
        <v>1</v>
      </c>
      <c r="BSO27">
        <v>1</v>
      </c>
      <c r="BXA27">
        <v>1</v>
      </c>
      <c r="BYI27">
        <v>1</v>
      </c>
      <c r="CDD27">
        <v>1</v>
      </c>
      <c r="CDT27">
        <v>1</v>
      </c>
      <c r="CDY27">
        <v>1</v>
      </c>
      <c r="CEA27">
        <v>1</v>
      </c>
      <c r="CEH27">
        <v>1</v>
      </c>
      <c r="CEN27">
        <v>1</v>
      </c>
      <c r="CEO27">
        <v>1</v>
      </c>
      <c r="CGY27">
        <v>1</v>
      </c>
      <c r="CHK27">
        <v>1</v>
      </c>
      <c r="CID27">
        <v>1</v>
      </c>
      <c r="CIE27">
        <v>1</v>
      </c>
      <c r="CIJ27">
        <v>1</v>
      </c>
      <c r="CIQ27">
        <v>1</v>
      </c>
      <c r="CJD27">
        <v>1</v>
      </c>
      <c r="CJV27">
        <v>1</v>
      </c>
      <c r="CJX27">
        <v>1</v>
      </c>
      <c r="CMG27">
        <v>1</v>
      </c>
      <c r="CMM27">
        <v>1</v>
      </c>
      <c r="CMO27">
        <v>1</v>
      </c>
      <c r="CMP27">
        <v>1</v>
      </c>
      <c r="CMX27">
        <v>1</v>
      </c>
      <c r="CMY27">
        <v>1</v>
      </c>
      <c r="CNE27">
        <v>1</v>
      </c>
      <c r="CNZ27">
        <v>1</v>
      </c>
      <c r="CPC27">
        <v>1</v>
      </c>
      <c r="CQF27">
        <v>1</v>
      </c>
      <c r="CQZ27">
        <v>1</v>
      </c>
      <c r="CRB27">
        <v>1</v>
      </c>
      <c r="CVB27">
        <v>1</v>
      </c>
      <c r="DBJ27">
        <v>1</v>
      </c>
      <c r="DCW27">
        <v>1</v>
      </c>
      <c r="DHB27">
        <v>1</v>
      </c>
      <c r="DHL27">
        <v>1</v>
      </c>
      <c r="DHX27">
        <v>1</v>
      </c>
      <c r="DLH27">
        <v>1</v>
      </c>
      <c r="DLW27">
        <v>1</v>
      </c>
      <c r="DLY27">
        <v>1</v>
      </c>
      <c r="DML27">
        <v>1</v>
      </c>
      <c r="DNK27">
        <v>1</v>
      </c>
      <c r="DQV27">
        <v>1</v>
      </c>
      <c r="DRF27">
        <v>1</v>
      </c>
      <c r="DTN27">
        <v>1</v>
      </c>
      <c r="DTY27">
        <v>1</v>
      </c>
      <c r="DUH27">
        <v>1</v>
      </c>
      <c r="DXR27">
        <v>1</v>
      </c>
      <c r="EBA27">
        <v>1</v>
      </c>
      <c r="EBQ27">
        <v>1</v>
      </c>
      <c r="EDG27">
        <f>SUMPRODUCT(Constraint_21,Decision_variables)</f>
        <v>1</v>
      </c>
      <c r="EDH27" t="s">
        <v>5264</v>
      </c>
      <c r="EDI27">
        <v>1</v>
      </c>
    </row>
    <row r="28" spans="2:3493" x14ac:dyDescent="0.3">
      <c r="B28" t="s">
        <v>3513</v>
      </c>
      <c r="AW28">
        <v>1</v>
      </c>
      <c r="CI28">
        <v>1</v>
      </c>
      <c r="DV28">
        <v>1</v>
      </c>
      <c r="GW28">
        <v>1</v>
      </c>
      <c r="TB28">
        <v>1</v>
      </c>
      <c r="VI28">
        <v>1</v>
      </c>
      <c r="WB28">
        <v>1</v>
      </c>
      <c r="WG28">
        <v>1</v>
      </c>
      <c r="WH28">
        <v>1</v>
      </c>
      <c r="WR28">
        <v>1</v>
      </c>
      <c r="AAL28">
        <v>1</v>
      </c>
      <c r="ACM28">
        <v>1</v>
      </c>
      <c r="ACN28">
        <v>1</v>
      </c>
      <c r="ACW28">
        <v>1</v>
      </c>
      <c r="ADS28">
        <v>1</v>
      </c>
      <c r="AEB28">
        <v>1</v>
      </c>
      <c r="AFB28">
        <v>1</v>
      </c>
      <c r="AFU28">
        <v>1</v>
      </c>
      <c r="AFV28">
        <v>1</v>
      </c>
      <c r="AGE28">
        <v>1</v>
      </c>
      <c r="AGP28">
        <v>1</v>
      </c>
      <c r="AIA28">
        <v>1</v>
      </c>
      <c r="AIZ28">
        <v>1</v>
      </c>
      <c r="AJN28">
        <v>1</v>
      </c>
      <c r="AKS28">
        <v>1</v>
      </c>
      <c r="AKY28">
        <v>1</v>
      </c>
      <c r="AMU28">
        <v>1</v>
      </c>
      <c r="ANE28">
        <v>1</v>
      </c>
      <c r="ANG28">
        <v>1</v>
      </c>
      <c r="ANK28">
        <v>1</v>
      </c>
      <c r="AOY28">
        <v>1</v>
      </c>
      <c r="APC28">
        <v>1</v>
      </c>
      <c r="ARV28">
        <v>1</v>
      </c>
      <c r="ASW28">
        <v>1</v>
      </c>
      <c r="ATD28">
        <v>1</v>
      </c>
      <c r="AVM28">
        <v>1</v>
      </c>
      <c r="AWJ28">
        <v>1</v>
      </c>
      <c r="AWX28">
        <v>1</v>
      </c>
      <c r="AWY28">
        <v>1</v>
      </c>
      <c r="AXI28">
        <v>1</v>
      </c>
      <c r="AYM28">
        <v>1</v>
      </c>
      <c r="AYN28">
        <v>1</v>
      </c>
      <c r="AYZ28">
        <v>1</v>
      </c>
      <c r="AZR28">
        <v>1</v>
      </c>
      <c r="AZZ28">
        <v>1</v>
      </c>
      <c r="BCJ28">
        <v>1</v>
      </c>
      <c r="BCS28">
        <v>1</v>
      </c>
      <c r="BFK28">
        <v>1</v>
      </c>
      <c r="BGK28">
        <v>1</v>
      </c>
      <c r="BIH28">
        <v>1</v>
      </c>
      <c r="BIO28">
        <v>1</v>
      </c>
      <c r="BIR28">
        <v>1</v>
      </c>
      <c r="BIT28">
        <v>1</v>
      </c>
      <c r="BIW28">
        <v>1</v>
      </c>
      <c r="BJN28">
        <v>1</v>
      </c>
      <c r="BKF28">
        <v>1</v>
      </c>
      <c r="BKQ28">
        <v>1</v>
      </c>
      <c r="BME28">
        <v>1</v>
      </c>
      <c r="BMI28">
        <v>1</v>
      </c>
      <c r="BMU28">
        <v>1</v>
      </c>
      <c r="BMY28">
        <v>1</v>
      </c>
      <c r="BOW28">
        <v>1</v>
      </c>
      <c r="BQI28">
        <v>1</v>
      </c>
      <c r="BRV28">
        <v>1</v>
      </c>
      <c r="BUW28">
        <v>1</v>
      </c>
      <c r="CHB28">
        <v>1</v>
      </c>
      <c r="CJI28">
        <v>1</v>
      </c>
      <c r="CKB28">
        <v>1</v>
      </c>
      <c r="CKG28">
        <v>1</v>
      </c>
      <c r="CKH28">
        <v>1</v>
      </c>
      <c r="CKR28">
        <v>1</v>
      </c>
      <c r="COL28">
        <v>1</v>
      </c>
      <c r="CQM28">
        <v>1</v>
      </c>
      <c r="CQN28">
        <v>1</v>
      </c>
      <c r="CQW28">
        <v>1</v>
      </c>
      <c r="CRS28">
        <v>1</v>
      </c>
      <c r="CSB28">
        <v>1</v>
      </c>
      <c r="CTB28">
        <v>1</v>
      </c>
      <c r="CTU28">
        <v>1</v>
      </c>
      <c r="CTV28">
        <v>1</v>
      </c>
      <c r="CUE28">
        <v>1</v>
      </c>
      <c r="CUP28">
        <v>1</v>
      </c>
      <c r="CWA28">
        <v>1</v>
      </c>
      <c r="CWZ28">
        <v>1</v>
      </c>
      <c r="CXN28">
        <v>1</v>
      </c>
      <c r="CYS28">
        <v>1</v>
      </c>
      <c r="CYY28">
        <v>1</v>
      </c>
      <c r="DAU28">
        <v>1</v>
      </c>
      <c r="DBE28">
        <v>1</v>
      </c>
      <c r="DBG28">
        <v>1</v>
      </c>
      <c r="DBK28">
        <v>1</v>
      </c>
      <c r="DCY28">
        <v>1</v>
      </c>
      <c r="DDC28">
        <v>1</v>
      </c>
      <c r="DFV28">
        <v>1</v>
      </c>
      <c r="DGW28">
        <v>1</v>
      </c>
      <c r="DHD28">
        <v>1</v>
      </c>
      <c r="DJM28">
        <v>1</v>
      </c>
      <c r="DKJ28">
        <v>1</v>
      </c>
      <c r="DKX28">
        <v>1</v>
      </c>
      <c r="DKY28">
        <v>1</v>
      </c>
      <c r="DLI28">
        <v>1</v>
      </c>
      <c r="DMM28">
        <v>1</v>
      </c>
      <c r="DMN28">
        <v>1</v>
      </c>
      <c r="DMZ28">
        <v>1</v>
      </c>
      <c r="DNR28">
        <v>1</v>
      </c>
      <c r="DNZ28">
        <v>1</v>
      </c>
      <c r="DQJ28">
        <v>1</v>
      </c>
      <c r="DQS28">
        <v>1</v>
      </c>
      <c r="DTK28">
        <v>1</v>
      </c>
      <c r="DUK28">
        <v>1</v>
      </c>
      <c r="DWH28">
        <v>1</v>
      </c>
      <c r="DWO28">
        <v>1</v>
      </c>
      <c r="DWR28">
        <v>1</v>
      </c>
      <c r="DWT28">
        <v>1</v>
      </c>
      <c r="DWW28">
        <v>1</v>
      </c>
      <c r="DXN28">
        <v>1</v>
      </c>
      <c r="DYF28">
        <v>1</v>
      </c>
      <c r="DYQ28">
        <v>1</v>
      </c>
      <c r="EAE28">
        <v>1</v>
      </c>
      <c r="EAI28">
        <v>1</v>
      </c>
      <c r="EAU28">
        <v>1</v>
      </c>
      <c r="EAY28">
        <v>1</v>
      </c>
      <c r="EBR28">
        <v>1</v>
      </c>
      <c r="EDG28">
        <f>SUMPRODUCT(Constraint_22,Decision_variables)</f>
        <v>1</v>
      </c>
      <c r="EDH28" t="s">
        <v>5264</v>
      </c>
      <c r="EDI28">
        <v>1</v>
      </c>
    </row>
    <row r="29" spans="2:3493" x14ac:dyDescent="0.3">
      <c r="B29" t="s">
        <v>3514</v>
      </c>
      <c r="BG29">
        <v>1</v>
      </c>
      <c r="DX29">
        <v>1</v>
      </c>
      <c r="GG29">
        <v>1</v>
      </c>
      <c r="GH29">
        <v>1</v>
      </c>
      <c r="AEM29">
        <v>1</v>
      </c>
      <c r="AET29">
        <v>1</v>
      </c>
      <c r="AGO29">
        <v>1</v>
      </c>
      <c r="AGQ29">
        <v>1</v>
      </c>
      <c r="AGR29">
        <v>1</v>
      </c>
      <c r="AGS29">
        <v>1</v>
      </c>
      <c r="AGZ29">
        <v>1</v>
      </c>
      <c r="AHB29">
        <v>1</v>
      </c>
      <c r="AIL29">
        <v>1</v>
      </c>
      <c r="AIM29">
        <v>1</v>
      </c>
      <c r="AJI29">
        <v>1</v>
      </c>
      <c r="ALZ29">
        <v>1</v>
      </c>
      <c r="AQO29">
        <v>1</v>
      </c>
      <c r="ARU29">
        <v>1</v>
      </c>
      <c r="ARX29">
        <v>1</v>
      </c>
      <c r="ASI29">
        <v>1</v>
      </c>
      <c r="ASK29">
        <v>1</v>
      </c>
      <c r="ATJ29">
        <v>1</v>
      </c>
      <c r="AXV29">
        <v>1</v>
      </c>
      <c r="AZV29">
        <v>1</v>
      </c>
      <c r="BBL29">
        <v>1</v>
      </c>
      <c r="BBX29">
        <v>1</v>
      </c>
      <c r="BDB29">
        <v>1</v>
      </c>
      <c r="BDN29">
        <v>1</v>
      </c>
      <c r="BDV29">
        <v>1</v>
      </c>
      <c r="BEB29">
        <v>1</v>
      </c>
      <c r="BEY29">
        <v>1</v>
      </c>
      <c r="BFA29">
        <v>1</v>
      </c>
      <c r="BFE29">
        <v>1</v>
      </c>
      <c r="BFM29">
        <v>1</v>
      </c>
      <c r="BGA29">
        <v>1</v>
      </c>
      <c r="BGW29">
        <v>1</v>
      </c>
      <c r="BHN29">
        <v>1</v>
      </c>
      <c r="BHO29">
        <v>1</v>
      </c>
      <c r="BIZ29">
        <v>1</v>
      </c>
      <c r="BKD29">
        <v>1</v>
      </c>
      <c r="BKG29">
        <v>1</v>
      </c>
      <c r="BLK29">
        <v>1</v>
      </c>
      <c r="BLO29">
        <v>1</v>
      </c>
      <c r="BMP29">
        <v>1</v>
      </c>
      <c r="BPG29">
        <v>1</v>
      </c>
      <c r="BRX29">
        <v>1</v>
      </c>
      <c r="BUG29">
        <v>1</v>
      </c>
      <c r="BUH29">
        <v>1</v>
      </c>
      <c r="CSM29">
        <v>1</v>
      </c>
      <c r="CST29">
        <v>1</v>
      </c>
      <c r="CUO29">
        <v>1</v>
      </c>
      <c r="CUQ29">
        <v>1</v>
      </c>
      <c r="CUR29">
        <v>1</v>
      </c>
      <c r="CUS29">
        <v>1</v>
      </c>
      <c r="CUZ29">
        <v>1</v>
      </c>
      <c r="CVB29">
        <v>1</v>
      </c>
      <c r="CWL29">
        <v>1</v>
      </c>
      <c r="CWM29">
        <v>1</v>
      </c>
      <c r="CXI29">
        <v>1</v>
      </c>
      <c r="CZZ29">
        <v>1</v>
      </c>
      <c r="DEO29">
        <v>1</v>
      </c>
      <c r="DFU29">
        <v>1</v>
      </c>
      <c r="DFX29">
        <v>1</v>
      </c>
      <c r="DGI29">
        <v>1</v>
      </c>
      <c r="DGK29">
        <v>1</v>
      </c>
      <c r="DHJ29">
        <v>1</v>
      </c>
      <c r="DLV29">
        <v>1</v>
      </c>
      <c r="DNV29">
        <v>1</v>
      </c>
      <c r="DPL29">
        <v>1</v>
      </c>
      <c r="DPX29">
        <v>1</v>
      </c>
      <c r="DRB29">
        <v>1</v>
      </c>
      <c r="DRN29">
        <v>1</v>
      </c>
      <c r="DRV29">
        <v>1</v>
      </c>
      <c r="DSB29">
        <v>1</v>
      </c>
      <c r="DSY29">
        <v>1</v>
      </c>
      <c r="DTA29">
        <v>1</v>
      </c>
      <c r="DTE29">
        <v>1</v>
      </c>
      <c r="DTM29">
        <v>1</v>
      </c>
      <c r="DUA29">
        <v>1</v>
      </c>
      <c r="DUW29">
        <v>1</v>
      </c>
      <c r="DVN29">
        <v>1</v>
      </c>
      <c r="DVO29">
        <v>1</v>
      </c>
      <c r="DWZ29">
        <v>1</v>
      </c>
      <c r="DYD29">
        <v>1</v>
      </c>
      <c r="DYG29">
        <v>1</v>
      </c>
      <c r="DZK29">
        <v>1</v>
      </c>
      <c r="DZO29">
        <v>1</v>
      </c>
      <c r="EAP29">
        <v>1</v>
      </c>
      <c r="EBS29">
        <v>1</v>
      </c>
      <c r="EDG29">
        <f>SUMPRODUCT(Constraint_23,Decision_variables)</f>
        <v>1</v>
      </c>
      <c r="EDH29" t="s">
        <v>5264</v>
      </c>
      <c r="EDI29">
        <v>1</v>
      </c>
    </row>
    <row r="30" spans="2:3493" x14ac:dyDescent="0.3">
      <c r="B30" t="s">
        <v>3515</v>
      </c>
      <c r="L30">
        <v>1</v>
      </c>
      <c r="V30">
        <v>1</v>
      </c>
      <c r="X30">
        <v>1</v>
      </c>
      <c r="AF30">
        <v>1</v>
      </c>
      <c r="BF30">
        <v>1</v>
      </c>
      <c r="DK30">
        <v>1</v>
      </c>
      <c r="ER30">
        <v>1</v>
      </c>
      <c r="ET30">
        <v>1</v>
      </c>
      <c r="FA30">
        <v>1</v>
      </c>
      <c r="FR30">
        <v>1</v>
      </c>
      <c r="FS30">
        <v>1</v>
      </c>
      <c r="FW30">
        <v>1</v>
      </c>
      <c r="FX30">
        <v>1</v>
      </c>
      <c r="FZ30">
        <v>1</v>
      </c>
      <c r="GK30">
        <v>1</v>
      </c>
      <c r="HA30">
        <v>1</v>
      </c>
      <c r="HZ30">
        <v>1</v>
      </c>
      <c r="ID30">
        <v>1</v>
      </c>
      <c r="IE30">
        <v>1</v>
      </c>
      <c r="IK30">
        <v>1</v>
      </c>
      <c r="IQ30">
        <v>1</v>
      </c>
      <c r="IU30">
        <v>1</v>
      </c>
      <c r="JJ30">
        <v>1</v>
      </c>
      <c r="JM30">
        <v>1</v>
      </c>
      <c r="JN30">
        <v>1</v>
      </c>
      <c r="JQ30">
        <v>1</v>
      </c>
      <c r="JU30">
        <v>1</v>
      </c>
      <c r="JX30">
        <v>1</v>
      </c>
      <c r="JY30">
        <v>1</v>
      </c>
      <c r="JZ30">
        <v>1</v>
      </c>
      <c r="KA30">
        <v>1</v>
      </c>
      <c r="MR30">
        <v>1</v>
      </c>
      <c r="MX30">
        <v>1</v>
      </c>
      <c r="ND30">
        <v>1</v>
      </c>
      <c r="NI30">
        <v>1</v>
      </c>
      <c r="NJ30">
        <v>1</v>
      </c>
      <c r="NO30">
        <v>1</v>
      </c>
      <c r="NU30">
        <v>1</v>
      </c>
      <c r="NY30">
        <v>1</v>
      </c>
      <c r="NZ30">
        <v>1</v>
      </c>
      <c r="OJ30">
        <v>1</v>
      </c>
      <c r="OM30">
        <v>1</v>
      </c>
      <c r="OO30">
        <v>1</v>
      </c>
      <c r="OR30">
        <v>1</v>
      </c>
      <c r="OS30">
        <v>1</v>
      </c>
      <c r="OX30">
        <v>1</v>
      </c>
      <c r="OY30">
        <v>1</v>
      </c>
      <c r="PJ30">
        <v>1</v>
      </c>
      <c r="PR30">
        <v>1</v>
      </c>
      <c r="PS30">
        <v>1</v>
      </c>
      <c r="QE30">
        <v>1</v>
      </c>
      <c r="QI30">
        <v>1</v>
      </c>
      <c r="QK30">
        <v>1</v>
      </c>
      <c r="QM30">
        <v>1</v>
      </c>
      <c r="QY30">
        <v>1</v>
      </c>
      <c r="RA30">
        <v>1</v>
      </c>
      <c r="RE30">
        <v>1</v>
      </c>
      <c r="RH30">
        <v>1</v>
      </c>
      <c r="RO30">
        <v>1</v>
      </c>
      <c r="RP30">
        <v>1</v>
      </c>
      <c r="RX30">
        <v>1</v>
      </c>
      <c r="SA30">
        <v>1</v>
      </c>
      <c r="SI30">
        <v>1</v>
      </c>
      <c r="SQ30">
        <v>1</v>
      </c>
      <c r="SW30">
        <v>1</v>
      </c>
      <c r="TB30">
        <v>1</v>
      </c>
      <c r="TD30">
        <v>1</v>
      </c>
      <c r="TF30">
        <v>1</v>
      </c>
      <c r="TR30">
        <v>1</v>
      </c>
      <c r="TW30">
        <v>1</v>
      </c>
      <c r="TZ30">
        <v>1</v>
      </c>
      <c r="UO30">
        <v>1</v>
      </c>
      <c r="UQ30">
        <v>1</v>
      </c>
      <c r="WA30">
        <v>1</v>
      </c>
      <c r="WD30">
        <v>1</v>
      </c>
      <c r="WF30">
        <v>1</v>
      </c>
      <c r="XE30">
        <v>1</v>
      </c>
      <c r="XM30">
        <v>1</v>
      </c>
      <c r="XT30">
        <v>1</v>
      </c>
      <c r="YE30">
        <v>1</v>
      </c>
      <c r="YI30">
        <v>1</v>
      </c>
      <c r="YQ30">
        <v>1</v>
      </c>
      <c r="ZO30">
        <v>1</v>
      </c>
      <c r="ZT30">
        <v>1</v>
      </c>
      <c r="AAF30">
        <v>1</v>
      </c>
      <c r="AAJ30">
        <v>1</v>
      </c>
      <c r="AAM30">
        <v>1</v>
      </c>
      <c r="ABW30">
        <v>1</v>
      </c>
      <c r="ACP30">
        <v>1</v>
      </c>
      <c r="ACQ30">
        <v>1</v>
      </c>
      <c r="ACS30">
        <v>1</v>
      </c>
      <c r="ACT30">
        <v>1</v>
      </c>
      <c r="ACY30">
        <v>1</v>
      </c>
      <c r="ADE30">
        <v>1</v>
      </c>
      <c r="ADF30">
        <v>1</v>
      </c>
      <c r="ADR30">
        <v>1</v>
      </c>
      <c r="AFM30">
        <v>1</v>
      </c>
      <c r="AFY30">
        <v>1</v>
      </c>
      <c r="AGD30">
        <v>1</v>
      </c>
      <c r="AGF30">
        <v>1</v>
      </c>
      <c r="AGG30">
        <v>1</v>
      </c>
      <c r="AHD30">
        <v>1</v>
      </c>
      <c r="AHL30">
        <v>1</v>
      </c>
      <c r="AHS30">
        <v>1</v>
      </c>
      <c r="AIA30">
        <v>1</v>
      </c>
      <c r="AIP30">
        <v>1</v>
      </c>
      <c r="AJA30">
        <v>1</v>
      </c>
      <c r="AJC30">
        <v>1</v>
      </c>
      <c r="AKB30">
        <v>1</v>
      </c>
      <c r="AKE30">
        <v>1</v>
      </c>
      <c r="AKT30">
        <v>1</v>
      </c>
      <c r="AKU30">
        <v>1</v>
      </c>
      <c r="ALA30">
        <v>1</v>
      </c>
      <c r="ALE30">
        <v>1</v>
      </c>
      <c r="ALT30">
        <v>1</v>
      </c>
      <c r="ALX30">
        <v>1</v>
      </c>
      <c r="AMK30">
        <v>1</v>
      </c>
      <c r="AML30">
        <v>1</v>
      </c>
      <c r="ANL30">
        <v>1</v>
      </c>
      <c r="ANU30">
        <v>1</v>
      </c>
      <c r="ANW30">
        <v>1</v>
      </c>
      <c r="AOM30">
        <v>1</v>
      </c>
      <c r="APS30">
        <v>1</v>
      </c>
      <c r="APX30">
        <v>1</v>
      </c>
      <c r="AQB30">
        <v>1</v>
      </c>
      <c r="AQF30">
        <v>1</v>
      </c>
      <c r="ARD30">
        <v>1</v>
      </c>
      <c r="ARI30">
        <v>1</v>
      </c>
      <c r="ASO30">
        <v>1</v>
      </c>
      <c r="ASP30">
        <v>1</v>
      </c>
      <c r="ATE30">
        <v>1</v>
      </c>
      <c r="ATN30">
        <v>1</v>
      </c>
      <c r="ATP30">
        <v>1</v>
      </c>
      <c r="ATU30">
        <v>1</v>
      </c>
      <c r="AUN30">
        <v>1</v>
      </c>
      <c r="AUP30">
        <v>1</v>
      </c>
      <c r="AUY30">
        <v>1</v>
      </c>
      <c r="AUZ30">
        <v>1</v>
      </c>
      <c r="AVA30">
        <v>1</v>
      </c>
      <c r="AVP30">
        <v>1</v>
      </c>
      <c r="AVQ30">
        <v>1</v>
      </c>
      <c r="AVR30">
        <v>1</v>
      </c>
      <c r="AVS30">
        <v>1</v>
      </c>
      <c r="AVX30">
        <v>1</v>
      </c>
      <c r="AWC30">
        <v>1</v>
      </c>
      <c r="AWN30">
        <v>1</v>
      </c>
      <c r="AYI30">
        <v>1</v>
      </c>
      <c r="AZB30">
        <v>1</v>
      </c>
      <c r="AZO30">
        <v>1</v>
      </c>
      <c r="AZQ30">
        <v>1</v>
      </c>
      <c r="AZU30">
        <v>1</v>
      </c>
      <c r="AZX30">
        <v>1</v>
      </c>
      <c r="AZY30">
        <v>1</v>
      </c>
      <c r="BAL30">
        <v>1</v>
      </c>
      <c r="BAO30">
        <v>1</v>
      </c>
      <c r="BAR30">
        <v>1</v>
      </c>
      <c r="BAT30">
        <v>1</v>
      </c>
      <c r="BBM30">
        <v>1</v>
      </c>
      <c r="BCC30">
        <v>1</v>
      </c>
      <c r="BCI30">
        <v>1</v>
      </c>
      <c r="BCJ30">
        <v>1</v>
      </c>
      <c r="BCL30">
        <v>1</v>
      </c>
      <c r="BCU30">
        <v>1</v>
      </c>
      <c r="BDK30">
        <v>1</v>
      </c>
      <c r="BDZ30">
        <v>1</v>
      </c>
      <c r="BEI30">
        <v>1</v>
      </c>
      <c r="BEO30">
        <v>1</v>
      </c>
      <c r="BFF30">
        <v>1</v>
      </c>
      <c r="BFV30">
        <v>1</v>
      </c>
      <c r="BGK30">
        <v>1</v>
      </c>
      <c r="BGR30">
        <v>1</v>
      </c>
      <c r="BGW30">
        <v>1</v>
      </c>
      <c r="BHL30">
        <v>1</v>
      </c>
      <c r="BHX30">
        <v>1</v>
      </c>
      <c r="BIB30">
        <v>1</v>
      </c>
      <c r="BIO30">
        <v>1</v>
      </c>
      <c r="BJJ30">
        <v>1</v>
      </c>
      <c r="BJO30">
        <v>1</v>
      </c>
      <c r="BJS30">
        <v>1</v>
      </c>
      <c r="BLI30">
        <v>1</v>
      </c>
      <c r="BLJ30">
        <v>1</v>
      </c>
      <c r="BMJ30">
        <v>1</v>
      </c>
      <c r="BNL30">
        <v>1</v>
      </c>
      <c r="BNV30">
        <v>1</v>
      </c>
      <c r="BNX30">
        <v>1</v>
      </c>
      <c r="BOF30">
        <v>1</v>
      </c>
      <c r="BPF30">
        <v>1</v>
      </c>
      <c r="BRK30">
        <v>1</v>
      </c>
      <c r="BSR30">
        <v>1</v>
      </c>
      <c r="BST30">
        <v>1</v>
      </c>
      <c r="BTA30">
        <v>1</v>
      </c>
      <c r="BTR30">
        <v>1</v>
      </c>
      <c r="BTS30">
        <v>1</v>
      </c>
      <c r="BTW30">
        <v>1</v>
      </c>
      <c r="BTX30">
        <v>1</v>
      </c>
      <c r="BTZ30">
        <v>1</v>
      </c>
      <c r="BUK30">
        <v>1</v>
      </c>
      <c r="BVA30">
        <v>1</v>
      </c>
      <c r="BVZ30">
        <v>1</v>
      </c>
      <c r="BWD30">
        <v>1</v>
      </c>
      <c r="BWE30">
        <v>1</v>
      </c>
      <c r="BWK30">
        <v>1</v>
      </c>
      <c r="BWQ30">
        <v>1</v>
      </c>
      <c r="BWU30">
        <v>1</v>
      </c>
      <c r="BXJ30">
        <v>1</v>
      </c>
      <c r="BXM30">
        <v>1</v>
      </c>
      <c r="BXN30">
        <v>1</v>
      </c>
      <c r="BXQ30">
        <v>1</v>
      </c>
      <c r="BXU30">
        <v>1</v>
      </c>
      <c r="BXX30">
        <v>1</v>
      </c>
      <c r="BXY30">
        <v>1</v>
      </c>
      <c r="BXZ30">
        <v>1</v>
      </c>
      <c r="BYA30">
        <v>1</v>
      </c>
      <c r="CAR30">
        <v>1</v>
      </c>
      <c r="CAX30">
        <v>1</v>
      </c>
      <c r="CBD30">
        <v>1</v>
      </c>
      <c r="CBI30">
        <v>1</v>
      </c>
      <c r="CBJ30">
        <v>1</v>
      </c>
      <c r="CBO30">
        <v>1</v>
      </c>
      <c r="CBU30">
        <v>1</v>
      </c>
      <c r="CBY30">
        <v>1</v>
      </c>
      <c r="CBZ30">
        <v>1</v>
      </c>
      <c r="CCJ30">
        <v>1</v>
      </c>
      <c r="CCM30">
        <v>1</v>
      </c>
      <c r="CCO30">
        <v>1</v>
      </c>
      <c r="CCR30">
        <v>1</v>
      </c>
      <c r="CCS30">
        <v>1</v>
      </c>
      <c r="CCX30">
        <v>1</v>
      </c>
      <c r="CCY30">
        <v>1</v>
      </c>
      <c r="CDJ30">
        <v>1</v>
      </c>
      <c r="CDR30">
        <v>1</v>
      </c>
      <c r="CDS30">
        <v>1</v>
      </c>
      <c r="CEE30">
        <v>1</v>
      </c>
      <c r="CEI30">
        <v>1</v>
      </c>
      <c r="CEK30">
        <v>1</v>
      </c>
      <c r="CEM30">
        <v>1</v>
      </c>
      <c r="CEY30">
        <v>1</v>
      </c>
      <c r="CFA30">
        <v>1</v>
      </c>
      <c r="CFE30">
        <v>1</v>
      </c>
      <c r="CFH30">
        <v>1</v>
      </c>
      <c r="CFO30">
        <v>1</v>
      </c>
      <c r="CFP30">
        <v>1</v>
      </c>
      <c r="CFX30">
        <v>1</v>
      </c>
      <c r="CGA30">
        <v>1</v>
      </c>
      <c r="CGI30">
        <v>1</v>
      </c>
      <c r="CGQ30">
        <v>1</v>
      </c>
      <c r="CGW30">
        <v>1</v>
      </c>
      <c r="CHB30">
        <v>1</v>
      </c>
      <c r="CHD30">
        <v>1</v>
      </c>
      <c r="CHF30">
        <v>1</v>
      </c>
      <c r="CHR30">
        <v>1</v>
      </c>
      <c r="CHW30">
        <v>1</v>
      </c>
      <c r="CHZ30">
        <v>1</v>
      </c>
      <c r="CIO30">
        <v>1</v>
      </c>
      <c r="CIQ30">
        <v>1</v>
      </c>
      <c r="CKA30">
        <v>1</v>
      </c>
      <c r="CKD30">
        <v>1</v>
      </c>
      <c r="CKF30">
        <v>1</v>
      </c>
      <c r="CLE30">
        <v>1</v>
      </c>
      <c r="CLM30">
        <v>1</v>
      </c>
      <c r="CLT30">
        <v>1</v>
      </c>
      <c r="CME30">
        <v>1</v>
      </c>
      <c r="CMI30">
        <v>1</v>
      </c>
      <c r="CMQ30">
        <v>1</v>
      </c>
      <c r="CNO30">
        <v>1</v>
      </c>
      <c r="CNT30">
        <v>1</v>
      </c>
      <c r="COF30">
        <v>1</v>
      </c>
      <c r="COJ30">
        <v>1</v>
      </c>
      <c r="COM30">
        <v>1</v>
      </c>
      <c r="CPW30">
        <v>1</v>
      </c>
      <c r="CQP30">
        <v>1</v>
      </c>
      <c r="CQQ30">
        <v>1</v>
      </c>
      <c r="CQS30">
        <v>1</v>
      </c>
      <c r="CQT30">
        <v>1</v>
      </c>
      <c r="CQY30">
        <v>1</v>
      </c>
      <c r="CRE30">
        <v>1</v>
      </c>
      <c r="CRF30">
        <v>1</v>
      </c>
      <c r="CRR30">
        <v>1</v>
      </c>
      <c r="CTM30">
        <v>1</v>
      </c>
      <c r="CTY30">
        <v>1</v>
      </c>
      <c r="CUD30">
        <v>1</v>
      </c>
      <c r="CUF30">
        <v>1</v>
      </c>
      <c r="CUG30">
        <v>1</v>
      </c>
      <c r="CVD30">
        <v>1</v>
      </c>
      <c r="CVL30">
        <v>1</v>
      </c>
      <c r="CVS30">
        <v>1</v>
      </c>
      <c r="CWA30">
        <v>1</v>
      </c>
      <c r="CWP30">
        <v>1</v>
      </c>
      <c r="CXA30">
        <v>1</v>
      </c>
      <c r="CXC30">
        <v>1</v>
      </c>
      <c r="CYB30">
        <v>1</v>
      </c>
      <c r="CYE30">
        <v>1</v>
      </c>
      <c r="CYT30">
        <v>1</v>
      </c>
      <c r="CYU30">
        <v>1</v>
      </c>
      <c r="CZA30">
        <v>1</v>
      </c>
      <c r="CZE30">
        <v>1</v>
      </c>
      <c r="CZT30">
        <v>1</v>
      </c>
      <c r="CZX30">
        <v>1</v>
      </c>
      <c r="DAK30">
        <v>1</v>
      </c>
      <c r="DAL30">
        <v>1</v>
      </c>
      <c r="DBL30">
        <v>1</v>
      </c>
      <c r="DBU30">
        <v>1</v>
      </c>
      <c r="DBW30">
        <v>1</v>
      </c>
      <c r="DCM30">
        <v>1</v>
      </c>
      <c r="DDS30">
        <v>1</v>
      </c>
      <c r="DDX30">
        <v>1</v>
      </c>
      <c r="DEB30">
        <v>1</v>
      </c>
      <c r="DEF30">
        <v>1</v>
      </c>
      <c r="DFD30">
        <v>1</v>
      </c>
      <c r="DFI30">
        <v>1</v>
      </c>
      <c r="DGO30">
        <v>1</v>
      </c>
      <c r="DGP30">
        <v>1</v>
      </c>
      <c r="DHE30">
        <v>1</v>
      </c>
      <c r="DHN30">
        <v>1</v>
      </c>
      <c r="DHP30">
        <v>1</v>
      </c>
      <c r="DHU30">
        <v>1</v>
      </c>
      <c r="DIN30">
        <v>1</v>
      </c>
      <c r="DIP30">
        <v>1</v>
      </c>
      <c r="DIY30">
        <v>1</v>
      </c>
      <c r="DIZ30">
        <v>1</v>
      </c>
      <c r="DJA30">
        <v>1</v>
      </c>
      <c r="DJP30">
        <v>1</v>
      </c>
      <c r="DJQ30">
        <v>1</v>
      </c>
      <c r="DJR30">
        <v>1</v>
      </c>
      <c r="DJS30">
        <v>1</v>
      </c>
      <c r="DJX30">
        <v>1</v>
      </c>
      <c r="DKC30">
        <v>1</v>
      </c>
      <c r="DKN30">
        <v>1</v>
      </c>
      <c r="DMI30">
        <v>1</v>
      </c>
      <c r="DNB30">
        <v>1</v>
      </c>
      <c r="DNO30">
        <v>1</v>
      </c>
      <c r="DNQ30">
        <v>1</v>
      </c>
      <c r="DNU30">
        <v>1</v>
      </c>
      <c r="DNX30">
        <v>1</v>
      </c>
      <c r="DNY30">
        <v>1</v>
      </c>
      <c r="DOL30">
        <v>1</v>
      </c>
      <c r="DOO30">
        <v>1</v>
      </c>
      <c r="DOR30">
        <v>1</v>
      </c>
      <c r="DOT30">
        <v>1</v>
      </c>
      <c r="DPM30">
        <v>1</v>
      </c>
      <c r="DQC30">
        <v>1</v>
      </c>
      <c r="DQI30">
        <v>1</v>
      </c>
      <c r="DQJ30">
        <v>1</v>
      </c>
      <c r="DQL30">
        <v>1</v>
      </c>
      <c r="DQU30">
        <v>1</v>
      </c>
      <c r="DRK30">
        <v>1</v>
      </c>
      <c r="DRZ30">
        <v>1</v>
      </c>
      <c r="DSI30">
        <v>1</v>
      </c>
      <c r="DSO30">
        <v>1</v>
      </c>
      <c r="DTF30">
        <v>1</v>
      </c>
      <c r="DTV30">
        <v>1</v>
      </c>
      <c r="DUK30">
        <v>1</v>
      </c>
      <c r="DUR30">
        <v>1</v>
      </c>
      <c r="DUW30">
        <v>1</v>
      </c>
      <c r="DVL30">
        <v>1</v>
      </c>
      <c r="DVX30">
        <v>1</v>
      </c>
      <c r="DWB30">
        <v>1</v>
      </c>
      <c r="DWO30">
        <v>1</v>
      </c>
      <c r="DXJ30">
        <v>1</v>
      </c>
      <c r="DXO30">
        <v>1</v>
      </c>
      <c r="DXS30">
        <v>1</v>
      </c>
      <c r="DZI30">
        <v>1</v>
      </c>
      <c r="DZJ30">
        <v>1</v>
      </c>
      <c r="EAJ30">
        <v>1</v>
      </c>
      <c r="EBT30">
        <v>1</v>
      </c>
      <c r="EDG30">
        <f>SUMPRODUCT(Constraint_24,Decision_variables)</f>
        <v>1</v>
      </c>
      <c r="EDH30" t="s">
        <v>5264</v>
      </c>
      <c r="EDI30">
        <v>1</v>
      </c>
    </row>
    <row r="31" spans="2:3493" x14ac:dyDescent="0.3">
      <c r="B31" t="s">
        <v>3516</v>
      </c>
      <c r="F31">
        <v>1</v>
      </c>
      <c r="BK31">
        <v>1</v>
      </c>
      <c r="BU31">
        <v>1</v>
      </c>
      <c r="CD31">
        <v>1</v>
      </c>
      <c r="CL31">
        <v>1</v>
      </c>
      <c r="CR31">
        <v>1</v>
      </c>
      <c r="CU31">
        <v>1</v>
      </c>
      <c r="CX31">
        <v>1</v>
      </c>
      <c r="DU31">
        <v>1</v>
      </c>
      <c r="DX31">
        <v>1</v>
      </c>
      <c r="EK31">
        <v>1</v>
      </c>
      <c r="FG31">
        <v>1</v>
      </c>
      <c r="GE31">
        <v>1</v>
      </c>
      <c r="HB31">
        <v>1</v>
      </c>
      <c r="JI31">
        <v>1</v>
      </c>
      <c r="KU31">
        <v>1</v>
      </c>
      <c r="LG31">
        <v>1</v>
      </c>
      <c r="RB31">
        <v>1</v>
      </c>
      <c r="RE31">
        <v>1</v>
      </c>
      <c r="RU31">
        <v>1</v>
      </c>
      <c r="SA31">
        <v>1</v>
      </c>
      <c r="SL31">
        <v>1</v>
      </c>
      <c r="SR31">
        <v>1</v>
      </c>
      <c r="SS31">
        <v>1</v>
      </c>
      <c r="UF31">
        <v>1</v>
      </c>
      <c r="VC31">
        <v>1</v>
      </c>
      <c r="VL31">
        <v>1</v>
      </c>
      <c r="WN31">
        <v>1</v>
      </c>
      <c r="XK31">
        <v>1</v>
      </c>
      <c r="XL31">
        <v>1</v>
      </c>
      <c r="XO31">
        <v>1</v>
      </c>
      <c r="XS31">
        <v>1</v>
      </c>
      <c r="YF31">
        <v>1</v>
      </c>
      <c r="ZD31">
        <v>1</v>
      </c>
      <c r="ZF31">
        <v>1</v>
      </c>
      <c r="ZI31">
        <v>1</v>
      </c>
      <c r="ZK31">
        <v>1</v>
      </c>
      <c r="ZQ31">
        <v>1</v>
      </c>
      <c r="ZR31">
        <v>1</v>
      </c>
      <c r="ZU31">
        <v>1</v>
      </c>
      <c r="ZX31">
        <v>1</v>
      </c>
      <c r="AAD31">
        <v>1</v>
      </c>
      <c r="AAF31">
        <v>1</v>
      </c>
      <c r="AAG31">
        <v>1</v>
      </c>
      <c r="AAJ31">
        <v>1</v>
      </c>
      <c r="ABW31">
        <v>1</v>
      </c>
      <c r="ACC31">
        <v>1</v>
      </c>
      <c r="ACE31">
        <v>1</v>
      </c>
      <c r="ACS31">
        <v>1</v>
      </c>
      <c r="ACY31">
        <v>1</v>
      </c>
      <c r="ADD31">
        <v>1</v>
      </c>
      <c r="ADG31">
        <v>1</v>
      </c>
      <c r="ADT31">
        <v>1</v>
      </c>
      <c r="ADZ31">
        <v>1</v>
      </c>
      <c r="AEF31">
        <v>1</v>
      </c>
      <c r="AEO31">
        <v>1</v>
      </c>
      <c r="AEX31">
        <v>1</v>
      </c>
      <c r="AFH31">
        <v>1</v>
      </c>
      <c r="AFP31">
        <v>1</v>
      </c>
      <c r="AFQ31">
        <v>1</v>
      </c>
      <c r="AFY31">
        <v>1</v>
      </c>
      <c r="AGC31">
        <v>1</v>
      </c>
      <c r="AGN31">
        <v>1</v>
      </c>
      <c r="AHD31">
        <v>1</v>
      </c>
      <c r="AHE31">
        <v>1</v>
      </c>
      <c r="AHG31">
        <v>1</v>
      </c>
      <c r="AHK31">
        <v>1</v>
      </c>
      <c r="AHN31">
        <v>1</v>
      </c>
      <c r="AIF31">
        <v>1</v>
      </c>
      <c r="AIV31">
        <v>1</v>
      </c>
      <c r="AIW31">
        <v>1</v>
      </c>
      <c r="AJP31">
        <v>1</v>
      </c>
      <c r="AJR31">
        <v>1</v>
      </c>
      <c r="AJW31">
        <v>1</v>
      </c>
      <c r="AJX31">
        <v>1</v>
      </c>
      <c r="AKC31">
        <v>1</v>
      </c>
      <c r="AKN31">
        <v>1</v>
      </c>
      <c r="AKP31">
        <v>1</v>
      </c>
      <c r="ALC31">
        <v>1</v>
      </c>
      <c r="ALE31">
        <v>1</v>
      </c>
      <c r="ALH31">
        <v>1</v>
      </c>
      <c r="ALR31">
        <v>1</v>
      </c>
      <c r="AMK31">
        <v>1</v>
      </c>
      <c r="AMO31">
        <v>1</v>
      </c>
      <c r="AMV31">
        <v>1</v>
      </c>
      <c r="AMZ31">
        <v>1</v>
      </c>
      <c r="AND31">
        <v>1</v>
      </c>
      <c r="ANR31">
        <v>1</v>
      </c>
      <c r="ANS31">
        <v>1</v>
      </c>
      <c r="ANT31">
        <v>1</v>
      </c>
      <c r="ANU31">
        <v>1</v>
      </c>
      <c r="ANW31">
        <v>1</v>
      </c>
      <c r="ANY31">
        <v>1</v>
      </c>
      <c r="AOH31">
        <v>1</v>
      </c>
      <c r="AOJ31">
        <v>1</v>
      </c>
      <c r="AON31">
        <v>1</v>
      </c>
      <c r="AOP31">
        <v>1</v>
      </c>
      <c r="AOQ31">
        <v>1</v>
      </c>
      <c r="AOT31">
        <v>1</v>
      </c>
      <c r="AOW31">
        <v>1</v>
      </c>
      <c r="APA31">
        <v>1</v>
      </c>
      <c r="APP31">
        <v>1</v>
      </c>
      <c r="APR31">
        <v>1</v>
      </c>
      <c r="APS31">
        <v>1</v>
      </c>
      <c r="APT31">
        <v>1</v>
      </c>
      <c r="AQA31">
        <v>1</v>
      </c>
      <c r="AQB31">
        <v>1</v>
      </c>
      <c r="AQG31">
        <v>1</v>
      </c>
      <c r="AQN31">
        <v>1</v>
      </c>
      <c r="AQQ31">
        <v>1</v>
      </c>
      <c r="AQT31">
        <v>1</v>
      </c>
      <c r="AQV31">
        <v>1</v>
      </c>
      <c r="AQW31">
        <v>1</v>
      </c>
      <c r="ARC31">
        <v>1</v>
      </c>
      <c r="ARG31">
        <v>1</v>
      </c>
      <c r="ARK31">
        <v>1</v>
      </c>
      <c r="ARN31">
        <v>1</v>
      </c>
      <c r="ARP31">
        <v>1</v>
      </c>
      <c r="ASD31">
        <v>1</v>
      </c>
      <c r="ASN31">
        <v>1</v>
      </c>
      <c r="ASP31">
        <v>1</v>
      </c>
      <c r="ASS31">
        <v>1</v>
      </c>
      <c r="AST31">
        <v>1</v>
      </c>
      <c r="ASV31">
        <v>1</v>
      </c>
      <c r="ATE31">
        <v>1</v>
      </c>
      <c r="ATF31">
        <v>1</v>
      </c>
      <c r="ATI31">
        <v>1</v>
      </c>
      <c r="ATJ31">
        <v>1</v>
      </c>
      <c r="ATM31">
        <v>1</v>
      </c>
      <c r="ATN31">
        <v>1</v>
      </c>
      <c r="ATO31">
        <v>1</v>
      </c>
      <c r="ATR31">
        <v>1</v>
      </c>
      <c r="ATS31">
        <v>1</v>
      </c>
      <c r="ATU31">
        <v>1</v>
      </c>
      <c r="ATY31">
        <v>1</v>
      </c>
      <c r="AUA31">
        <v>1</v>
      </c>
      <c r="AUI31">
        <v>1</v>
      </c>
      <c r="AUK31">
        <v>1</v>
      </c>
      <c r="AUM31">
        <v>1</v>
      </c>
      <c r="AUN31">
        <v>1</v>
      </c>
      <c r="AUR31">
        <v>1</v>
      </c>
      <c r="AUT31">
        <v>1</v>
      </c>
      <c r="AUW31">
        <v>1</v>
      </c>
      <c r="AUY31">
        <v>1</v>
      </c>
      <c r="AVB31">
        <v>1</v>
      </c>
      <c r="AVD31">
        <v>1</v>
      </c>
      <c r="AVN31">
        <v>1</v>
      </c>
      <c r="AVO31">
        <v>1</v>
      </c>
      <c r="AVP31">
        <v>1</v>
      </c>
      <c r="AVR31">
        <v>1</v>
      </c>
      <c r="AVT31">
        <v>1</v>
      </c>
      <c r="AVX31">
        <v>1</v>
      </c>
      <c r="AWE31">
        <v>1</v>
      </c>
      <c r="AWG31">
        <v>1</v>
      </c>
      <c r="AWK31">
        <v>1</v>
      </c>
      <c r="AWR31">
        <v>1</v>
      </c>
      <c r="AWZ31">
        <v>1</v>
      </c>
      <c r="AXF31">
        <v>1</v>
      </c>
      <c r="AXG31">
        <v>1</v>
      </c>
      <c r="AXH31">
        <v>1</v>
      </c>
      <c r="AXK31">
        <v>1</v>
      </c>
      <c r="AXR31">
        <v>1</v>
      </c>
      <c r="AXV31">
        <v>1</v>
      </c>
      <c r="AXZ31">
        <v>1</v>
      </c>
      <c r="AYE31">
        <v>1</v>
      </c>
      <c r="AYI31">
        <v>1</v>
      </c>
      <c r="AYK31">
        <v>1</v>
      </c>
      <c r="AYT31">
        <v>1</v>
      </c>
      <c r="AYV31">
        <v>1</v>
      </c>
      <c r="AZB31">
        <v>1</v>
      </c>
      <c r="AZD31">
        <v>1</v>
      </c>
      <c r="AZE31">
        <v>1</v>
      </c>
      <c r="AZG31">
        <v>1</v>
      </c>
      <c r="AZI31">
        <v>1</v>
      </c>
      <c r="AZN31">
        <v>1</v>
      </c>
      <c r="AZP31">
        <v>1</v>
      </c>
      <c r="AZV31">
        <v>1</v>
      </c>
      <c r="AZW31">
        <v>1</v>
      </c>
      <c r="BAB31">
        <v>1</v>
      </c>
      <c r="BAE31">
        <v>1</v>
      </c>
      <c r="BAG31">
        <v>1</v>
      </c>
      <c r="BAH31">
        <v>1</v>
      </c>
      <c r="BAK31">
        <v>1</v>
      </c>
      <c r="BAM31">
        <v>1</v>
      </c>
      <c r="BAO31">
        <v>1</v>
      </c>
      <c r="BAV31">
        <v>1</v>
      </c>
      <c r="BAW31">
        <v>1</v>
      </c>
      <c r="BAZ31">
        <v>1</v>
      </c>
      <c r="BBB31">
        <v>1</v>
      </c>
      <c r="BBC31">
        <v>1</v>
      </c>
      <c r="BBF31">
        <v>1</v>
      </c>
      <c r="BBI31">
        <v>1</v>
      </c>
      <c r="BBJ31">
        <v>1</v>
      </c>
      <c r="BBK31">
        <v>1</v>
      </c>
      <c r="BBL31">
        <v>1</v>
      </c>
      <c r="BBN31">
        <v>1</v>
      </c>
      <c r="BBP31">
        <v>1</v>
      </c>
      <c r="BBQ31">
        <v>1</v>
      </c>
      <c r="BBS31">
        <v>1</v>
      </c>
      <c r="BBZ31">
        <v>1</v>
      </c>
      <c r="BCE31">
        <v>1</v>
      </c>
      <c r="BCH31">
        <v>1</v>
      </c>
      <c r="BCI31">
        <v>1</v>
      </c>
      <c r="BCN31">
        <v>1</v>
      </c>
      <c r="BCO31">
        <v>1</v>
      </c>
      <c r="BCP31">
        <v>1</v>
      </c>
      <c r="BCQ31">
        <v>1</v>
      </c>
      <c r="BCT31">
        <v>1</v>
      </c>
      <c r="BCU31">
        <v>1</v>
      </c>
      <c r="BCV31">
        <v>1</v>
      </c>
      <c r="BCW31">
        <v>1</v>
      </c>
      <c r="BCY31">
        <v>1</v>
      </c>
      <c r="BCZ31">
        <v>1</v>
      </c>
      <c r="BDH31">
        <v>1</v>
      </c>
      <c r="BDJ31">
        <v>1</v>
      </c>
      <c r="BDK31">
        <v>1</v>
      </c>
      <c r="BDQ31">
        <v>1</v>
      </c>
      <c r="BDR31">
        <v>1</v>
      </c>
      <c r="BDS31">
        <v>1</v>
      </c>
      <c r="BDY31">
        <v>1</v>
      </c>
      <c r="BDZ31">
        <v>1</v>
      </c>
      <c r="BEA31">
        <v>1</v>
      </c>
      <c r="BEB31">
        <v>1</v>
      </c>
      <c r="BEC31">
        <v>1</v>
      </c>
      <c r="BED31">
        <v>1</v>
      </c>
      <c r="BEI31">
        <v>1</v>
      </c>
      <c r="BEO31">
        <v>1</v>
      </c>
      <c r="BEP31">
        <v>1</v>
      </c>
      <c r="BEQ31">
        <v>1</v>
      </c>
      <c r="BER31">
        <v>1</v>
      </c>
      <c r="BES31">
        <v>1</v>
      </c>
      <c r="BEV31">
        <v>1</v>
      </c>
      <c r="BEW31">
        <v>1</v>
      </c>
      <c r="BEY31">
        <v>1</v>
      </c>
      <c r="BEZ31">
        <v>1</v>
      </c>
      <c r="BFA31">
        <v>1</v>
      </c>
      <c r="BFC31">
        <v>1</v>
      </c>
      <c r="BFD31">
        <v>1</v>
      </c>
      <c r="BFI31">
        <v>1</v>
      </c>
      <c r="BFM31">
        <v>1</v>
      </c>
      <c r="BFN31">
        <v>1</v>
      </c>
      <c r="BFO31">
        <v>1</v>
      </c>
      <c r="BFT31">
        <v>1</v>
      </c>
      <c r="BFW31">
        <v>1</v>
      </c>
      <c r="BFY31">
        <v>1</v>
      </c>
      <c r="BFZ31">
        <v>1</v>
      </c>
      <c r="BGC31">
        <v>1</v>
      </c>
      <c r="BGF31">
        <v>1</v>
      </c>
      <c r="BGG31">
        <v>1</v>
      </c>
      <c r="BGH31">
        <v>1</v>
      </c>
      <c r="BGJ31">
        <v>1</v>
      </c>
      <c r="BGL31">
        <v>1</v>
      </c>
      <c r="BGO31">
        <v>1</v>
      </c>
      <c r="BGV31">
        <v>1</v>
      </c>
      <c r="BGW31">
        <v>1</v>
      </c>
      <c r="BGX31">
        <v>1</v>
      </c>
      <c r="BGY31">
        <v>1</v>
      </c>
      <c r="BHE31">
        <v>1</v>
      </c>
      <c r="BHH31">
        <v>1</v>
      </c>
      <c r="BHI31">
        <v>1</v>
      </c>
      <c r="BHK31">
        <v>1</v>
      </c>
      <c r="BHM31">
        <v>1</v>
      </c>
      <c r="BHN31">
        <v>1</v>
      </c>
      <c r="BHO31">
        <v>1</v>
      </c>
      <c r="BHT31">
        <v>1</v>
      </c>
      <c r="BHU31">
        <v>1</v>
      </c>
      <c r="BHZ31">
        <v>1</v>
      </c>
      <c r="BIA31">
        <v>1</v>
      </c>
      <c r="BIB31">
        <v>1</v>
      </c>
      <c r="BIC31">
        <v>1</v>
      </c>
      <c r="BIE31">
        <v>1</v>
      </c>
      <c r="BIJ31">
        <v>1</v>
      </c>
      <c r="BIK31">
        <v>1</v>
      </c>
      <c r="BIN31">
        <v>1</v>
      </c>
      <c r="BIP31">
        <v>1</v>
      </c>
      <c r="BIW31">
        <v>1</v>
      </c>
      <c r="BIX31">
        <v>1</v>
      </c>
      <c r="BJC31">
        <v>1</v>
      </c>
      <c r="BJD31">
        <v>1</v>
      </c>
      <c r="BJE31">
        <v>1</v>
      </c>
      <c r="BJF31">
        <v>1</v>
      </c>
      <c r="BJH31">
        <v>1</v>
      </c>
      <c r="BJP31">
        <v>1</v>
      </c>
      <c r="BJQ31">
        <v>1</v>
      </c>
      <c r="BJR31">
        <v>1</v>
      </c>
      <c r="BJU31">
        <v>1</v>
      </c>
      <c r="BJW31">
        <v>1</v>
      </c>
      <c r="BJX31">
        <v>1</v>
      </c>
      <c r="BKA31">
        <v>1</v>
      </c>
      <c r="BKB31">
        <v>1</v>
      </c>
      <c r="BKF31">
        <v>1</v>
      </c>
      <c r="BKM31">
        <v>1</v>
      </c>
      <c r="BKO31">
        <v>1</v>
      </c>
      <c r="BKS31">
        <v>1</v>
      </c>
      <c r="BKW31">
        <v>1</v>
      </c>
      <c r="BKY31">
        <v>1</v>
      </c>
      <c r="BLA31">
        <v>1</v>
      </c>
      <c r="BLB31">
        <v>1</v>
      </c>
      <c r="BLC31">
        <v>1</v>
      </c>
      <c r="BLH31">
        <v>1</v>
      </c>
      <c r="BLJ31">
        <v>1</v>
      </c>
      <c r="BLL31">
        <v>1</v>
      </c>
      <c r="BLN31">
        <v>1</v>
      </c>
      <c r="BLQ31">
        <v>1</v>
      </c>
      <c r="BLV31">
        <v>1</v>
      </c>
      <c r="BLW31">
        <v>1</v>
      </c>
      <c r="BLY31">
        <v>1</v>
      </c>
      <c r="BLZ31">
        <v>1</v>
      </c>
      <c r="BMD31">
        <v>1</v>
      </c>
      <c r="BMF31">
        <v>1</v>
      </c>
      <c r="BMH31">
        <v>1</v>
      </c>
      <c r="BMJ31">
        <v>1</v>
      </c>
      <c r="BMK31">
        <v>1</v>
      </c>
      <c r="BMQ31">
        <v>1</v>
      </c>
      <c r="BMW31">
        <v>1</v>
      </c>
      <c r="BMX31">
        <v>1</v>
      </c>
      <c r="BMZ31">
        <v>1</v>
      </c>
      <c r="BNA31">
        <v>1</v>
      </c>
      <c r="BNB31">
        <v>1</v>
      </c>
      <c r="BNF31">
        <v>1</v>
      </c>
      <c r="BPK31">
        <v>1</v>
      </c>
      <c r="BPU31">
        <v>1</v>
      </c>
      <c r="BQD31">
        <v>1</v>
      </c>
      <c r="BQL31">
        <v>1</v>
      </c>
      <c r="BQR31">
        <v>1</v>
      </c>
      <c r="BQU31">
        <v>1</v>
      </c>
      <c r="BQX31">
        <v>1</v>
      </c>
      <c r="BRU31">
        <v>1</v>
      </c>
      <c r="BRX31">
        <v>1</v>
      </c>
      <c r="BSK31">
        <v>1</v>
      </c>
      <c r="BTG31">
        <v>1</v>
      </c>
      <c r="BUE31">
        <v>1</v>
      </c>
      <c r="BVB31">
        <v>1</v>
      </c>
      <c r="BXI31">
        <v>1</v>
      </c>
      <c r="BYU31">
        <v>1</v>
      </c>
      <c r="BZG31">
        <v>1</v>
      </c>
      <c r="CFB31">
        <v>1</v>
      </c>
      <c r="CFE31">
        <v>1</v>
      </c>
      <c r="CFU31">
        <v>1</v>
      </c>
      <c r="CGA31">
        <v>1</v>
      </c>
      <c r="CGL31">
        <v>1</v>
      </c>
      <c r="CGR31">
        <v>1</v>
      </c>
      <c r="CGS31">
        <v>1</v>
      </c>
      <c r="CIF31">
        <v>1</v>
      </c>
      <c r="CJC31">
        <v>1</v>
      </c>
      <c r="CJL31">
        <v>1</v>
      </c>
      <c r="CKN31">
        <v>1</v>
      </c>
      <c r="CLK31">
        <v>1</v>
      </c>
      <c r="CLL31">
        <v>1</v>
      </c>
      <c r="CLO31">
        <v>1</v>
      </c>
      <c r="CLS31">
        <v>1</v>
      </c>
      <c r="CMF31">
        <v>1</v>
      </c>
      <c r="CND31">
        <v>1</v>
      </c>
      <c r="CNF31">
        <v>1</v>
      </c>
      <c r="CNI31">
        <v>1</v>
      </c>
      <c r="CNK31">
        <v>1</v>
      </c>
      <c r="CNQ31">
        <v>1</v>
      </c>
      <c r="CNR31">
        <v>1</v>
      </c>
      <c r="CNU31">
        <v>1</v>
      </c>
      <c r="CNX31">
        <v>1</v>
      </c>
      <c r="COD31">
        <v>1</v>
      </c>
      <c r="COF31">
        <v>1</v>
      </c>
      <c r="COG31">
        <v>1</v>
      </c>
      <c r="COJ31">
        <v>1</v>
      </c>
      <c r="CPW31">
        <v>1</v>
      </c>
      <c r="CQC31">
        <v>1</v>
      </c>
      <c r="CQE31">
        <v>1</v>
      </c>
      <c r="CQS31">
        <v>1</v>
      </c>
      <c r="CQY31">
        <v>1</v>
      </c>
      <c r="CRD31">
        <v>1</v>
      </c>
      <c r="CRG31">
        <v>1</v>
      </c>
      <c r="CRT31">
        <v>1</v>
      </c>
      <c r="CRZ31">
        <v>1</v>
      </c>
      <c r="CSF31">
        <v>1</v>
      </c>
      <c r="CSO31">
        <v>1</v>
      </c>
      <c r="CSX31">
        <v>1</v>
      </c>
      <c r="CTH31">
        <v>1</v>
      </c>
      <c r="CTP31">
        <v>1</v>
      </c>
      <c r="CTQ31">
        <v>1</v>
      </c>
      <c r="CTY31">
        <v>1</v>
      </c>
      <c r="CUC31">
        <v>1</v>
      </c>
      <c r="CUN31">
        <v>1</v>
      </c>
      <c r="CVD31">
        <v>1</v>
      </c>
      <c r="CVE31">
        <v>1</v>
      </c>
      <c r="CVG31">
        <v>1</v>
      </c>
      <c r="CVK31">
        <v>1</v>
      </c>
      <c r="CVN31">
        <v>1</v>
      </c>
      <c r="CWF31">
        <v>1</v>
      </c>
      <c r="CWV31">
        <v>1</v>
      </c>
      <c r="CWW31">
        <v>1</v>
      </c>
      <c r="CXP31">
        <v>1</v>
      </c>
      <c r="CXR31">
        <v>1</v>
      </c>
      <c r="CXW31">
        <v>1</v>
      </c>
      <c r="CXX31">
        <v>1</v>
      </c>
      <c r="CYC31">
        <v>1</v>
      </c>
      <c r="CYN31">
        <v>1</v>
      </c>
      <c r="CYP31">
        <v>1</v>
      </c>
      <c r="CZC31">
        <v>1</v>
      </c>
      <c r="CZE31">
        <v>1</v>
      </c>
      <c r="CZH31">
        <v>1</v>
      </c>
      <c r="CZR31">
        <v>1</v>
      </c>
      <c r="DAK31">
        <v>1</v>
      </c>
      <c r="DAO31">
        <v>1</v>
      </c>
      <c r="DAV31">
        <v>1</v>
      </c>
      <c r="DAZ31">
        <v>1</v>
      </c>
      <c r="DBD31">
        <v>1</v>
      </c>
      <c r="DBR31">
        <v>1</v>
      </c>
      <c r="DBS31">
        <v>1</v>
      </c>
      <c r="DBT31">
        <v>1</v>
      </c>
      <c r="DBU31">
        <v>1</v>
      </c>
      <c r="DBW31">
        <v>1</v>
      </c>
      <c r="DBY31">
        <v>1</v>
      </c>
      <c r="DCH31">
        <v>1</v>
      </c>
      <c r="DCJ31">
        <v>1</v>
      </c>
      <c r="DCN31">
        <v>1</v>
      </c>
      <c r="DCP31">
        <v>1</v>
      </c>
      <c r="DCQ31">
        <v>1</v>
      </c>
      <c r="DCT31">
        <v>1</v>
      </c>
      <c r="DCW31">
        <v>1</v>
      </c>
      <c r="DDA31">
        <v>1</v>
      </c>
      <c r="DDP31">
        <v>1</v>
      </c>
      <c r="DDR31">
        <v>1</v>
      </c>
      <c r="DDS31">
        <v>1</v>
      </c>
      <c r="DDT31">
        <v>1</v>
      </c>
      <c r="DEA31">
        <v>1</v>
      </c>
      <c r="DEB31">
        <v>1</v>
      </c>
      <c r="DEG31">
        <v>1</v>
      </c>
      <c r="DEN31">
        <v>1</v>
      </c>
      <c r="DEQ31">
        <v>1</v>
      </c>
      <c r="DET31">
        <v>1</v>
      </c>
      <c r="DEV31">
        <v>1</v>
      </c>
      <c r="DEW31">
        <v>1</v>
      </c>
      <c r="DFC31">
        <v>1</v>
      </c>
      <c r="DFG31">
        <v>1</v>
      </c>
      <c r="DFK31">
        <v>1</v>
      </c>
      <c r="DFN31">
        <v>1</v>
      </c>
      <c r="DFP31">
        <v>1</v>
      </c>
      <c r="DGD31">
        <v>1</v>
      </c>
      <c r="DGN31">
        <v>1</v>
      </c>
      <c r="DGP31">
        <v>1</v>
      </c>
      <c r="DGS31">
        <v>1</v>
      </c>
      <c r="DGT31">
        <v>1</v>
      </c>
      <c r="DGV31">
        <v>1</v>
      </c>
      <c r="DHE31">
        <v>1</v>
      </c>
      <c r="DHF31">
        <v>1</v>
      </c>
      <c r="DHI31">
        <v>1</v>
      </c>
      <c r="DHJ31">
        <v>1</v>
      </c>
      <c r="DHM31">
        <v>1</v>
      </c>
      <c r="DHN31">
        <v>1</v>
      </c>
      <c r="DHO31">
        <v>1</v>
      </c>
      <c r="DHR31">
        <v>1</v>
      </c>
      <c r="DHS31">
        <v>1</v>
      </c>
      <c r="DHU31">
        <v>1</v>
      </c>
      <c r="DHY31">
        <v>1</v>
      </c>
      <c r="DIA31">
        <v>1</v>
      </c>
      <c r="DII31">
        <v>1</v>
      </c>
      <c r="DIK31">
        <v>1</v>
      </c>
      <c r="DIM31">
        <v>1</v>
      </c>
      <c r="DIN31">
        <v>1</v>
      </c>
      <c r="DIR31">
        <v>1</v>
      </c>
      <c r="DIT31">
        <v>1</v>
      </c>
      <c r="DIW31">
        <v>1</v>
      </c>
      <c r="DIY31">
        <v>1</v>
      </c>
      <c r="DJB31">
        <v>1</v>
      </c>
      <c r="DJD31">
        <v>1</v>
      </c>
      <c r="DJN31">
        <v>1</v>
      </c>
      <c r="DJO31">
        <v>1</v>
      </c>
      <c r="DJP31">
        <v>1</v>
      </c>
      <c r="DJR31">
        <v>1</v>
      </c>
      <c r="DJT31">
        <v>1</v>
      </c>
      <c r="DJX31">
        <v>1</v>
      </c>
      <c r="DKE31">
        <v>1</v>
      </c>
      <c r="DKG31">
        <v>1</v>
      </c>
      <c r="DKK31">
        <v>1</v>
      </c>
      <c r="DKR31">
        <v>1</v>
      </c>
      <c r="DKZ31">
        <v>1</v>
      </c>
      <c r="DLF31">
        <v>1</v>
      </c>
      <c r="DLG31">
        <v>1</v>
      </c>
      <c r="DLH31">
        <v>1</v>
      </c>
      <c r="DLK31">
        <v>1</v>
      </c>
      <c r="DLR31">
        <v>1</v>
      </c>
      <c r="DLV31">
        <v>1</v>
      </c>
      <c r="DLZ31">
        <v>1</v>
      </c>
      <c r="DME31">
        <v>1</v>
      </c>
      <c r="DMI31">
        <v>1</v>
      </c>
      <c r="DMK31">
        <v>1</v>
      </c>
      <c r="DMT31">
        <v>1</v>
      </c>
      <c r="DMV31">
        <v>1</v>
      </c>
      <c r="DNB31">
        <v>1</v>
      </c>
      <c r="DND31">
        <v>1</v>
      </c>
      <c r="DNE31">
        <v>1</v>
      </c>
      <c r="DNG31">
        <v>1</v>
      </c>
      <c r="DNI31">
        <v>1</v>
      </c>
      <c r="DNN31">
        <v>1</v>
      </c>
      <c r="DNP31">
        <v>1</v>
      </c>
      <c r="DNV31">
        <v>1</v>
      </c>
      <c r="DNW31">
        <v>1</v>
      </c>
      <c r="DOB31">
        <v>1</v>
      </c>
      <c r="DOE31">
        <v>1</v>
      </c>
      <c r="DOG31">
        <v>1</v>
      </c>
      <c r="DOH31">
        <v>1</v>
      </c>
      <c r="DOK31">
        <v>1</v>
      </c>
      <c r="DOM31">
        <v>1</v>
      </c>
      <c r="DOO31">
        <v>1</v>
      </c>
      <c r="DOV31">
        <v>1</v>
      </c>
      <c r="DOW31">
        <v>1</v>
      </c>
      <c r="DOZ31">
        <v>1</v>
      </c>
      <c r="DPB31">
        <v>1</v>
      </c>
      <c r="DPC31">
        <v>1</v>
      </c>
      <c r="DPF31">
        <v>1</v>
      </c>
      <c r="DPI31">
        <v>1</v>
      </c>
      <c r="DPJ31">
        <v>1</v>
      </c>
      <c r="DPK31">
        <v>1</v>
      </c>
      <c r="DPL31">
        <v>1</v>
      </c>
      <c r="DPN31">
        <v>1</v>
      </c>
      <c r="DPP31">
        <v>1</v>
      </c>
      <c r="DPQ31">
        <v>1</v>
      </c>
      <c r="DPS31">
        <v>1</v>
      </c>
      <c r="DPZ31">
        <v>1</v>
      </c>
      <c r="DQE31">
        <v>1</v>
      </c>
      <c r="DQH31">
        <v>1</v>
      </c>
      <c r="DQI31">
        <v>1</v>
      </c>
      <c r="DQN31">
        <v>1</v>
      </c>
      <c r="DQO31">
        <v>1</v>
      </c>
      <c r="DQP31">
        <v>1</v>
      </c>
      <c r="DQQ31">
        <v>1</v>
      </c>
      <c r="DQT31">
        <v>1</v>
      </c>
      <c r="DQU31">
        <v>1</v>
      </c>
      <c r="DQV31">
        <v>1</v>
      </c>
      <c r="DQW31">
        <v>1</v>
      </c>
      <c r="DQY31">
        <v>1</v>
      </c>
      <c r="DQZ31">
        <v>1</v>
      </c>
      <c r="DRH31">
        <v>1</v>
      </c>
      <c r="DRJ31">
        <v>1</v>
      </c>
      <c r="DRK31">
        <v>1</v>
      </c>
      <c r="DRQ31">
        <v>1</v>
      </c>
      <c r="DRR31">
        <v>1</v>
      </c>
      <c r="DRS31">
        <v>1</v>
      </c>
      <c r="DRY31">
        <v>1</v>
      </c>
      <c r="DRZ31">
        <v>1</v>
      </c>
      <c r="DSA31">
        <v>1</v>
      </c>
      <c r="DSB31">
        <v>1</v>
      </c>
      <c r="DSC31">
        <v>1</v>
      </c>
      <c r="DSD31">
        <v>1</v>
      </c>
      <c r="DSI31">
        <v>1</v>
      </c>
      <c r="DSO31">
        <v>1</v>
      </c>
      <c r="DSP31">
        <v>1</v>
      </c>
      <c r="DSQ31">
        <v>1</v>
      </c>
      <c r="DSR31">
        <v>1</v>
      </c>
      <c r="DSS31">
        <v>1</v>
      </c>
      <c r="DSV31">
        <v>1</v>
      </c>
      <c r="DSW31">
        <v>1</v>
      </c>
      <c r="DSY31">
        <v>1</v>
      </c>
      <c r="DSZ31">
        <v>1</v>
      </c>
      <c r="DTA31">
        <v>1</v>
      </c>
      <c r="DTC31">
        <v>1</v>
      </c>
      <c r="DTD31">
        <v>1</v>
      </c>
      <c r="DTI31">
        <v>1</v>
      </c>
      <c r="DTM31">
        <v>1</v>
      </c>
      <c r="DTN31">
        <v>1</v>
      </c>
      <c r="DTO31">
        <v>1</v>
      </c>
      <c r="DTT31">
        <v>1</v>
      </c>
      <c r="DTW31">
        <v>1</v>
      </c>
      <c r="DTY31">
        <v>1</v>
      </c>
      <c r="DTZ31">
        <v>1</v>
      </c>
      <c r="DUC31">
        <v>1</v>
      </c>
      <c r="DUF31">
        <v>1</v>
      </c>
      <c r="DUG31">
        <v>1</v>
      </c>
      <c r="DUH31">
        <v>1</v>
      </c>
      <c r="DUJ31">
        <v>1</v>
      </c>
      <c r="DUL31">
        <v>1</v>
      </c>
      <c r="DUO31">
        <v>1</v>
      </c>
      <c r="DUV31">
        <v>1</v>
      </c>
      <c r="DUW31">
        <v>1</v>
      </c>
      <c r="DUX31">
        <v>1</v>
      </c>
      <c r="DUY31">
        <v>1</v>
      </c>
      <c r="DVE31">
        <v>1</v>
      </c>
      <c r="DVH31">
        <v>1</v>
      </c>
      <c r="DVI31">
        <v>1</v>
      </c>
      <c r="DVK31">
        <v>1</v>
      </c>
      <c r="DVM31">
        <v>1</v>
      </c>
      <c r="DVN31">
        <v>1</v>
      </c>
      <c r="DVO31">
        <v>1</v>
      </c>
      <c r="DVT31">
        <v>1</v>
      </c>
      <c r="DVU31">
        <v>1</v>
      </c>
      <c r="DVZ31">
        <v>1</v>
      </c>
      <c r="DWA31">
        <v>1</v>
      </c>
      <c r="DWB31">
        <v>1</v>
      </c>
      <c r="DWC31">
        <v>1</v>
      </c>
      <c r="DWE31">
        <v>1</v>
      </c>
      <c r="DWJ31">
        <v>1</v>
      </c>
      <c r="DWK31">
        <v>1</v>
      </c>
      <c r="DWN31">
        <v>1</v>
      </c>
      <c r="DWP31">
        <v>1</v>
      </c>
      <c r="DWW31">
        <v>1</v>
      </c>
      <c r="DWX31">
        <v>1</v>
      </c>
      <c r="DXC31">
        <v>1</v>
      </c>
      <c r="DXD31">
        <v>1</v>
      </c>
      <c r="DXE31">
        <v>1</v>
      </c>
      <c r="DXF31">
        <v>1</v>
      </c>
      <c r="DXH31">
        <v>1</v>
      </c>
      <c r="DXP31">
        <v>1</v>
      </c>
      <c r="DXQ31">
        <v>1</v>
      </c>
      <c r="DXR31">
        <v>1</v>
      </c>
      <c r="DXU31">
        <v>1</v>
      </c>
      <c r="DXW31">
        <v>1</v>
      </c>
      <c r="DXX31">
        <v>1</v>
      </c>
      <c r="DYA31">
        <v>1</v>
      </c>
      <c r="DYB31">
        <v>1</v>
      </c>
      <c r="DYF31">
        <v>1</v>
      </c>
      <c r="DYM31">
        <v>1</v>
      </c>
      <c r="DYO31">
        <v>1</v>
      </c>
      <c r="DYS31">
        <v>1</v>
      </c>
      <c r="DYW31">
        <v>1</v>
      </c>
      <c r="DYY31">
        <v>1</v>
      </c>
      <c r="DZA31">
        <v>1</v>
      </c>
      <c r="DZB31">
        <v>1</v>
      </c>
      <c r="DZC31">
        <v>1</v>
      </c>
      <c r="DZH31">
        <v>1</v>
      </c>
      <c r="DZJ31">
        <v>1</v>
      </c>
      <c r="DZL31">
        <v>1</v>
      </c>
      <c r="DZN31">
        <v>1</v>
      </c>
      <c r="DZQ31">
        <v>1</v>
      </c>
      <c r="DZV31">
        <v>1</v>
      </c>
      <c r="DZW31">
        <v>1</v>
      </c>
      <c r="DZY31">
        <v>1</v>
      </c>
      <c r="DZZ31">
        <v>1</v>
      </c>
      <c r="EAD31">
        <v>1</v>
      </c>
      <c r="EAF31">
        <v>1</v>
      </c>
      <c r="EAH31">
        <v>1</v>
      </c>
      <c r="EAJ31">
        <v>1</v>
      </c>
      <c r="EAK31">
        <v>1</v>
      </c>
      <c r="EAQ31">
        <v>1</v>
      </c>
      <c r="EAW31">
        <v>1</v>
      </c>
      <c r="EAX31">
        <v>1</v>
      </c>
      <c r="EAZ31">
        <v>1</v>
      </c>
      <c r="EBA31">
        <v>1</v>
      </c>
      <c r="EBB31">
        <v>1</v>
      </c>
      <c r="EBU31">
        <v>1</v>
      </c>
      <c r="EDG31">
        <f>SUMPRODUCT(Constraint_25,Decision_variables)</f>
        <v>1</v>
      </c>
      <c r="EDH31" t="s">
        <v>5264</v>
      </c>
      <c r="EDI31">
        <v>1</v>
      </c>
    </row>
    <row r="32" spans="2:3493" x14ac:dyDescent="0.3">
      <c r="B32" t="s">
        <v>3517</v>
      </c>
      <c r="AJ32">
        <v>1</v>
      </c>
      <c r="BU32">
        <v>1</v>
      </c>
      <c r="EB32">
        <v>1</v>
      </c>
      <c r="EM32">
        <v>1</v>
      </c>
      <c r="EW32">
        <v>1</v>
      </c>
      <c r="FP32">
        <v>1</v>
      </c>
      <c r="GE32">
        <v>1</v>
      </c>
      <c r="JC32">
        <v>1</v>
      </c>
      <c r="JS32">
        <v>1</v>
      </c>
      <c r="LM32">
        <v>1</v>
      </c>
      <c r="QD32">
        <v>1</v>
      </c>
      <c r="QR32">
        <v>1</v>
      </c>
      <c r="QT32">
        <v>1</v>
      </c>
      <c r="SB32">
        <v>1</v>
      </c>
      <c r="TG32">
        <v>1</v>
      </c>
      <c r="TM32">
        <v>1</v>
      </c>
      <c r="VK32">
        <v>1</v>
      </c>
      <c r="VV32">
        <v>1</v>
      </c>
      <c r="VX32">
        <v>1</v>
      </c>
      <c r="XH32">
        <v>1</v>
      </c>
      <c r="XK32">
        <v>1</v>
      </c>
      <c r="XO32">
        <v>1</v>
      </c>
      <c r="ZD32">
        <v>1</v>
      </c>
      <c r="ZF32">
        <v>1</v>
      </c>
      <c r="ZK32">
        <v>1</v>
      </c>
      <c r="ZQ32">
        <v>1</v>
      </c>
      <c r="ZR32">
        <v>1</v>
      </c>
      <c r="ZU32">
        <v>1</v>
      </c>
      <c r="ACJ32">
        <v>1</v>
      </c>
      <c r="ADT32">
        <v>1</v>
      </c>
      <c r="AFP32">
        <v>1</v>
      </c>
      <c r="AFY32">
        <v>1</v>
      </c>
      <c r="AHG32">
        <v>1</v>
      </c>
      <c r="AIK32">
        <v>1</v>
      </c>
      <c r="AIN32">
        <v>1</v>
      </c>
      <c r="AJP32">
        <v>1</v>
      </c>
      <c r="AJY32">
        <v>1</v>
      </c>
      <c r="AQZ32">
        <v>1</v>
      </c>
      <c r="ARE32">
        <v>1</v>
      </c>
      <c r="ARG32">
        <v>1</v>
      </c>
      <c r="ASC32">
        <v>1</v>
      </c>
      <c r="ATO32">
        <v>1</v>
      </c>
      <c r="AUT32">
        <v>1</v>
      </c>
      <c r="AVR32">
        <v>1</v>
      </c>
      <c r="AXB32">
        <v>1</v>
      </c>
      <c r="AYC32">
        <v>1</v>
      </c>
      <c r="BAI32">
        <v>1</v>
      </c>
      <c r="BEM32">
        <v>1</v>
      </c>
      <c r="BER32">
        <v>1</v>
      </c>
      <c r="BEZ32">
        <v>1</v>
      </c>
      <c r="BGG32">
        <v>1</v>
      </c>
      <c r="BIP32">
        <v>1</v>
      </c>
      <c r="BJY32">
        <v>1</v>
      </c>
      <c r="BKT32">
        <v>1</v>
      </c>
      <c r="BLD32">
        <v>1</v>
      </c>
      <c r="BLE32">
        <v>1</v>
      </c>
      <c r="BMA32">
        <v>1</v>
      </c>
      <c r="BMC32">
        <v>1</v>
      </c>
      <c r="BOJ32">
        <v>1</v>
      </c>
      <c r="BPU32">
        <v>1</v>
      </c>
      <c r="BSB32">
        <v>1</v>
      </c>
      <c r="BSM32">
        <v>1</v>
      </c>
      <c r="BSW32">
        <v>1</v>
      </c>
      <c r="BTP32">
        <v>1</v>
      </c>
      <c r="BUE32">
        <v>1</v>
      </c>
      <c r="BXC32">
        <v>1</v>
      </c>
      <c r="BXS32">
        <v>1</v>
      </c>
      <c r="BZM32">
        <v>1</v>
      </c>
      <c r="CED32">
        <v>1</v>
      </c>
      <c r="CER32">
        <v>1</v>
      </c>
      <c r="CET32">
        <v>1</v>
      </c>
      <c r="CGB32">
        <v>1</v>
      </c>
      <c r="CHG32">
        <v>1</v>
      </c>
      <c r="CHM32">
        <v>1</v>
      </c>
      <c r="CJK32">
        <v>1</v>
      </c>
      <c r="CJV32">
        <v>1</v>
      </c>
      <c r="CJX32">
        <v>1</v>
      </c>
      <c r="CLH32">
        <v>1</v>
      </c>
      <c r="CLK32">
        <v>1</v>
      </c>
      <c r="CLO32">
        <v>1</v>
      </c>
      <c r="CND32">
        <v>1</v>
      </c>
      <c r="CNF32">
        <v>1</v>
      </c>
      <c r="CNK32">
        <v>1</v>
      </c>
      <c r="CNQ32">
        <v>1</v>
      </c>
      <c r="CNR32">
        <v>1</v>
      </c>
      <c r="CNU32">
        <v>1</v>
      </c>
      <c r="CQJ32">
        <v>1</v>
      </c>
      <c r="CRT32">
        <v>1</v>
      </c>
      <c r="CTP32">
        <v>1</v>
      </c>
      <c r="CTY32">
        <v>1</v>
      </c>
      <c r="CVG32">
        <v>1</v>
      </c>
      <c r="CWK32">
        <v>1</v>
      </c>
      <c r="CWN32">
        <v>1</v>
      </c>
      <c r="CXP32">
        <v>1</v>
      </c>
      <c r="CXY32">
        <v>1</v>
      </c>
      <c r="DEZ32">
        <v>1</v>
      </c>
      <c r="DFE32">
        <v>1</v>
      </c>
      <c r="DFG32">
        <v>1</v>
      </c>
      <c r="DGC32">
        <v>1</v>
      </c>
      <c r="DHO32">
        <v>1</v>
      </c>
      <c r="DIT32">
        <v>1</v>
      </c>
      <c r="DJR32">
        <v>1</v>
      </c>
      <c r="DLB32">
        <v>1</v>
      </c>
      <c r="DMC32">
        <v>1</v>
      </c>
      <c r="DOI32">
        <v>1</v>
      </c>
      <c r="DSM32">
        <v>1</v>
      </c>
      <c r="DSR32">
        <v>1</v>
      </c>
      <c r="DSZ32">
        <v>1</v>
      </c>
      <c r="DUG32">
        <v>1</v>
      </c>
      <c r="DWP32">
        <v>1</v>
      </c>
      <c r="DXY32">
        <v>1</v>
      </c>
      <c r="DYT32">
        <v>1</v>
      </c>
      <c r="DZD32">
        <v>1</v>
      </c>
      <c r="DZE32">
        <v>1</v>
      </c>
      <c r="EAA32">
        <v>1</v>
      </c>
      <c r="EAC32">
        <v>1</v>
      </c>
      <c r="EBV32">
        <v>1</v>
      </c>
      <c r="EDG32">
        <f>SUMPRODUCT(Constraint_26,Decision_variables)</f>
        <v>1</v>
      </c>
      <c r="EDH32" t="s">
        <v>5264</v>
      </c>
      <c r="EDI32">
        <v>1</v>
      </c>
    </row>
    <row r="33" spans="2:1024 1026:2047 2050:3071 3075:3493" x14ac:dyDescent="0.3">
      <c r="B33" t="s">
        <v>3518</v>
      </c>
      <c r="T33">
        <v>1</v>
      </c>
      <c r="CE33">
        <v>1</v>
      </c>
      <c r="CL33">
        <v>1</v>
      </c>
      <c r="CQ33">
        <v>1</v>
      </c>
      <c r="CT33">
        <v>1</v>
      </c>
      <c r="DK33">
        <v>1</v>
      </c>
      <c r="FB33">
        <v>1</v>
      </c>
      <c r="FD33">
        <v>1</v>
      </c>
      <c r="FE33">
        <v>1</v>
      </c>
      <c r="FH33">
        <v>1</v>
      </c>
      <c r="FJ33">
        <v>1</v>
      </c>
      <c r="FQ33">
        <v>1</v>
      </c>
      <c r="IK33">
        <v>1</v>
      </c>
      <c r="IN33">
        <v>1</v>
      </c>
      <c r="IQ33">
        <v>1</v>
      </c>
      <c r="IU33">
        <v>1</v>
      </c>
      <c r="IX33">
        <v>1</v>
      </c>
      <c r="IY33">
        <v>1</v>
      </c>
      <c r="IZ33">
        <v>1</v>
      </c>
      <c r="JO33">
        <v>1</v>
      </c>
      <c r="KJ33">
        <v>1</v>
      </c>
      <c r="KL33">
        <v>1</v>
      </c>
      <c r="LJ33">
        <v>1</v>
      </c>
      <c r="LN33">
        <v>1</v>
      </c>
      <c r="LS33">
        <v>1</v>
      </c>
      <c r="LY33">
        <v>1</v>
      </c>
      <c r="MR33">
        <v>1</v>
      </c>
      <c r="MW33">
        <v>1</v>
      </c>
      <c r="MX33">
        <v>1</v>
      </c>
      <c r="MY33">
        <v>1</v>
      </c>
      <c r="NP33">
        <v>1</v>
      </c>
      <c r="OH33">
        <v>1</v>
      </c>
      <c r="OV33">
        <v>1</v>
      </c>
      <c r="QR33">
        <v>1</v>
      </c>
      <c r="QW33">
        <v>1</v>
      </c>
      <c r="RM33">
        <v>1</v>
      </c>
      <c r="RS33">
        <v>1</v>
      </c>
      <c r="RX33">
        <v>1</v>
      </c>
      <c r="SQ33">
        <v>1</v>
      </c>
      <c r="UE33">
        <v>1</v>
      </c>
      <c r="UG33">
        <v>1</v>
      </c>
      <c r="VP33">
        <v>1</v>
      </c>
      <c r="VU33">
        <v>1</v>
      </c>
      <c r="VW33">
        <v>1</v>
      </c>
      <c r="WO33">
        <v>1</v>
      </c>
      <c r="AAL33">
        <v>1</v>
      </c>
      <c r="AAX33">
        <v>1</v>
      </c>
      <c r="AEX33">
        <v>1</v>
      </c>
      <c r="AFE33">
        <v>1</v>
      </c>
      <c r="AFR33">
        <v>1</v>
      </c>
      <c r="AGR33">
        <v>1</v>
      </c>
      <c r="AHE33">
        <v>1</v>
      </c>
      <c r="AIU33">
        <v>1</v>
      </c>
      <c r="AIY33">
        <v>1</v>
      </c>
      <c r="ALC33">
        <v>1</v>
      </c>
      <c r="ALO33">
        <v>1</v>
      </c>
      <c r="ALR33">
        <v>1</v>
      </c>
      <c r="AMR33">
        <v>1</v>
      </c>
      <c r="AOF33">
        <v>1</v>
      </c>
      <c r="AOJ33">
        <v>1</v>
      </c>
      <c r="AOX33">
        <v>1</v>
      </c>
      <c r="APN33">
        <v>1</v>
      </c>
      <c r="AQG33">
        <v>1</v>
      </c>
      <c r="ASL33">
        <v>1</v>
      </c>
      <c r="AUO33">
        <v>1</v>
      </c>
      <c r="AWI33">
        <v>1</v>
      </c>
      <c r="AYG33">
        <v>1</v>
      </c>
      <c r="AYK33">
        <v>1</v>
      </c>
      <c r="BAB33">
        <v>1</v>
      </c>
      <c r="BBF33">
        <v>1</v>
      </c>
      <c r="BCO33">
        <v>1</v>
      </c>
      <c r="BEN33">
        <v>1</v>
      </c>
      <c r="BFS33">
        <v>1</v>
      </c>
      <c r="BGP33">
        <v>1</v>
      </c>
      <c r="BGZ33">
        <v>1</v>
      </c>
      <c r="BHB33">
        <v>1</v>
      </c>
      <c r="BIG33">
        <v>1</v>
      </c>
      <c r="BIL33">
        <v>1</v>
      </c>
      <c r="BJX33">
        <v>1</v>
      </c>
      <c r="BLG33">
        <v>1</v>
      </c>
      <c r="BNT33">
        <v>1</v>
      </c>
      <c r="BQE33">
        <v>1</v>
      </c>
      <c r="BQL33">
        <v>1</v>
      </c>
      <c r="BQQ33">
        <v>1</v>
      </c>
      <c r="BQT33">
        <v>1</v>
      </c>
      <c r="BRK33">
        <v>1</v>
      </c>
      <c r="BTB33">
        <v>1</v>
      </c>
      <c r="BTD33">
        <v>1</v>
      </c>
      <c r="BTE33">
        <v>1</v>
      </c>
      <c r="BTH33">
        <v>1</v>
      </c>
      <c r="BTJ33">
        <v>1</v>
      </c>
      <c r="BTQ33">
        <v>1</v>
      </c>
      <c r="BWK33">
        <v>1</v>
      </c>
      <c r="BWN33">
        <v>1</v>
      </c>
      <c r="BWQ33">
        <v>1</v>
      </c>
      <c r="BWU33">
        <v>1</v>
      </c>
      <c r="BWX33">
        <v>1</v>
      </c>
      <c r="BWY33">
        <v>1</v>
      </c>
      <c r="BWZ33">
        <v>1</v>
      </c>
      <c r="BXO33">
        <v>1</v>
      </c>
      <c r="BYJ33">
        <v>1</v>
      </c>
      <c r="BYL33">
        <v>1</v>
      </c>
      <c r="BZJ33">
        <v>1</v>
      </c>
      <c r="BZN33">
        <v>1</v>
      </c>
      <c r="BZS33">
        <v>1</v>
      </c>
      <c r="BZY33">
        <v>1</v>
      </c>
      <c r="CAR33">
        <v>1</v>
      </c>
      <c r="CAW33">
        <v>1</v>
      </c>
      <c r="CAX33">
        <v>1</v>
      </c>
      <c r="CAY33">
        <v>1</v>
      </c>
      <c r="CBP33">
        <v>1</v>
      </c>
      <c r="CCH33">
        <v>1</v>
      </c>
      <c r="CCV33">
        <v>1</v>
      </c>
      <c r="CER33">
        <v>1</v>
      </c>
      <c r="CEW33">
        <v>1</v>
      </c>
      <c r="CFM33">
        <v>1</v>
      </c>
      <c r="CFS33">
        <v>1</v>
      </c>
      <c r="CFX33">
        <v>1</v>
      </c>
      <c r="CGQ33">
        <v>1</v>
      </c>
      <c r="CIE33">
        <v>1</v>
      </c>
      <c r="CIG33">
        <v>1</v>
      </c>
      <c r="CJP33">
        <v>1</v>
      </c>
      <c r="CJU33">
        <v>1</v>
      </c>
      <c r="CJW33">
        <v>1</v>
      </c>
      <c r="CKO33">
        <v>1</v>
      </c>
      <c r="COL33">
        <v>1</v>
      </c>
      <c r="COX33">
        <v>1</v>
      </c>
      <c r="CSX33">
        <v>1</v>
      </c>
      <c r="CTE33">
        <v>1</v>
      </c>
      <c r="CTR33">
        <v>1</v>
      </c>
      <c r="CUR33">
        <v>1</v>
      </c>
      <c r="CVE33">
        <v>1</v>
      </c>
      <c r="CWU33">
        <v>1</v>
      </c>
      <c r="CWY33">
        <v>1</v>
      </c>
      <c r="CZC33">
        <v>1</v>
      </c>
      <c r="CZO33">
        <v>1</v>
      </c>
      <c r="CZR33">
        <v>1</v>
      </c>
      <c r="DAR33">
        <v>1</v>
      </c>
      <c r="DCF33">
        <v>1</v>
      </c>
      <c r="DCJ33">
        <v>1</v>
      </c>
      <c r="DCX33">
        <v>1</v>
      </c>
      <c r="DDN33">
        <v>1</v>
      </c>
      <c r="DEG33">
        <v>1</v>
      </c>
      <c r="DGL33">
        <v>1</v>
      </c>
      <c r="DIO33">
        <v>1</v>
      </c>
      <c r="DKI33">
        <v>1</v>
      </c>
      <c r="DMG33">
        <v>1</v>
      </c>
      <c r="DMK33">
        <v>1</v>
      </c>
      <c r="DOB33">
        <v>1</v>
      </c>
      <c r="DPF33">
        <v>1</v>
      </c>
      <c r="DQO33">
        <v>1</v>
      </c>
      <c r="DSN33">
        <v>1</v>
      </c>
      <c r="DTS33">
        <v>1</v>
      </c>
      <c r="DUP33">
        <v>1</v>
      </c>
      <c r="DUZ33">
        <v>1</v>
      </c>
      <c r="DVB33">
        <v>1</v>
      </c>
      <c r="DWG33">
        <v>1</v>
      </c>
      <c r="DWL33">
        <v>1</v>
      </c>
      <c r="DXX33">
        <v>1</v>
      </c>
      <c r="DZG33">
        <v>1</v>
      </c>
      <c r="EBW33">
        <v>1</v>
      </c>
      <c r="EDG33">
        <f>SUMPRODUCT(Constraint_27,Decision_variables)</f>
        <v>1</v>
      </c>
      <c r="EDH33" t="s">
        <v>5264</v>
      </c>
      <c r="EDI33">
        <v>1</v>
      </c>
    </row>
    <row r="34" spans="2:1024 1026:2047 2050:3071 3075:3493" x14ac:dyDescent="0.3">
      <c r="B34" t="s">
        <v>3519</v>
      </c>
      <c r="N34">
        <v>1</v>
      </c>
      <c r="AM34">
        <v>1</v>
      </c>
      <c r="BE34">
        <v>1</v>
      </c>
      <c r="BI34">
        <v>1</v>
      </c>
      <c r="BK34">
        <v>1</v>
      </c>
      <c r="BM34">
        <v>1</v>
      </c>
      <c r="BO34">
        <v>1</v>
      </c>
      <c r="BP34">
        <v>1</v>
      </c>
      <c r="BQ34">
        <v>1</v>
      </c>
      <c r="BR34">
        <v>1</v>
      </c>
      <c r="CA34">
        <v>1</v>
      </c>
      <c r="DG34">
        <v>1</v>
      </c>
      <c r="DI34">
        <v>1</v>
      </c>
      <c r="EQ34">
        <v>1</v>
      </c>
      <c r="EU34">
        <v>1</v>
      </c>
      <c r="EZ34">
        <v>1</v>
      </c>
      <c r="FD34">
        <v>1</v>
      </c>
      <c r="FE34">
        <v>1</v>
      </c>
      <c r="FU34">
        <v>1</v>
      </c>
      <c r="FW34">
        <v>1</v>
      </c>
      <c r="FZ34">
        <v>1</v>
      </c>
      <c r="GC34">
        <v>1</v>
      </c>
      <c r="GL34">
        <v>1</v>
      </c>
      <c r="GM34">
        <v>1</v>
      </c>
      <c r="GN34">
        <v>1</v>
      </c>
      <c r="GR34">
        <v>1</v>
      </c>
      <c r="GS34">
        <v>1</v>
      </c>
      <c r="HF34">
        <v>1</v>
      </c>
      <c r="HG34">
        <v>1</v>
      </c>
      <c r="HH34">
        <v>1</v>
      </c>
      <c r="HL34">
        <v>1</v>
      </c>
      <c r="HM34">
        <v>1</v>
      </c>
      <c r="HN34">
        <v>1</v>
      </c>
      <c r="HZ34">
        <v>1</v>
      </c>
      <c r="IA34">
        <v>1</v>
      </c>
      <c r="IC34">
        <v>1</v>
      </c>
      <c r="ID34">
        <v>1</v>
      </c>
      <c r="IE34">
        <v>1</v>
      </c>
      <c r="IG34">
        <v>1</v>
      </c>
      <c r="IM34">
        <v>1</v>
      </c>
      <c r="IS34">
        <v>1</v>
      </c>
      <c r="JH34">
        <v>1</v>
      </c>
      <c r="JJ34">
        <v>1</v>
      </c>
      <c r="JV34">
        <v>1</v>
      </c>
      <c r="KI34">
        <v>1</v>
      </c>
      <c r="KS34">
        <v>1</v>
      </c>
      <c r="KY34">
        <v>1</v>
      </c>
      <c r="KZ34">
        <v>1</v>
      </c>
      <c r="LA34">
        <v>1</v>
      </c>
      <c r="LC34">
        <v>1</v>
      </c>
      <c r="LE34">
        <v>1</v>
      </c>
      <c r="LF34">
        <v>1</v>
      </c>
      <c r="LH34">
        <v>1</v>
      </c>
      <c r="LI34">
        <v>1</v>
      </c>
      <c r="LK34">
        <v>1</v>
      </c>
      <c r="LP34">
        <v>1</v>
      </c>
      <c r="LQ34">
        <v>1</v>
      </c>
      <c r="LV34">
        <v>1</v>
      </c>
      <c r="LZ34">
        <v>1</v>
      </c>
      <c r="MC34">
        <v>1</v>
      </c>
      <c r="MD34">
        <v>1</v>
      </c>
      <c r="MI34">
        <v>1</v>
      </c>
      <c r="NA34">
        <v>1</v>
      </c>
      <c r="NC34">
        <v>1</v>
      </c>
      <c r="NL34">
        <v>1</v>
      </c>
      <c r="NM34">
        <v>1</v>
      </c>
      <c r="OA34">
        <v>1</v>
      </c>
      <c r="OK34">
        <v>1</v>
      </c>
      <c r="OP34">
        <v>1</v>
      </c>
      <c r="OU34">
        <v>1</v>
      </c>
      <c r="PG34">
        <v>1</v>
      </c>
      <c r="PX34">
        <v>1</v>
      </c>
      <c r="QS34">
        <v>1</v>
      </c>
      <c r="RG34">
        <v>1</v>
      </c>
      <c r="RW34">
        <v>1</v>
      </c>
      <c r="SI34">
        <v>1</v>
      </c>
      <c r="SN34">
        <v>1</v>
      </c>
      <c r="SS34">
        <v>1</v>
      </c>
      <c r="SX34">
        <v>1</v>
      </c>
      <c r="TA34">
        <v>1</v>
      </c>
      <c r="TE34">
        <v>1</v>
      </c>
      <c r="TL34">
        <v>1</v>
      </c>
      <c r="TR34">
        <v>1</v>
      </c>
      <c r="TW34">
        <v>1</v>
      </c>
      <c r="TX34">
        <v>1</v>
      </c>
      <c r="TY34">
        <v>1</v>
      </c>
      <c r="UA34">
        <v>1</v>
      </c>
      <c r="UF34">
        <v>1</v>
      </c>
      <c r="UH34">
        <v>1</v>
      </c>
      <c r="VC34">
        <v>1</v>
      </c>
      <c r="VR34">
        <v>1</v>
      </c>
      <c r="WC34">
        <v>1</v>
      </c>
      <c r="WN34">
        <v>1</v>
      </c>
      <c r="WP34">
        <v>1</v>
      </c>
      <c r="WS34">
        <v>1</v>
      </c>
      <c r="WU34">
        <v>1</v>
      </c>
      <c r="XA34">
        <v>1</v>
      </c>
      <c r="XL34">
        <v>1</v>
      </c>
      <c r="XN34">
        <v>1</v>
      </c>
      <c r="XV34">
        <v>1</v>
      </c>
      <c r="XX34">
        <v>1</v>
      </c>
      <c r="YA34">
        <v>1</v>
      </c>
      <c r="YF34">
        <v>1</v>
      </c>
      <c r="YN34">
        <v>1</v>
      </c>
      <c r="YR34">
        <v>1</v>
      </c>
      <c r="YZ34">
        <v>1</v>
      </c>
      <c r="ZA34">
        <v>1</v>
      </c>
      <c r="ZD34">
        <v>1</v>
      </c>
      <c r="ZG34">
        <v>1</v>
      </c>
      <c r="ZK34">
        <v>1</v>
      </c>
      <c r="ZQ34">
        <v>1</v>
      </c>
      <c r="ZS34">
        <v>1</v>
      </c>
      <c r="ZY34">
        <v>1</v>
      </c>
      <c r="AAB34">
        <v>1</v>
      </c>
      <c r="AAC34">
        <v>1</v>
      </c>
      <c r="AAF34">
        <v>1</v>
      </c>
      <c r="AAJ34">
        <v>1</v>
      </c>
      <c r="AAK34">
        <v>1</v>
      </c>
      <c r="AAP34">
        <v>1</v>
      </c>
      <c r="AAR34">
        <v>1</v>
      </c>
      <c r="AAZ34">
        <v>1</v>
      </c>
      <c r="ABB34">
        <v>1</v>
      </c>
      <c r="ABO34">
        <v>1</v>
      </c>
      <c r="ACC34">
        <v>1</v>
      </c>
      <c r="ACE34">
        <v>1</v>
      </c>
      <c r="ACG34">
        <v>1</v>
      </c>
      <c r="ACY34">
        <v>1</v>
      </c>
      <c r="ADE34">
        <v>1</v>
      </c>
      <c r="ADG34">
        <v>1</v>
      </c>
      <c r="ADL34">
        <v>1</v>
      </c>
      <c r="ADQ34">
        <v>1</v>
      </c>
      <c r="AEL34">
        <v>1</v>
      </c>
      <c r="AEU34">
        <v>1</v>
      </c>
      <c r="AEY34">
        <v>1</v>
      </c>
      <c r="AFD34">
        <v>1</v>
      </c>
      <c r="AFH34">
        <v>1</v>
      </c>
      <c r="AFU34">
        <v>1</v>
      </c>
      <c r="AFX34">
        <v>1</v>
      </c>
      <c r="AGA34">
        <v>1</v>
      </c>
      <c r="AGV34">
        <v>1</v>
      </c>
      <c r="AGX34">
        <v>1</v>
      </c>
      <c r="AHI34">
        <v>1</v>
      </c>
      <c r="AHJ34">
        <v>1</v>
      </c>
      <c r="AHK34">
        <v>1</v>
      </c>
      <c r="AHL34">
        <v>1</v>
      </c>
      <c r="AHO34">
        <v>1</v>
      </c>
      <c r="AHX34">
        <v>1</v>
      </c>
      <c r="AHY34">
        <v>1</v>
      </c>
      <c r="AIC34">
        <v>1</v>
      </c>
      <c r="AIP34">
        <v>1</v>
      </c>
      <c r="AIS34">
        <v>1</v>
      </c>
      <c r="AIT34">
        <v>1</v>
      </c>
      <c r="AJC34">
        <v>1</v>
      </c>
      <c r="AJO34">
        <v>1</v>
      </c>
      <c r="AKA34">
        <v>1</v>
      </c>
      <c r="AKC34">
        <v>1</v>
      </c>
      <c r="AKM34">
        <v>1</v>
      </c>
      <c r="AKN34">
        <v>1</v>
      </c>
      <c r="ALM34">
        <v>1</v>
      </c>
      <c r="ALQ34">
        <v>1</v>
      </c>
      <c r="ALY34">
        <v>1</v>
      </c>
      <c r="AMG34">
        <v>1</v>
      </c>
      <c r="AMJ34">
        <v>1</v>
      </c>
      <c r="AMO34">
        <v>1</v>
      </c>
      <c r="ANC34">
        <v>1</v>
      </c>
      <c r="ANL34">
        <v>1</v>
      </c>
      <c r="ANR34">
        <v>1</v>
      </c>
      <c r="ANT34">
        <v>1</v>
      </c>
      <c r="ANU34">
        <v>1</v>
      </c>
      <c r="ANY34">
        <v>1</v>
      </c>
      <c r="AOG34">
        <v>1</v>
      </c>
      <c r="APA34">
        <v>1</v>
      </c>
      <c r="APK34">
        <v>1</v>
      </c>
      <c r="APP34">
        <v>1</v>
      </c>
      <c r="APR34">
        <v>1</v>
      </c>
      <c r="AQA34">
        <v>1</v>
      </c>
      <c r="AQH34">
        <v>1</v>
      </c>
      <c r="AQP34">
        <v>1</v>
      </c>
      <c r="AQW34">
        <v>1</v>
      </c>
      <c r="ARB34">
        <v>1</v>
      </c>
      <c r="ARW34">
        <v>1</v>
      </c>
      <c r="ASP34">
        <v>1</v>
      </c>
      <c r="ATG34">
        <v>1</v>
      </c>
      <c r="ATI34">
        <v>1</v>
      </c>
      <c r="ATJ34">
        <v>1</v>
      </c>
      <c r="ATM34">
        <v>1</v>
      </c>
      <c r="ATQ34">
        <v>1</v>
      </c>
      <c r="ATR34">
        <v>1</v>
      </c>
      <c r="ATY34">
        <v>1</v>
      </c>
      <c r="AUG34">
        <v>1</v>
      </c>
      <c r="AUI34">
        <v>1</v>
      </c>
      <c r="AUM34">
        <v>1</v>
      </c>
      <c r="AUN34">
        <v>1</v>
      </c>
      <c r="AUS34">
        <v>1</v>
      </c>
      <c r="AVK34">
        <v>1</v>
      </c>
      <c r="AVL34">
        <v>1</v>
      </c>
      <c r="AVT34">
        <v>1</v>
      </c>
      <c r="AVV34">
        <v>1</v>
      </c>
      <c r="AWH34">
        <v>1</v>
      </c>
      <c r="AWL34">
        <v>1</v>
      </c>
      <c r="AWR34">
        <v>1</v>
      </c>
      <c r="AWZ34">
        <v>1</v>
      </c>
      <c r="AXD34">
        <v>1</v>
      </c>
      <c r="AYD34">
        <v>1</v>
      </c>
      <c r="AYI34">
        <v>1</v>
      </c>
      <c r="AYP34">
        <v>1</v>
      </c>
      <c r="AYS34">
        <v>1</v>
      </c>
      <c r="AZC34">
        <v>1</v>
      </c>
      <c r="AZJ34">
        <v>1</v>
      </c>
      <c r="AZY34">
        <v>1</v>
      </c>
      <c r="BAA34">
        <v>1</v>
      </c>
      <c r="BAQ34">
        <v>1</v>
      </c>
      <c r="BAW34">
        <v>1</v>
      </c>
      <c r="BAY34">
        <v>1</v>
      </c>
      <c r="BAZ34">
        <v>1</v>
      </c>
      <c r="BBK34">
        <v>1</v>
      </c>
      <c r="BCD34">
        <v>1</v>
      </c>
      <c r="BCG34">
        <v>1</v>
      </c>
      <c r="BCK34">
        <v>1</v>
      </c>
      <c r="BCT34">
        <v>1</v>
      </c>
      <c r="BCW34">
        <v>1</v>
      </c>
      <c r="BCZ34">
        <v>1</v>
      </c>
      <c r="BDG34">
        <v>1</v>
      </c>
      <c r="BDZ34">
        <v>1</v>
      </c>
      <c r="BEA34">
        <v>1</v>
      </c>
      <c r="BED34">
        <v>1</v>
      </c>
      <c r="BEF34">
        <v>1</v>
      </c>
      <c r="BEG34">
        <v>1</v>
      </c>
      <c r="BEK34">
        <v>1</v>
      </c>
      <c r="BEL34">
        <v>1</v>
      </c>
      <c r="BFB34">
        <v>1</v>
      </c>
      <c r="BFC34">
        <v>1</v>
      </c>
      <c r="BFL34">
        <v>1</v>
      </c>
      <c r="BFV34">
        <v>1</v>
      </c>
      <c r="BGG34">
        <v>1</v>
      </c>
      <c r="BGQ34">
        <v>1</v>
      </c>
      <c r="BHF34">
        <v>1</v>
      </c>
      <c r="BHY34">
        <v>1</v>
      </c>
      <c r="BJA34">
        <v>1</v>
      </c>
      <c r="BJN34">
        <v>1</v>
      </c>
      <c r="BJS34">
        <v>1</v>
      </c>
      <c r="BKH34">
        <v>1</v>
      </c>
      <c r="BKP34">
        <v>1</v>
      </c>
      <c r="BKV34">
        <v>1</v>
      </c>
      <c r="BMM34">
        <v>1</v>
      </c>
      <c r="BNN34">
        <v>1</v>
      </c>
      <c r="BOM34">
        <v>1</v>
      </c>
      <c r="BPE34">
        <v>1</v>
      </c>
      <c r="BPI34">
        <v>1</v>
      </c>
      <c r="BPK34">
        <v>1</v>
      </c>
      <c r="BPM34">
        <v>1</v>
      </c>
      <c r="BPO34">
        <v>1</v>
      </c>
      <c r="BPP34">
        <v>1</v>
      </c>
      <c r="BPQ34">
        <v>1</v>
      </c>
      <c r="BPR34">
        <v>1</v>
      </c>
      <c r="BQA34">
        <v>1</v>
      </c>
      <c r="BRG34">
        <v>1</v>
      </c>
      <c r="BRI34">
        <v>1</v>
      </c>
      <c r="BSQ34">
        <v>1</v>
      </c>
      <c r="BSU34">
        <v>1</v>
      </c>
      <c r="BSZ34">
        <v>1</v>
      </c>
      <c r="BTD34">
        <v>1</v>
      </c>
      <c r="BTE34">
        <v>1</v>
      </c>
      <c r="BTU34">
        <v>1</v>
      </c>
      <c r="BTW34">
        <v>1</v>
      </c>
      <c r="BTZ34">
        <v>1</v>
      </c>
      <c r="BUC34">
        <v>1</v>
      </c>
      <c r="BUL34">
        <v>1</v>
      </c>
      <c r="BUM34">
        <v>1</v>
      </c>
      <c r="BUN34">
        <v>1</v>
      </c>
      <c r="BUR34">
        <v>1</v>
      </c>
      <c r="BUS34">
        <v>1</v>
      </c>
      <c r="BVF34">
        <v>1</v>
      </c>
      <c r="BVG34">
        <v>1</v>
      </c>
      <c r="BVH34">
        <v>1</v>
      </c>
      <c r="BVL34">
        <v>1</v>
      </c>
      <c r="BVM34">
        <v>1</v>
      </c>
      <c r="BVN34">
        <v>1</v>
      </c>
      <c r="BVZ34">
        <v>1</v>
      </c>
      <c r="BWA34">
        <v>1</v>
      </c>
      <c r="BWC34">
        <v>1</v>
      </c>
      <c r="BWD34">
        <v>1</v>
      </c>
      <c r="BWE34">
        <v>1</v>
      </c>
      <c r="BWG34">
        <v>1</v>
      </c>
      <c r="BWM34">
        <v>1</v>
      </c>
      <c r="BWS34">
        <v>1</v>
      </c>
      <c r="BXH34">
        <v>1</v>
      </c>
      <c r="BXJ34">
        <v>1</v>
      </c>
      <c r="BXV34">
        <v>1</v>
      </c>
      <c r="BYI34">
        <v>1</v>
      </c>
      <c r="BYS34">
        <v>1</v>
      </c>
      <c r="BYY34">
        <v>1</v>
      </c>
      <c r="BYZ34">
        <v>1</v>
      </c>
      <c r="BZA34">
        <v>1</v>
      </c>
      <c r="BZC34">
        <v>1</v>
      </c>
      <c r="BZE34">
        <v>1</v>
      </c>
      <c r="BZF34">
        <v>1</v>
      </c>
      <c r="BZH34">
        <v>1</v>
      </c>
      <c r="BZI34">
        <v>1</v>
      </c>
      <c r="BZK34">
        <v>1</v>
      </c>
      <c r="BZP34">
        <v>1</v>
      </c>
      <c r="BZQ34">
        <v>1</v>
      </c>
      <c r="BZV34">
        <v>1</v>
      </c>
      <c r="BZZ34">
        <v>1</v>
      </c>
      <c r="CAC34">
        <v>1</v>
      </c>
      <c r="CAD34">
        <v>1</v>
      </c>
      <c r="CAI34">
        <v>1</v>
      </c>
      <c r="CBA34">
        <v>1</v>
      </c>
      <c r="CBC34">
        <v>1</v>
      </c>
      <c r="CBL34">
        <v>1</v>
      </c>
      <c r="CBM34">
        <v>1</v>
      </c>
      <c r="CCA34">
        <v>1</v>
      </c>
      <c r="CCK34">
        <v>1</v>
      </c>
      <c r="CCP34">
        <v>1</v>
      </c>
      <c r="CCU34">
        <v>1</v>
      </c>
      <c r="CDG34">
        <v>1</v>
      </c>
      <c r="CDX34">
        <v>1</v>
      </c>
      <c r="CES34">
        <v>1</v>
      </c>
      <c r="CFG34">
        <v>1</v>
      </c>
      <c r="CFW34">
        <v>1</v>
      </c>
      <c r="CGI34">
        <v>1</v>
      </c>
      <c r="CGN34">
        <v>1</v>
      </c>
      <c r="CGS34">
        <v>1</v>
      </c>
      <c r="CGX34">
        <v>1</v>
      </c>
      <c r="CHA34">
        <v>1</v>
      </c>
      <c r="CHE34">
        <v>1</v>
      </c>
      <c r="CHL34">
        <v>1</v>
      </c>
      <c r="CHR34">
        <v>1</v>
      </c>
      <c r="CHW34">
        <v>1</v>
      </c>
      <c r="CHX34">
        <v>1</v>
      </c>
      <c r="CHY34">
        <v>1</v>
      </c>
      <c r="CIA34">
        <v>1</v>
      </c>
      <c r="CIF34">
        <v>1</v>
      </c>
      <c r="CIH34">
        <v>1</v>
      </c>
      <c r="CJC34">
        <v>1</v>
      </c>
      <c r="CJR34">
        <v>1</v>
      </c>
      <c r="CKC34">
        <v>1</v>
      </c>
      <c r="CKN34">
        <v>1</v>
      </c>
      <c r="CKP34">
        <v>1</v>
      </c>
      <c r="CKS34">
        <v>1</v>
      </c>
      <c r="CKU34">
        <v>1</v>
      </c>
      <c r="CLA34">
        <v>1</v>
      </c>
      <c r="CLL34">
        <v>1</v>
      </c>
      <c r="CLN34">
        <v>1</v>
      </c>
      <c r="CLV34">
        <v>1</v>
      </c>
      <c r="CLX34">
        <v>1</v>
      </c>
      <c r="CMA34">
        <v>1</v>
      </c>
      <c r="CMF34">
        <v>1</v>
      </c>
      <c r="CMN34">
        <v>1</v>
      </c>
      <c r="CMR34">
        <v>1</v>
      </c>
      <c r="CMZ34">
        <v>1</v>
      </c>
      <c r="CNA34">
        <v>1</v>
      </c>
      <c r="CND34">
        <v>1</v>
      </c>
      <c r="CNG34">
        <v>1</v>
      </c>
      <c r="CNK34">
        <v>1</v>
      </c>
      <c r="CNQ34">
        <v>1</v>
      </c>
      <c r="CNS34">
        <v>1</v>
      </c>
      <c r="CNY34">
        <v>1</v>
      </c>
      <c r="COB34">
        <v>1</v>
      </c>
      <c r="COC34">
        <v>1</v>
      </c>
      <c r="COF34">
        <v>1</v>
      </c>
      <c r="COJ34">
        <v>1</v>
      </c>
      <c r="COK34">
        <v>1</v>
      </c>
      <c r="COP34">
        <v>1</v>
      </c>
      <c r="COR34">
        <v>1</v>
      </c>
      <c r="COZ34">
        <v>1</v>
      </c>
      <c r="CPB34">
        <v>1</v>
      </c>
      <c r="CPO34">
        <v>1</v>
      </c>
      <c r="CQC34">
        <v>1</v>
      </c>
      <c r="CQE34">
        <v>1</v>
      </c>
      <c r="CQG34">
        <v>1</v>
      </c>
      <c r="CQY34">
        <v>1</v>
      </c>
      <c r="CRE34">
        <v>1</v>
      </c>
      <c r="CRG34">
        <v>1</v>
      </c>
      <c r="CRL34">
        <v>1</v>
      </c>
      <c r="CRQ34">
        <v>1</v>
      </c>
      <c r="CSL34">
        <v>1</v>
      </c>
      <c r="CSU34">
        <v>1</v>
      </c>
      <c r="CSY34">
        <v>1</v>
      </c>
      <c r="CTD34">
        <v>1</v>
      </c>
      <c r="CTH34">
        <v>1</v>
      </c>
      <c r="CTU34">
        <v>1</v>
      </c>
      <c r="CTX34">
        <v>1</v>
      </c>
      <c r="CUA34">
        <v>1</v>
      </c>
      <c r="CUV34">
        <v>1</v>
      </c>
      <c r="CUX34">
        <v>1</v>
      </c>
      <c r="CVI34">
        <v>1</v>
      </c>
      <c r="CVJ34">
        <v>1</v>
      </c>
      <c r="CVK34">
        <v>1</v>
      </c>
      <c r="CVL34">
        <v>1</v>
      </c>
      <c r="CVO34">
        <v>1</v>
      </c>
      <c r="CVX34">
        <v>1</v>
      </c>
      <c r="CVY34">
        <v>1</v>
      </c>
      <c r="CWC34">
        <v>1</v>
      </c>
      <c r="CWP34">
        <v>1</v>
      </c>
      <c r="CWS34">
        <v>1</v>
      </c>
      <c r="CWT34">
        <v>1</v>
      </c>
      <c r="CXC34">
        <v>1</v>
      </c>
      <c r="CXO34">
        <v>1</v>
      </c>
      <c r="CYA34">
        <v>1</v>
      </c>
      <c r="CYC34">
        <v>1</v>
      </c>
      <c r="CYM34">
        <v>1</v>
      </c>
      <c r="CYN34">
        <v>1</v>
      </c>
      <c r="CZM34">
        <v>1</v>
      </c>
      <c r="CZQ34">
        <v>1</v>
      </c>
      <c r="CZY34">
        <v>1</v>
      </c>
      <c r="DAG34">
        <v>1</v>
      </c>
      <c r="DAJ34">
        <v>1</v>
      </c>
      <c r="DAO34">
        <v>1</v>
      </c>
      <c r="DBC34">
        <v>1</v>
      </c>
      <c r="DBL34">
        <v>1</v>
      </c>
      <c r="DBR34">
        <v>1</v>
      </c>
      <c r="DBT34">
        <v>1</v>
      </c>
      <c r="DBU34">
        <v>1</v>
      </c>
      <c r="DBY34">
        <v>1</v>
      </c>
      <c r="DCG34">
        <v>1</v>
      </c>
      <c r="DDA34">
        <v>1</v>
      </c>
      <c r="DDK34">
        <v>1</v>
      </c>
      <c r="DDP34">
        <v>1</v>
      </c>
      <c r="DDR34">
        <v>1</v>
      </c>
      <c r="DEA34">
        <v>1</v>
      </c>
      <c r="DEH34">
        <v>1</v>
      </c>
      <c r="DEP34">
        <v>1</v>
      </c>
      <c r="DEW34">
        <v>1</v>
      </c>
      <c r="DFB34">
        <v>1</v>
      </c>
      <c r="DFW34">
        <v>1</v>
      </c>
      <c r="DGP34">
        <v>1</v>
      </c>
      <c r="DHG34">
        <v>1</v>
      </c>
      <c r="DHI34">
        <v>1</v>
      </c>
      <c r="DHJ34">
        <v>1</v>
      </c>
      <c r="DHM34">
        <v>1</v>
      </c>
      <c r="DHQ34">
        <v>1</v>
      </c>
      <c r="DHR34">
        <v>1</v>
      </c>
      <c r="DHY34">
        <v>1</v>
      </c>
      <c r="DIG34">
        <v>1</v>
      </c>
      <c r="DII34">
        <v>1</v>
      </c>
      <c r="DIM34">
        <v>1</v>
      </c>
      <c r="DIN34">
        <v>1</v>
      </c>
      <c r="DIS34">
        <v>1</v>
      </c>
      <c r="DJK34">
        <v>1</v>
      </c>
      <c r="DJL34">
        <v>1</v>
      </c>
      <c r="DJT34">
        <v>1</v>
      </c>
      <c r="DJV34">
        <v>1</v>
      </c>
      <c r="DKH34">
        <v>1</v>
      </c>
      <c r="DKL34">
        <v>1</v>
      </c>
      <c r="DKR34">
        <v>1</v>
      </c>
      <c r="DKZ34">
        <v>1</v>
      </c>
      <c r="DLD34">
        <v>1</v>
      </c>
      <c r="DMD34">
        <v>1</v>
      </c>
      <c r="DMI34">
        <v>1</v>
      </c>
      <c r="DMP34">
        <v>1</v>
      </c>
      <c r="DMS34">
        <v>1</v>
      </c>
      <c r="DNC34">
        <v>1</v>
      </c>
      <c r="DNJ34">
        <v>1</v>
      </c>
      <c r="DNY34">
        <v>1</v>
      </c>
      <c r="DOA34">
        <v>1</v>
      </c>
      <c r="DOQ34">
        <v>1</v>
      </c>
      <c r="DOW34">
        <v>1</v>
      </c>
      <c r="DOY34">
        <v>1</v>
      </c>
      <c r="DOZ34">
        <v>1</v>
      </c>
      <c r="DPK34">
        <v>1</v>
      </c>
      <c r="DQD34">
        <v>1</v>
      </c>
      <c r="DQG34">
        <v>1</v>
      </c>
      <c r="DQK34">
        <v>1</v>
      </c>
      <c r="DQT34">
        <v>1</v>
      </c>
      <c r="DQW34">
        <v>1</v>
      </c>
      <c r="DQZ34">
        <v>1</v>
      </c>
      <c r="DRG34">
        <v>1</v>
      </c>
      <c r="DRZ34">
        <v>1</v>
      </c>
      <c r="DSA34">
        <v>1</v>
      </c>
      <c r="DSD34">
        <v>1</v>
      </c>
      <c r="DSF34">
        <v>1</v>
      </c>
      <c r="DSG34">
        <v>1</v>
      </c>
      <c r="DSK34">
        <v>1</v>
      </c>
      <c r="DSL34">
        <v>1</v>
      </c>
      <c r="DTB34">
        <v>1</v>
      </c>
      <c r="DTC34">
        <v>1</v>
      </c>
      <c r="DTL34">
        <v>1</v>
      </c>
      <c r="DTV34">
        <v>1</v>
      </c>
      <c r="DUG34">
        <v>1</v>
      </c>
      <c r="DUQ34">
        <v>1</v>
      </c>
      <c r="DVF34">
        <v>1</v>
      </c>
      <c r="DVY34">
        <v>1</v>
      </c>
      <c r="DXA34">
        <v>1</v>
      </c>
      <c r="DXN34">
        <v>1</v>
      </c>
      <c r="DXS34">
        <v>1</v>
      </c>
      <c r="DYH34">
        <v>1</v>
      </c>
      <c r="DYP34">
        <v>1</v>
      </c>
      <c r="DYV34">
        <v>1</v>
      </c>
      <c r="EAM34">
        <v>1</v>
      </c>
      <c r="EBX34">
        <v>1</v>
      </c>
      <c r="EDG34">
        <f>SUMPRODUCT(Constraint_28,Decision_variables)</f>
        <v>1</v>
      </c>
      <c r="EDH34" t="s">
        <v>5264</v>
      </c>
      <c r="EDI34">
        <v>1</v>
      </c>
    </row>
    <row r="35" spans="2:1024 1026:2047 2050:3071 3075:3493" x14ac:dyDescent="0.3">
      <c r="B35" t="s">
        <v>3520</v>
      </c>
      <c r="P35">
        <v>1</v>
      </c>
      <c r="AQ35">
        <v>1</v>
      </c>
      <c r="AS35">
        <v>1</v>
      </c>
      <c r="AU35">
        <v>1</v>
      </c>
      <c r="BN35">
        <v>1</v>
      </c>
      <c r="CJ35">
        <v>1</v>
      </c>
      <c r="CK35">
        <v>1</v>
      </c>
      <c r="DG35">
        <v>1</v>
      </c>
      <c r="EX35">
        <v>1</v>
      </c>
      <c r="FB35">
        <v>1</v>
      </c>
      <c r="FI35">
        <v>1</v>
      </c>
      <c r="FM35">
        <v>1</v>
      </c>
      <c r="FR35">
        <v>1</v>
      </c>
      <c r="FS35">
        <v>1</v>
      </c>
      <c r="GA35">
        <v>1</v>
      </c>
      <c r="GB35">
        <v>1</v>
      </c>
      <c r="GV35">
        <v>1</v>
      </c>
      <c r="HA35">
        <v>1</v>
      </c>
      <c r="HS35">
        <v>1</v>
      </c>
      <c r="IH35">
        <v>1</v>
      </c>
      <c r="IP35">
        <v>1</v>
      </c>
      <c r="IT35">
        <v>1</v>
      </c>
      <c r="IV35">
        <v>1</v>
      </c>
      <c r="IW35">
        <v>1</v>
      </c>
      <c r="JA35">
        <v>1</v>
      </c>
      <c r="JB35">
        <v>1</v>
      </c>
      <c r="JC35">
        <v>1</v>
      </c>
      <c r="KK35">
        <v>1</v>
      </c>
      <c r="KS35">
        <v>1</v>
      </c>
      <c r="KX35">
        <v>1</v>
      </c>
      <c r="LD35">
        <v>1</v>
      </c>
      <c r="LE35">
        <v>1</v>
      </c>
      <c r="LF35">
        <v>1</v>
      </c>
      <c r="LQ35">
        <v>1</v>
      </c>
      <c r="LV35">
        <v>1</v>
      </c>
      <c r="LZ35">
        <v>1</v>
      </c>
      <c r="NV35">
        <v>1</v>
      </c>
      <c r="OF35">
        <v>1</v>
      </c>
      <c r="OI35">
        <v>1</v>
      </c>
      <c r="PB35">
        <v>1</v>
      </c>
      <c r="PF35">
        <v>1</v>
      </c>
      <c r="PH35">
        <v>1</v>
      </c>
      <c r="PN35">
        <v>1</v>
      </c>
      <c r="RR35">
        <v>1</v>
      </c>
      <c r="RW35">
        <v>1</v>
      </c>
      <c r="SC35">
        <v>1</v>
      </c>
      <c r="SD35">
        <v>1</v>
      </c>
      <c r="SN35">
        <v>1</v>
      </c>
      <c r="SS35">
        <v>1</v>
      </c>
      <c r="TA35">
        <v>1</v>
      </c>
      <c r="TL35">
        <v>1</v>
      </c>
      <c r="UX35">
        <v>1</v>
      </c>
      <c r="VR35">
        <v>1</v>
      </c>
      <c r="WN35">
        <v>1</v>
      </c>
      <c r="WP35">
        <v>1</v>
      </c>
      <c r="WS35">
        <v>1</v>
      </c>
      <c r="XK35">
        <v>1</v>
      </c>
      <c r="XO35">
        <v>1</v>
      </c>
      <c r="ZM35">
        <v>1</v>
      </c>
      <c r="AAC35">
        <v>1</v>
      </c>
      <c r="AAE35">
        <v>1</v>
      </c>
      <c r="AAN35">
        <v>1</v>
      </c>
      <c r="AAO35">
        <v>1</v>
      </c>
      <c r="AAR35">
        <v>1</v>
      </c>
      <c r="ABM35">
        <v>1</v>
      </c>
      <c r="ABR35">
        <v>1</v>
      </c>
      <c r="ABT35">
        <v>1</v>
      </c>
      <c r="AEE35">
        <v>1</v>
      </c>
      <c r="AEX35">
        <v>1</v>
      </c>
      <c r="AGG35">
        <v>1</v>
      </c>
      <c r="AGV35">
        <v>1</v>
      </c>
      <c r="AGY35">
        <v>1</v>
      </c>
      <c r="AHM35">
        <v>1</v>
      </c>
      <c r="AIF35">
        <v>1</v>
      </c>
      <c r="AIW35">
        <v>1</v>
      </c>
      <c r="AJR35">
        <v>1</v>
      </c>
      <c r="AKL35">
        <v>1</v>
      </c>
      <c r="ALC35">
        <v>1</v>
      </c>
      <c r="ALE35">
        <v>1</v>
      </c>
      <c r="ALJ35">
        <v>1</v>
      </c>
      <c r="ALY35">
        <v>1</v>
      </c>
      <c r="AMA35">
        <v>1</v>
      </c>
      <c r="AMB35">
        <v>1</v>
      </c>
      <c r="AMR35">
        <v>1</v>
      </c>
      <c r="AMT35">
        <v>1</v>
      </c>
      <c r="AMY35">
        <v>1</v>
      </c>
      <c r="ANX35">
        <v>1</v>
      </c>
      <c r="AOM35">
        <v>1</v>
      </c>
      <c r="AON35">
        <v>1</v>
      </c>
      <c r="AOO35">
        <v>1</v>
      </c>
      <c r="AOW35">
        <v>1</v>
      </c>
      <c r="APB35">
        <v>1</v>
      </c>
      <c r="APJ35">
        <v>1</v>
      </c>
      <c r="APK35">
        <v>1</v>
      </c>
      <c r="APM35">
        <v>1</v>
      </c>
      <c r="AQL35">
        <v>1</v>
      </c>
      <c r="AQY35">
        <v>1</v>
      </c>
      <c r="AQZ35">
        <v>1</v>
      </c>
      <c r="ARB35">
        <v>1</v>
      </c>
      <c r="ARQ35">
        <v>1</v>
      </c>
      <c r="ASL35">
        <v>1</v>
      </c>
      <c r="ATH35">
        <v>1</v>
      </c>
      <c r="AUD35">
        <v>1</v>
      </c>
      <c r="AUP35">
        <v>1</v>
      </c>
      <c r="AVI35">
        <v>1</v>
      </c>
      <c r="AWB35">
        <v>1</v>
      </c>
      <c r="AWF35">
        <v>1</v>
      </c>
      <c r="AWX35">
        <v>1</v>
      </c>
      <c r="AWY35">
        <v>1</v>
      </c>
      <c r="AXF35">
        <v>1</v>
      </c>
      <c r="AYC35">
        <v>1</v>
      </c>
      <c r="AYD35">
        <v>1</v>
      </c>
      <c r="AYR35">
        <v>1</v>
      </c>
      <c r="AZM35">
        <v>1</v>
      </c>
      <c r="AZX35">
        <v>1</v>
      </c>
      <c r="BAX35">
        <v>1</v>
      </c>
      <c r="BCC35">
        <v>1</v>
      </c>
      <c r="BDB35">
        <v>1</v>
      </c>
      <c r="BDN35">
        <v>1</v>
      </c>
      <c r="BDU35">
        <v>1</v>
      </c>
      <c r="BDV35">
        <v>1</v>
      </c>
      <c r="BEU35">
        <v>1</v>
      </c>
      <c r="BFW35">
        <v>1</v>
      </c>
      <c r="BFZ35">
        <v>1</v>
      </c>
      <c r="BGF35">
        <v>1</v>
      </c>
      <c r="BGU35">
        <v>1</v>
      </c>
      <c r="BHP35">
        <v>1</v>
      </c>
      <c r="BJL35">
        <v>1</v>
      </c>
      <c r="BJZ35">
        <v>1</v>
      </c>
      <c r="BLS35">
        <v>1</v>
      </c>
      <c r="BLY35">
        <v>1</v>
      </c>
      <c r="BNP35">
        <v>1</v>
      </c>
      <c r="BOQ35">
        <v>1</v>
      </c>
      <c r="BOS35">
        <v>1</v>
      </c>
      <c r="BOU35">
        <v>1</v>
      </c>
      <c r="BPN35">
        <v>1</v>
      </c>
      <c r="BQJ35">
        <v>1</v>
      </c>
      <c r="BQK35">
        <v>1</v>
      </c>
      <c r="BRG35">
        <v>1</v>
      </c>
      <c r="BSX35">
        <v>1</v>
      </c>
      <c r="BTB35">
        <v>1</v>
      </c>
      <c r="BTI35">
        <v>1</v>
      </c>
      <c r="BTM35">
        <v>1</v>
      </c>
      <c r="BTR35">
        <v>1</v>
      </c>
      <c r="BTS35">
        <v>1</v>
      </c>
      <c r="BUA35">
        <v>1</v>
      </c>
      <c r="BUB35">
        <v>1</v>
      </c>
      <c r="BUV35">
        <v>1</v>
      </c>
      <c r="BVA35">
        <v>1</v>
      </c>
      <c r="BVS35">
        <v>1</v>
      </c>
      <c r="BWH35">
        <v>1</v>
      </c>
      <c r="BWP35">
        <v>1</v>
      </c>
      <c r="BWT35">
        <v>1</v>
      </c>
      <c r="BWV35">
        <v>1</v>
      </c>
      <c r="BWW35">
        <v>1</v>
      </c>
      <c r="BXA35">
        <v>1</v>
      </c>
      <c r="BXB35">
        <v>1</v>
      </c>
      <c r="BXC35">
        <v>1</v>
      </c>
      <c r="BYK35">
        <v>1</v>
      </c>
      <c r="BYS35">
        <v>1</v>
      </c>
      <c r="BYX35">
        <v>1</v>
      </c>
      <c r="BZD35">
        <v>1</v>
      </c>
      <c r="BZE35">
        <v>1</v>
      </c>
      <c r="BZF35">
        <v>1</v>
      </c>
      <c r="BZQ35">
        <v>1</v>
      </c>
      <c r="BZV35">
        <v>1</v>
      </c>
      <c r="BZZ35">
        <v>1</v>
      </c>
      <c r="CBV35">
        <v>1</v>
      </c>
      <c r="CCF35">
        <v>1</v>
      </c>
      <c r="CCI35">
        <v>1</v>
      </c>
      <c r="CDB35">
        <v>1</v>
      </c>
      <c r="CDF35">
        <v>1</v>
      </c>
      <c r="CDH35">
        <v>1</v>
      </c>
      <c r="CDN35">
        <v>1</v>
      </c>
      <c r="CFR35">
        <v>1</v>
      </c>
      <c r="CFW35">
        <v>1</v>
      </c>
      <c r="CGC35">
        <v>1</v>
      </c>
      <c r="CGD35">
        <v>1</v>
      </c>
      <c r="CGN35">
        <v>1</v>
      </c>
      <c r="CGS35">
        <v>1</v>
      </c>
      <c r="CHA35">
        <v>1</v>
      </c>
      <c r="CHL35">
        <v>1</v>
      </c>
      <c r="CIX35">
        <v>1</v>
      </c>
      <c r="CJR35">
        <v>1</v>
      </c>
      <c r="CKN35">
        <v>1</v>
      </c>
      <c r="CKP35">
        <v>1</v>
      </c>
      <c r="CKS35">
        <v>1</v>
      </c>
      <c r="CLK35">
        <v>1</v>
      </c>
      <c r="CLO35">
        <v>1</v>
      </c>
      <c r="CNM35">
        <v>1</v>
      </c>
      <c r="COC35">
        <v>1</v>
      </c>
      <c r="COE35">
        <v>1</v>
      </c>
      <c r="CON35">
        <v>1</v>
      </c>
      <c r="COO35">
        <v>1</v>
      </c>
      <c r="COR35">
        <v>1</v>
      </c>
      <c r="CPM35">
        <v>1</v>
      </c>
      <c r="CPR35">
        <v>1</v>
      </c>
      <c r="CPT35">
        <v>1</v>
      </c>
      <c r="CSE35">
        <v>1</v>
      </c>
      <c r="CSX35">
        <v>1</v>
      </c>
      <c r="CUG35">
        <v>1</v>
      </c>
      <c r="CUV35">
        <v>1</v>
      </c>
      <c r="CUY35">
        <v>1</v>
      </c>
      <c r="CVM35">
        <v>1</v>
      </c>
      <c r="CWF35">
        <v>1</v>
      </c>
      <c r="CWW35">
        <v>1</v>
      </c>
      <c r="CXR35">
        <v>1</v>
      </c>
      <c r="CYL35">
        <v>1</v>
      </c>
      <c r="CZC35">
        <v>1</v>
      </c>
      <c r="CZE35">
        <v>1</v>
      </c>
      <c r="CZJ35">
        <v>1</v>
      </c>
      <c r="CZY35">
        <v>1</v>
      </c>
      <c r="DAA35">
        <v>1</v>
      </c>
      <c r="DAB35">
        <v>1</v>
      </c>
      <c r="DAR35">
        <v>1</v>
      </c>
      <c r="DAT35">
        <v>1</v>
      </c>
      <c r="DAY35">
        <v>1</v>
      </c>
      <c r="DBX35">
        <v>1</v>
      </c>
      <c r="DCM35">
        <v>1</v>
      </c>
      <c r="DCN35">
        <v>1</v>
      </c>
      <c r="DCO35">
        <v>1</v>
      </c>
      <c r="DCW35">
        <v>1</v>
      </c>
      <c r="DDB35">
        <v>1</v>
      </c>
      <c r="DDJ35">
        <v>1</v>
      </c>
      <c r="DDK35">
        <v>1</v>
      </c>
      <c r="DDM35">
        <v>1</v>
      </c>
      <c r="DEL35">
        <v>1</v>
      </c>
      <c r="DEY35">
        <v>1</v>
      </c>
      <c r="DEZ35">
        <v>1</v>
      </c>
      <c r="DFB35">
        <v>1</v>
      </c>
      <c r="DFQ35">
        <v>1</v>
      </c>
      <c r="DGL35">
        <v>1</v>
      </c>
      <c r="DHH35">
        <v>1</v>
      </c>
      <c r="DID35">
        <v>1</v>
      </c>
      <c r="DIP35">
        <v>1</v>
      </c>
      <c r="DJI35">
        <v>1</v>
      </c>
      <c r="DKB35">
        <v>1</v>
      </c>
      <c r="DKF35">
        <v>1</v>
      </c>
      <c r="DKX35">
        <v>1</v>
      </c>
      <c r="DKY35">
        <v>1</v>
      </c>
      <c r="DLF35">
        <v>1</v>
      </c>
      <c r="DMC35">
        <v>1</v>
      </c>
      <c r="DMD35">
        <v>1</v>
      </c>
      <c r="DMR35">
        <v>1</v>
      </c>
      <c r="DNM35">
        <v>1</v>
      </c>
      <c r="DNX35">
        <v>1</v>
      </c>
      <c r="DOX35">
        <v>1</v>
      </c>
      <c r="DQC35">
        <v>1</v>
      </c>
      <c r="DRB35">
        <v>1</v>
      </c>
      <c r="DRN35">
        <v>1</v>
      </c>
      <c r="DRU35">
        <v>1</v>
      </c>
      <c r="DRV35">
        <v>1</v>
      </c>
      <c r="DSU35">
        <v>1</v>
      </c>
      <c r="DTW35">
        <v>1</v>
      </c>
      <c r="DTZ35">
        <v>1</v>
      </c>
      <c r="DUF35">
        <v>1</v>
      </c>
      <c r="DUU35">
        <v>1</v>
      </c>
      <c r="DVP35">
        <v>1</v>
      </c>
      <c r="DXL35">
        <v>1</v>
      </c>
      <c r="DXZ35">
        <v>1</v>
      </c>
      <c r="DZS35">
        <v>1</v>
      </c>
      <c r="DZY35">
        <v>1</v>
      </c>
      <c r="EBY35">
        <v>1</v>
      </c>
      <c r="EDG35">
        <f>SUMPRODUCT(Constraint_29,Decision_variables)</f>
        <v>1</v>
      </c>
      <c r="EDH35" t="s">
        <v>5264</v>
      </c>
      <c r="EDI35">
        <v>1</v>
      </c>
    </row>
    <row r="36" spans="2:1024 1026:2047 2050:3071 3075:3493" x14ac:dyDescent="0.3">
      <c r="B36" t="s">
        <v>3521</v>
      </c>
      <c r="AB36">
        <v>1</v>
      </c>
      <c r="BY36">
        <v>1</v>
      </c>
      <c r="CS36">
        <v>1</v>
      </c>
      <c r="CV36">
        <v>1</v>
      </c>
      <c r="DJ36">
        <v>1</v>
      </c>
      <c r="HG36">
        <v>1</v>
      </c>
      <c r="HH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D36">
        <v>1</v>
      </c>
      <c r="KM36">
        <v>1</v>
      </c>
      <c r="KP36">
        <v>1</v>
      </c>
      <c r="KT36">
        <v>1</v>
      </c>
      <c r="LJ36">
        <v>1</v>
      </c>
      <c r="LS36">
        <v>1</v>
      </c>
      <c r="MG36">
        <v>1</v>
      </c>
      <c r="ML36">
        <v>1</v>
      </c>
      <c r="MN36">
        <v>1</v>
      </c>
      <c r="MQ36">
        <v>1</v>
      </c>
      <c r="NU36">
        <v>1</v>
      </c>
      <c r="QK36">
        <v>1</v>
      </c>
      <c r="QQ36">
        <v>1</v>
      </c>
      <c r="QY36">
        <v>1</v>
      </c>
      <c r="RC36">
        <v>1</v>
      </c>
      <c r="RV36">
        <v>1</v>
      </c>
      <c r="SM36">
        <v>1</v>
      </c>
      <c r="TM36">
        <v>1</v>
      </c>
      <c r="UB36">
        <v>1</v>
      </c>
      <c r="UM36">
        <v>1</v>
      </c>
      <c r="UN36">
        <v>1</v>
      </c>
      <c r="UW36">
        <v>1</v>
      </c>
      <c r="WB36">
        <v>1</v>
      </c>
      <c r="WQ36">
        <v>1</v>
      </c>
      <c r="XE36">
        <v>1</v>
      </c>
      <c r="YC36">
        <v>1</v>
      </c>
      <c r="YL36">
        <v>1</v>
      </c>
      <c r="ZL36">
        <v>1</v>
      </c>
      <c r="ACF36">
        <v>1</v>
      </c>
      <c r="AFA36">
        <v>1</v>
      </c>
      <c r="AGS36">
        <v>1</v>
      </c>
      <c r="AIR36">
        <v>1</v>
      </c>
      <c r="AJR36">
        <v>1</v>
      </c>
      <c r="AKG36">
        <v>1</v>
      </c>
      <c r="AMV36">
        <v>1</v>
      </c>
      <c r="AQN36">
        <v>1</v>
      </c>
      <c r="ASS36">
        <v>1</v>
      </c>
      <c r="AXF36">
        <v>1</v>
      </c>
      <c r="BBS36">
        <v>1</v>
      </c>
      <c r="BGX36">
        <v>1</v>
      </c>
      <c r="BJK36">
        <v>1</v>
      </c>
      <c r="BKL36">
        <v>1</v>
      </c>
      <c r="BOB36">
        <v>1</v>
      </c>
      <c r="BPY36">
        <v>1</v>
      </c>
      <c r="BQS36">
        <v>1</v>
      </c>
      <c r="BQV36">
        <v>1</v>
      </c>
      <c r="BRJ36">
        <v>1</v>
      </c>
      <c r="BVG36">
        <v>1</v>
      </c>
      <c r="BVH36">
        <v>1</v>
      </c>
      <c r="BXX36">
        <v>1</v>
      </c>
      <c r="BXY36">
        <v>1</v>
      </c>
      <c r="BXZ36">
        <v>1</v>
      </c>
      <c r="BYA36">
        <v>1</v>
      </c>
      <c r="BYB36">
        <v>1</v>
      </c>
      <c r="BYD36">
        <v>1</v>
      </c>
      <c r="BYM36">
        <v>1</v>
      </c>
      <c r="BYP36">
        <v>1</v>
      </c>
      <c r="BYT36">
        <v>1</v>
      </c>
      <c r="BZJ36">
        <v>1</v>
      </c>
      <c r="BZS36">
        <v>1</v>
      </c>
      <c r="CAG36">
        <v>1</v>
      </c>
      <c r="CAL36">
        <v>1</v>
      </c>
      <c r="CAN36">
        <v>1</v>
      </c>
      <c r="CAQ36">
        <v>1</v>
      </c>
      <c r="CBU36">
        <v>1</v>
      </c>
      <c r="CEK36">
        <v>1</v>
      </c>
      <c r="CEQ36">
        <v>1</v>
      </c>
      <c r="CEY36">
        <v>1</v>
      </c>
      <c r="CFC36">
        <v>1</v>
      </c>
      <c r="CFV36">
        <v>1</v>
      </c>
      <c r="CGM36">
        <v>1</v>
      </c>
      <c r="CHM36">
        <v>1</v>
      </c>
      <c r="CIB36">
        <v>1</v>
      </c>
      <c r="CIM36">
        <v>1</v>
      </c>
      <c r="CIN36">
        <v>1</v>
      </c>
      <c r="CIW36">
        <v>1</v>
      </c>
      <c r="CKB36">
        <v>1</v>
      </c>
      <c r="CKQ36">
        <v>1</v>
      </c>
      <c r="CLE36">
        <v>1</v>
      </c>
      <c r="CMC36">
        <v>1</v>
      </c>
      <c r="CML36">
        <v>1</v>
      </c>
      <c r="CNL36">
        <v>1</v>
      </c>
      <c r="CQF36">
        <v>1</v>
      </c>
      <c r="CTA36">
        <v>1</v>
      </c>
      <c r="CUS36">
        <v>1</v>
      </c>
      <c r="CWR36">
        <v>1</v>
      </c>
      <c r="CXR36">
        <v>1</v>
      </c>
      <c r="CYG36">
        <v>1</v>
      </c>
      <c r="DAV36">
        <v>1</v>
      </c>
      <c r="DEN36">
        <v>1</v>
      </c>
      <c r="DGS36">
        <v>1</v>
      </c>
      <c r="DLF36">
        <v>1</v>
      </c>
      <c r="DPS36">
        <v>1</v>
      </c>
      <c r="DUX36">
        <v>1</v>
      </c>
      <c r="DXK36">
        <v>1</v>
      </c>
      <c r="DYL36">
        <v>1</v>
      </c>
      <c r="ECA36">
        <v>1</v>
      </c>
      <c r="EDG36">
        <f>SUMPRODUCT(Constraint_30,Decision_variables)</f>
        <v>1</v>
      </c>
      <c r="EDH36" t="s">
        <v>5264</v>
      </c>
      <c r="EDI36">
        <v>1</v>
      </c>
    </row>
    <row r="37" spans="2:1024 1026:2047 2050:3071 3075:3493" x14ac:dyDescent="0.3">
      <c r="B37" t="s">
        <v>3522</v>
      </c>
      <c r="BA37">
        <v>1</v>
      </c>
      <c r="DP37">
        <v>1</v>
      </c>
      <c r="DS37">
        <v>1</v>
      </c>
      <c r="GY37">
        <v>1</v>
      </c>
      <c r="NL37">
        <v>1</v>
      </c>
      <c r="RZ37">
        <v>1</v>
      </c>
      <c r="UI37">
        <v>1</v>
      </c>
      <c r="UK37">
        <v>1</v>
      </c>
      <c r="UP37">
        <v>1</v>
      </c>
      <c r="WR37">
        <v>1</v>
      </c>
      <c r="WT37">
        <v>1</v>
      </c>
      <c r="XT37">
        <v>1</v>
      </c>
      <c r="XU37">
        <v>1</v>
      </c>
      <c r="YW37">
        <v>1</v>
      </c>
      <c r="ZO37">
        <v>1</v>
      </c>
      <c r="AGH37">
        <v>1</v>
      </c>
      <c r="AHH37">
        <v>1</v>
      </c>
      <c r="ANM37">
        <v>1</v>
      </c>
      <c r="AQM37">
        <v>1</v>
      </c>
      <c r="ARS37">
        <v>1</v>
      </c>
      <c r="ATC37">
        <v>1</v>
      </c>
      <c r="AUD37">
        <v>1</v>
      </c>
      <c r="AVG37">
        <v>1</v>
      </c>
      <c r="AWM37">
        <v>1</v>
      </c>
      <c r="AXP37">
        <v>1</v>
      </c>
      <c r="BAK37">
        <v>1</v>
      </c>
      <c r="BBC37">
        <v>1</v>
      </c>
      <c r="BBO37">
        <v>1</v>
      </c>
      <c r="BFZ37">
        <v>1</v>
      </c>
      <c r="BGJ37">
        <v>1</v>
      </c>
      <c r="BGS37">
        <v>1</v>
      </c>
      <c r="BGT37">
        <v>1</v>
      </c>
      <c r="BHC37">
        <v>1</v>
      </c>
      <c r="BIS37">
        <v>1</v>
      </c>
      <c r="BJG37">
        <v>1</v>
      </c>
      <c r="BPA37">
        <v>1</v>
      </c>
      <c r="BRP37">
        <v>1</v>
      </c>
      <c r="BRS37">
        <v>1</v>
      </c>
      <c r="BUY37">
        <v>1</v>
      </c>
      <c r="CBL37">
        <v>1</v>
      </c>
      <c r="CFZ37">
        <v>1</v>
      </c>
      <c r="CII37">
        <v>1</v>
      </c>
      <c r="CIK37">
        <v>1</v>
      </c>
      <c r="CIP37">
        <v>1</v>
      </c>
      <c r="CKR37">
        <v>1</v>
      </c>
      <c r="CKT37">
        <v>1</v>
      </c>
      <c r="CLT37">
        <v>1</v>
      </c>
      <c r="CLU37">
        <v>1</v>
      </c>
      <c r="CMW37">
        <v>1</v>
      </c>
      <c r="CNO37">
        <v>1</v>
      </c>
      <c r="CUH37">
        <v>1</v>
      </c>
      <c r="CVH37">
        <v>1</v>
      </c>
      <c r="DBM37">
        <v>1</v>
      </c>
      <c r="DEM37">
        <v>1</v>
      </c>
      <c r="DFS37">
        <v>1</v>
      </c>
      <c r="DHC37">
        <v>1</v>
      </c>
      <c r="DID37">
        <v>1</v>
      </c>
      <c r="DJG37">
        <v>1</v>
      </c>
      <c r="DKM37">
        <v>1</v>
      </c>
      <c r="DLP37">
        <v>1</v>
      </c>
      <c r="DOK37">
        <v>1</v>
      </c>
      <c r="DPC37">
        <v>1</v>
      </c>
      <c r="DPO37">
        <v>1</v>
      </c>
      <c r="DTZ37">
        <v>1</v>
      </c>
      <c r="DUJ37">
        <v>1</v>
      </c>
      <c r="DUS37">
        <v>1</v>
      </c>
      <c r="DUT37">
        <v>1</v>
      </c>
      <c r="DVC37">
        <v>1</v>
      </c>
      <c r="DWS37">
        <v>1</v>
      </c>
      <c r="DXG37">
        <v>1</v>
      </c>
      <c r="ECB37">
        <v>1</v>
      </c>
      <c r="EDG37">
        <f>SUMPRODUCT(Constraint_31,Decision_variables)</f>
        <v>1</v>
      </c>
      <c r="EDH37" t="s">
        <v>5264</v>
      </c>
      <c r="EDI37">
        <v>1</v>
      </c>
    </row>
    <row r="38" spans="2:1024 1026:2047 2050:3071 3075:3493" x14ac:dyDescent="0.3">
      <c r="B38" t="s">
        <v>3523</v>
      </c>
      <c r="BX38">
        <v>1</v>
      </c>
      <c r="GI38">
        <v>1</v>
      </c>
      <c r="IO38">
        <v>1</v>
      </c>
      <c r="JI38">
        <v>1</v>
      </c>
      <c r="QL38">
        <v>1</v>
      </c>
      <c r="AAP38">
        <v>1</v>
      </c>
      <c r="AAZ38">
        <v>1</v>
      </c>
      <c r="ABT38">
        <v>1</v>
      </c>
      <c r="ACK38">
        <v>1</v>
      </c>
      <c r="ADA38">
        <v>1</v>
      </c>
      <c r="ADK38">
        <v>1</v>
      </c>
      <c r="AEK38">
        <v>1</v>
      </c>
      <c r="AOV38">
        <v>1</v>
      </c>
      <c r="APO38">
        <v>1</v>
      </c>
      <c r="ARH38">
        <v>1</v>
      </c>
      <c r="ARI38">
        <v>1</v>
      </c>
      <c r="ARY38">
        <v>1</v>
      </c>
      <c r="ASA38">
        <v>1</v>
      </c>
      <c r="AVA38">
        <v>1</v>
      </c>
      <c r="AVS38">
        <v>1</v>
      </c>
      <c r="AXI38">
        <v>1</v>
      </c>
      <c r="AYY38">
        <v>1</v>
      </c>
      <c r="BCS38">
        <v>1</v>
      </c>
      <c r="BCX38">
        <v>1</v>
      </c>
      <c r="BDE38">
        <v>1</v>
      </c>
      <c r="BDM38">
        <v>1</v>
      </c>
      <c r="BEM38">
        <v>1</v>
      </c>
      <c r="BJO38">
        <v>1</v>
      </c>
      <c r="BJW38">
        <v>1</v>
      </c>
      <c r="BKN38">
        <v>1</v>
      </c>
      <c r="BLA38">
        <v>1</v>
      </c>
      <c r="BLI38">
        <v>1</v>
      </c>
      <c r="BMG38">
        <v>1</v>
      </c>
      <c r="BMQ38">
        <v>1</v>
      </c>
      <c r="BPX38">
        <v>1</v>
      </c>
      <c r="BUI38">
        <v>1</v>
      </c>
      <c r="BWO38">
        <v>1</v>
      </c>
      <c r="BXI38">
        <v>1</v>
      </c>
      <c r="CEL38">
        <v>1</v>
      </c>
      <c r="COP38">
        <v>1</v>
      </c>
      <c r="COZ38">
        <v>1</v>
      </c>
      <c r="CPT38">
        <v>1</v>
      </c>
      <c r="CQK38">
        <v>1</v>
      </c>
      <c r="CRA38">
        <v>1</v>
      </c>
      <c r="CRK38">
        <v>1</v>
      </c>
      <c r="CSK38">
        <v>1</v>
      </c>
      <c r="DCV38">
        <v>1</v>
      </c>
      <c r="DDO38">
        <v>1</v>
      </c>
      <c r="DFH38">
        <v>1</v>
      </c>
      <c r="DFI38">
        <v>1</v>
      </c>
      <c r="DFY38">
        <v>1</v>
      </c>
      <c r="DGA38">
        <v>1</v>
      </c>
      <c r="DJA38">
        <v>1</v>
      </c>
      <c r="DJS38">
        <v>1</v>
      </c>
      <c r="DLI38">
        <v>1</v>
      </c>
      <c r="DMY38">
        <v>1</v>
      </c>
      <c r="DQS38">
        <v>1</v>
      </c>
      <c r="DQX38">
        <v>1</v>
      </c>
      <c r="DRE38">
        <v>1</v>
      </c>
      <c r="DRM38">
        <v>1</v>
      </c>
      <c r="DSM38">
        <v>1</v>
      </c>
      <c r="DXO38">
        <v>1</v>
      </c>
      <c r="DXW38">
        <v>1</v>
      </c>
      <c r="DYN38">
        <v>1</v>
      </c>
      <c r="DZA38">
        <v>1</v>
      </c>
      <c r="DZI38">
        <v>1</v>
      </c>
      <c r="EAG38">
        <v>1</v>
      </c>
      <c r="EAQ38">
        <v>1</v>
      </c>
      <c r="ECC38">
        <v>1</v>
      </c>
      <c r="EDG38">
        <f>SUMPRODUCT(Constraint_32,Decision_variables)</f>
        <v>1</v>
      </c>
      <c r="EDH38" t="s">
        <v>5264</v>
      </c>
      <c r="EDI38">
        <v>1</v>
      </c>
    </row>
    <row r="39" spans="2:1024 1026:2047 2050:3071 3075:3493" x14ac:dyDescent="0.3">
      <c r="B39" t="s">
        <v>3524</v>
      </c>
      <c r="AE39">
        <v>1</v>
      </c>
      <c r="CP39">
        <v>1</v>
      </c>
      <c r="DL39">
        <v>1</v>
      </c>
      <c r="DN39">
        <v>1</v>
      </c>
      <c r="DY39">
        <v>1</v>
      </c>
      <c r="EA39">
        <v>1</v>
      </c>
      <c r="IA39">
        <v>1</v>
      </c>
      <c r="IC39">
        <v>1</v>
      </c>
      <c r="JR39">
        <v>1</v>
      </c>
      <c r="MH39">
        <v>1</v>
      </c>
      <c r="MM39">
        <v>1</v>
      </c>
      <c r="NW39">
        <v>1</v>
      </c>
      <c r="OD39">
        <v>1</v>
      </c>
      <c r="OZ39">
        <v>1</v>
      </c>
      <c r="QF39">
        <v>1</v>
      </c>
      <c r="RJ39">
        <v>1</v>
      </c>
      <c r="RP39">
        <v>1</v>
      </c>
      <c r="TH39">
        <v>1</v>
      </c>
      <c r="UG39">
        <v>1</v>
      </c>
      <c r="UW39">
        <v>1</v>
      </c>
      <c r="WG39">
        <v>1</v>
      </c>
      <c r="WT39">
        <v>1</v>
      </c>
      <c r="WV39">
        <v>1</v>
      </c>
      <c r="XU39">
        <v>1</v>
      </c>
      <c r="ABK39">
        <v>1</v>
      </c>
      <c r="ACX39">
        <v>1</v>
      </c>
      <c r="ADV39">
        <v>1</v>
      </c>
      <c r="AEP39">
        <v>1</v>
      </c>
      <c r="AEW39">
        <v>1</v>
      </c>
      <c r="AII39">
        <v>1</v>
      </c>
      <c r="AML39">
        <v>1</v>
      </c>
      <c r="AMN39">
        <v>1</v>
      </c>
      <c r="ANJ39">
        <v>1</v>
      </c>
      <c r="ARO39">
        <v>1</v>
      </c>
      <c r="ASH39">
        <v>1</v>
      </c>
      <c r="AVD39">
        <v>1</v>
      </c>
      <c r="AWD39">
        <v>1</v>
      </c>
      <c r="AZG39">
        <v>1</v>
      </c>
      <c r="BAF39">
        <v>1</v>
      </c>
      <c r="BAU39">
        <v>1</v>
      </c>
      <c r="BBV39">
        <v>1</v>
      </c>
      <c r="BDS39">
        <v>1</v>
      </c>
      <c r="BFH39">
        <v>1</v>
      </c>
      <c r="BGI39">
        <v>1</v>
      </c>
      <c r="BGU39">
        <v>1</v>
      </c>
      <c r="BHU39">
        <v>1</v>
      </c>
      <c r="BIJ39">
        <v>1</v>
      </c>
      <c r="BJU39">
        <v>1</v>
      </c>
      <c r="BKR39">
        <v>1</v>
      </c>
      <c r="BMK39">
        <v>1</v>
      </c>
      <c r="BOE39">
        <v>1</v>
      </c>
      <c r="BQP39">
        <v>1</v>
      </c>
      <c r="BRL39">
        <v>1</v>
      </c>
      <c r="BRN39">
        <v>1</v>
      </c>
      <c r="BRY39">
        <v>1</v>
      </c>
      <c r="BSA39">
        <v>1</v>
      </c>
      <c r="BWA39">
        <v>1</v>
      </c>
      <c r="BWC39">
        <v>1</v>
      </c>
      <c r="BXR39">
        <v>1</v>
      </c>
      <c r="CAH39">
        <v>1</v>
      </c>
      <c r="CAM39">
        <v>1</v>
      </c>
      <c r="CBW39">
        <v>1</v>
      </c>
      <c r="CCD39">
        <v>1</v>
      </c>
      <c r="CCZ39">
        <v>1</v>
      </c>
      <c r="CEF39">
        <v>1</v>
      </c>
      <c r="CFJ39">
        <v>1</v>
      </c>
      <c r="CFP39">
        <v>1</v>
      </c>
      <c r="CHH39">
        <v>1</v>
      </c>
      <c r="CIG39">
        <v>1</v>
      </c>
      <c r="CIW39">
        <v>1</v>
      </c>
      <c r="CKG39">
        <v>1</v>
      </c>
      <c r="CKT39">
        <v>1</v>
      </c>
      <c r="CKV39">
        <v>1</v>
      </c>
      <c r="CLU39">
        <v>1</v>
      </c>
      <c r="CPK39">
        <v>1</v>
      </c>
      <c r="CQX39">
        <v>1</v>
      </c>
      <c r="CRV39">
        <v>1</v>
      </c>
      <c r="CSP39">
        <v>1</v>
      </c>
      <c r="CSW39">
        <v>1</v>
      </c>
      <c r="CWI39">
        <v>1</v>
      </c>
      <c r="DAL39">
        <v>1</v>
      </c>
      <c r="DAN39">
        <v>1</v>
      </c>
      <c r="DBJ39">
        <v>1</v>
      </c>
      <c r="DFO39">
        <v>1</v>
      </c>
      <c r="DGH39">
        <v>1</v>
      </c>
      <c r="DJD39">
        <v>1</v>
      </c>
      <c r="DKD39">
        <v>1</v>
      </c>
      <c r="DNG39">
        <v>1</v>
      </c>
      <c r="DOF39">
        <v>1</v>
      </c>
      <c r="DOU39">
        <v>1</v>
      </c>
      <c r="DPV39">
        <v>1</v>
      </c>
      <c r="DRS39">
        <v>1</v>
      </c>
      <c r="DTH39">
        <v>1</v>
      </c>
      <c r="DUI39">
        <v>1</v>
      </c>
      <c r="DUU39">
        <v>1</v>
      </c>
      <c r="DVU39">
        <v>1</v>
      </c>
      <c r="DWJ39">
        <v>1</v>
      </c>
      <c r="DXU39">
        <v>1</v>
      </c>
      <c r="DYR39">
        <v>1</v>
      </c>
      <c r="EAK39">
        <v>1</v>
      </c>
      <c r="ECD39">
        <v>1</v>
      </c>
      <c r="EDG39">
        <f>SUMPRODUCT(Constraint_33,Decision_variables)</f>
        <v>1</v>
      </c>
      <c r="EDH39" t="s">
        <v>5264</v>
      </c>
      <c r="EDI39">
        <v>1</v>
      </c>
    </row>
    <row r="40" spans="2:1024 1026:2047 2050:3071 3075:3493" x14ac:dyDescent="0.3">
      <c r="B40" t="s">
        <v>3525</v>
      </c>
      <c r="W40">
        <v>1</v>
      </c>
      <c r="CC40">
        <v>1</v>
      </c>
      <c r="CR40">
        <v>1</v>
      </c>
      <c r="CW40">
        <v>1</v>
      </c>
      <c r="DC40">
        <v>1</v>
      </c>
      <c r="DD40">
        <v>1</v>
      </c>
      <c r="DM40">
        <v>1</v>
      </c>
      <c r="FM40">
        <v>1</v>
      </c>
      <c r="GL40">
        <v>1</v>
      </c>
      <c r="GN40">
        <v>1</v>
      </c>
      <c r="IN40">
        <v>1</v>
      </c>
      <c r="IY40">
        <v>1</v>
      </c>
      <c r="JQ40">
        <v>1</v>
      </c>
      <c r="JT40">
        <v>1</v>
      </c>
      <c r="JU40">
        <v>1</v>
      </c>
      <c r="KF40">
        <v>1</v>
      </c>
      <c r="KG40">
        <v>1</v>
      </c>
      <c r="KH40">
        <v>1</v>
      </c>
      <c r="LX40">
        <v>1</v>
      </c>
      <c r="ML40">
        <v>1</v>
      </c>
      <c r="MZ40">
        <v>1</v>
      </c>
      <c r="NR40">
        <v>1</v>
      </c>
      <c r="OT40">
        <v>1</v>
      </c>
      <c r="OX40">
        <v>1</v>
      </c>
      <c r="OY40">
        <v>1</v>
      </c>
      <c r="PI40">
        <v>1</v>
      </c>
      <c r="PK40">
        <v>1</v>
      </c>
      <c r="QC40">
        <v>1</v>
      </c>
      <c r="SB40">
        <v>1</v>
      </c>
      <c r="SE40">
        <v>1</v>
      </c>
      <c r="TI40">
        <v>1</v>
      </c>
      <c r="TS40">
        <v>1</v>
      </c>
      <c r="TU40">
        <v>1</v>
      </c>
      <c r="TV40">
        <v>1</v>
      </c>
      <c r="VD40">
        <v>1</v>
      </c>
      <c r="WH40">
        <v>1</v>
      </c>
      <c r="WV40">
        <v>1</v>
      </c>
      <c r="WY40">
        <v>1</v>
      </c>
      <c r="XQ40">
        <v>1</v>
      </c>
      <c r="ZH40">
        <v>1</v>
      </c>
      <c r="ACW40">
        <v>1</v>
      </c>
      <c r="AED40">
        <v>1</v>
      </c>
      <c r="AEM40">
        <v>1</v>
      </c>
      <c r="AGH40">
        <v>1</v>
      </c>
      <c r="AGN40">
        <v>1</v>
      </c>
      <c r="AHH40">
        <v>1</v>
      </c>
      <c r="AKO40">
        <v>1</v>
      </c>
      <c r="ALS40">
        <v>1</v>
      </c>
      <c r="AMA40">
        <v>1</v>
      </c>
      <c r="AOL40">
        <v>1</v>
      </c>
      <c r="AOP40">
        <v>1</v>
      </c>
      <c r="AQD40">
        <v>1</v>
      </c>
      <c r="ASD40">
        <v>1</v>
      </c>
      <c r="ASU40">
        <v>1</v>
      </c>
      <c r="AWA40">
        <v>1</v>
      </c>
      <c r="AXO40">
        <v>1</v>
      </c>
      <c r="AYX40">
        <v>1</v>
      </c>
      <c r="AZA40">
        <v>1</v>
      </c>
      <c r="BBI40">
        <v>1</v>
      </c>
      <c r="BCU40">
        <v>1</v>
      </c>
      <c r="BDY40">
        <v>1</v>
      </c>
      <c r="BHG40">
        <v>1</v>
      </c>
      <c r="BHJ40">
        <v>1</v>
      </c>
      <c r="BJP40">
        <v>1</v>
      </c>
      <c r="BNW40">
        <v>1</v>
      </c>
      <c r="BQC40">
        <v>1</v>
      </c>
      <c r="BQR40">
        <v>1</v>
      </c>
      <c r="BQW40">
        <v>1</v>
      </c>
      <c r="BRC40">
        <v>1</v>
      </c>
      <c r="BRD40">
        <v>1</v>
      </c>
      <c r="BRM40">
        <v>1</v>
      </c>
      <c r="BTM40">
        <v>1</v>
      </c>
      <c r="BUL40">
        <v>1</v>
      </c>
      <c r="BUN40">
        <v>1</v>
      </c>
      <c r="BWN40">
        <v>1</v>
      </c>
      <c r="BWY40">
        <v>1</v>
      </c>
      <c r="BXQ40">
        <v>1</v>
      </c>
      <c r="BXT40">
        <v>1</v>
      </c>
      <c r="BXU40">
        <v>1</v>
      </c>
      <c r="BYF40">
        <v>1</v>
      </c>
      <c r="BYG40">
        <v>1</v>
      </c>
      <c r="BYH40">
        <v>1</v>
      </c>
      <c r="BZX40">
        <v>1</v>
      </c>
      <c r="CAL40">
        <v>1</v>
      </c>
      <c r="CAZ40">
        <v>1</v>
      </c>
      <c r="CBR40">
        <v>1</v>
      </c>
      <c r="CCT40">
        <v>1</v>
      </c>
      <c r="CCX40">
        <v>1</v>
      </c>
      <c r="CCY40">
        <v>1</v>
      </c>
      <c r="CDI40">
        <v>1</v>
      </c>
      <c r="CDK40">
        <v>1</v>
      </c>
      <c r="CEC40">
        <v>1</v>
      </c>
      <c r="CGB40">
        <v>1</v>
      </c>
      <c r="CGE40">
        <v>1</v>
      </c>
      <c r="CHI40">
        <v>1</v>
      </c>
      <c r="CHS40">
        <v>1</v>
      </c>
      <c r="CHU40">
        <v>1</v>
      </c>
      <c r="CHV40">
        <v>1</v>
      </c>
      <c r="CJD40">
        <v>1</v>
      </c>
      <c r="CKH40">
        <v>1</v>
      </c>
      <c r="CKV40">
        <v>1</v>
      </c>
      <c r="CKY40">
        <v>1</v>
      </c>
      <c r="CLQ40">
        <v>1</v>
      </c>
      <c r="CNH40">
        <v>1</v>
      </c>
      <c r="CQW40">
        <v>1</v>
      </c>
      <c r="CSD40">
        <v>1</v>
      </c>
      <c r="CSM40">
        <v>1</v>
      </c>
      <c r="CUH40">
        <v>1</v>
      </c>
      <c r="CUN40">
        <v>1</v>
      </c>
      <c r="CVH40">
        <v>1</v>
      </c>
      <c r="CYO40">
        <v>1</v>
      </c>
      <c r="CZS40">
        <v>1</v>
      </c>
      <c r="DAA40">
        <v>1</v>
      </c>
      <c r="DCL40">
        <v>1</v>
      </c>
      <c r="DCP40">
        <v>1</v>
      </c>
      <c r="DED40">
        <v>1</v>
      </c>
      <c r="DGD40">
        <v>1</v>
      </c>
      <c r="DGU40">
        <v>1</v>
      </c>
      <c r="DKA40">
        <v>1</v>
      </c>
      <c r="DLO40">
        <v>1</v>
      </c>
      <c r="DMX40">
        <v>1</v>
      </c>
      <c r="DNA40">
        <v>1</v>
      </c>
      <c r="DPI40">
        <v>1</v>
      </c>
      <c r="DQU40">
        <v>1</v>
      </c>
      <c r="DRY40">
        <v>1</v>
      </c>
      <c r="DVG40">
        <v>1</v>
      </c>
      <c r="DVJ40">
        <v>1</v>
      </c>
      <c r="DXP40">
        <v>1</v>
      </c>
      <c r="ECE40">
        <v>1</v>
      </c>
      <c r="EDG40">
        <f>SUMPRODUCT(Constraint_34,Decision_variables)</f>
        <v>1</v>
      </c>
      <c r="EDH40" t="s">
        <v>5264</v>
      </c>
      <c r="EDI40">
        <v>1</v>
      </c>
    </row>
    <row r="41" spans="2:1024 1026:2047 2050:3071 3075:3493" x14ac:dyDescent="0.3">
      <c r="B41" t="s">
        <v>3526</v>
      </c>
      <c r="AZ41">
        <v>1</v>
      </c>
      <c r="DZ41">
        <v>1</v>
      </c>
      <c r="EC41">
        <v>1</v>
      </c>
      <c r="EE41">
        <v>1</v>
      </c>
      <c r="FV41">
        <v>1</v>
      </c>
      <c r="JD41">
        <v>1</v>
      </c>
      <c r="JF41">
        <v>1</v>
      </c>
      <c r="JK41">
        <v>1</v>
      </c>
      <c r="JL41">
        <v>1</v>
      </c>
      <c r="KC41">
        <v>1</v>
      </c>
      <c r="KO41">
        <v>1</v>
      </c>
      <c r="KR41">
        <v>1</v>
      </c>
      <c r="LO41">
        <v>1</v>
      </c>
      <c r="MF41">
        <v>1</v>
      </c>
      <c r="MP41">
        <v>1</v>
      </c>
      <c r="NB41">
        <v>1</v>
      </c>
      <c r="NC41">
        <v>1</v>
      </c>
      <c r="NK41">
        <v>1</v>
      </c>
      <c r="RD41">
        <v>1</v>
      </c>
      <c r="RH41">
        <v>1</v>
      </c>
      <c r="RK41">
        <v>1</v>
      </c>
      <c r="RY41">
        <v>1</v>
      </c>
      <c r="SJ41">
        <v>1</v>
      </c>
      <c r="SW41">
        <v>1</v>
      </c>
      <c r="TD41">
        <v>1</v>
      </c>
      <c r="TF41">
        <v>1</v>
      </c>
      <c r="TO41">
        <v>1</v>
      </c>
      <c r="TZ41">
        <v>1</v>
      </c>
      <c r="UL41">
        <v>1</v>
      </c>
      <c r="UU41">
        <v>1</v>
      </c>
      <c r="VF41">
        <v>1</v>
      </c>
      <c r="VL41">
        <v>1</v>
      </c>
      <c r="ZC41">
        <v>1</v>
      </c>
      <c r="ZX41">
        <v>1</v>
      </c>
      <c r="ABF41">
        <v>1</v>
      </c>
      <c r="ABQ41">
        <v>1</v>
      </c>
      <c r="ACP41">
        <v>1</v>
      </c>
      <c r="ACR41">
        <v>1</v>
      </c>
      <c r="ADP41">
        <v>1</v>
      </c>
      <c r="ADY41">
        <v>1</v>
      </c>
      <c r="AER41">
        <v>1</v>
      </c>
      <c r="AFG41">
        <v>1</v>
      </c>
      <c r="AHQ41">
        <v>1</v>
      </c>
      <c r="AIK41">
        <v>1</v>
      </c>
      <c r="AIZ41">
        <v>1</v>
      </c>
      <c r="AKF41">
        <v>1</v>
      </c>
      <c r="AKJ41">
        <v>1</v>
      </c>
      <c r="AMX41">
        <v>1</v>
      </c>
      <c r="ANK41">
        <v>1</v>
      </c>
      <c r="ASB41">
        <v>1</v>
      </c>
      <c r="AWU41">
        <v>1</v>
      </c>
      <c r="BAH41">
        <v>1</v>
      </c>
      <c r="BBJ41">
        <v>1</v>
      </c>
      <c r="BBT41">
        <v>1</v>
      </c>
      <c r="BCE41">
        <v>1</v>
      </c>
      <c r="BEP41">
        <v>1</v>
      </c>
      <c r="BFO41">
        <v>1</v>
      </c>
      <c r="BHE41">
        <v>1</v>
      </c>
      <c r="BKA41">
        <v>1</v>
      </c>
      <c r="BLV41">
        <v>1</v>
      </c>
      <c r="BOZ41">
        <v>1</v>
      </c>
      <c r="BRZ41">
        <v>1</v>
      </c>
      <c r="BSC41">
        <v>1</v>
      </c>
      <c r="BSE41">
        <v>1</v>
      </c>
      <c r="BTV41">
        <v>1</v>
      </c>
      <c r="BXD41">
        <v>1</v>
      </c>
      <c r="BXF41">
        <v>1</v>
      </c>
      <c r="BXK41">
        <v>1</v>
      </c>
      <c r="BXL41">
        <v>1</v>
      </c>
      <c r="BYC41">
        <v>1</v>
      </c>
      <c r="BYO41">
        <v>1</v>
      </c>
      <c r="BYR41">
        <v>1</v>
      </c>
      <c r="BZO41">
        <v>1</v>
      </c>
      <c r="CAF41">
        <v>1</v>
      </c>
      <c r="CAP41">
        <v>1</v>
      </c>
      <c r="CBB41">
        <v>1</v>
      </c>
      <c r="CBC41">
        <v>1</v>
      </c>
      <c r="CBK41">
        <v>1</v>
      </c>
      <c r="CFD41">
        <v>1</v>
      </c>
      <c r="CFH41">
        <v>1</v>
      </c>
      <c r="CFK41">
        <v>1</v>
      </c>
      <c r="CFY41">
        <v>1</v>
      </c>
      <c r="CGJ41">
        <v>1</v>
      </c>
      <c r="CGW41">
        <v>1</v>
      </c>
      <c r="CHD41">
        <v>1</v>
      </c>
      <c r="CHF41">
        <v>1</v>
      </c>
      <c r="CHO41">
        <v>1</v>
      </c>
      <c r="CHZ41">
        <v>1</v>
      </c>
      <c r="CIL41">
        <v>1</v>
      </c>
      <c r="CIU41">
        <v>1</v>
      </c>
      <c r="CJF41">
        <v>1</v>
      </c>
      <c r="CJL41">
        <v>1</v>
      </c>
      <c r="CNC41">
        <v>1</v>
      </c>
      <c r="CNX41">
        <v>1</v>
      </c>
      <c r="CPF41">
        <v>1</v>
      </c>
      <c r="CPQ41">
        <v>1</v>
      </c>
      <c r="CQP41">
        <v>1</v>
      </c>
      <c r="CQR41">
        <v>1</v>
      </c>
      <c r="CRP41">
        <v>1</v>
      </c>
      <c r="CRY41">
        <v>1</v>
      </c>
      <c r="CSR41">
        <v>1</v>
      </c>
      <c r="CTG41">
        <v>1</v>
      </c>
      <c r="CVQ41">
        <v>1</v>
      </c>
      <c r="CWK41">
        <v>1</v>
      </c>
      <c r="CWZ41">
        <v>1</v>
      </c>
      <c r="CYF41">
        <v>1</v>
      </c>
      <c r="CYJ41">
        <v>1</v>
      </c>
      <c r="DAX41">
        <v>1</v>
      </c>
      <c r="DBK41">
        <v>1</v>
      </c>
      <c r="DGB41">
        <v>1</v>
      </c>
      <c r="DKU41">
        <v>1</v>
      </c>
      <c r="DOH41">
        <v>1</v>
      </c>
      <c r="DPJ41">
        <v>1</v>
      </c>
      <c r="DPT41">
        <v>1</v>
      </c>
      <c r="DQE41">
        <v>1</v>
      </c>
      <c r="DSP41">
        <v>1</v>
      </c>
      <c r="DTO41">
        <v>1</v>
      </c>
      <c r="DVE41">
        <v>1</v>
      </c>
      <c r="DYA41">
        <v>1</v>
      </c>
      <c r="DZV41">
        <v>1</v>
      </c>
      <c r="ECF41">
        <v>1</v>
      </c>
      <c r="EDG41">
        <f>SUMPRODUCT(Constraint_35,Decision_variables)</f>
        <v>1</v>
      </c>
      <c r="EDH41" t="s">
        <v>5264</v>
      </c>
      <c r="EDI41">
        <v>1</v>
      </c>
    </row>
    <row r="42" spans="2:1024 1026:2047 2050:3071 3075:3493" x14ac:dyDescent="0.3">
      <c r="B42" t="s">
        <v>3527</v>
      </c>
      <c r="HF42">
        <v>1</v>
      </c>
      <c r="HU42">
        <v>1</v>
      </c>
      <c r="HX42">
        <v>1</v>
      </c>
      <c r="MH42">
        <v>1</v>
      </c>
      <c r="NW42">
        <v>1</v>
      </c>
      <c r="OM42">
        <v>1</v>
      </c>
      <c r="QW42">
        <v>1</v>
      </c>
      <c r="RS42">
        <v>1</v>
      </c>
      <c r="RV42">
        <v>1</v>
      </c>
      <c r="RZ42">
        <v>1</v>
      </c>
      <c r="SE42">
        <v>1</v>
      </c>
      <c r="TS42">
        <v>1</v>
      </c>
      <c r="UT42">
        <v>1</v>
      </c>
      <c r="UZ42">
        <v>1</v>
      </c>
      <c r="XG42">
        <v>1</v>
      </c>
      <c r="ABD42">
        <v>1</v>
      </c>
      <c r="ABZ42">
        <v>1</v>
      </c>
      <c r="ACR42">
        <v>1</v>
      </c>
      <c r="ADK42">
        <v>1</v>
      </c>
      <c r="ADP42">
        <v>1</v>
      </c>
      <c r="AEA42">
        <v>1</v>
      </c>
      <c r="AEK42">
        <v>1</v>
      </c>
      <c r="AFJ42">
        <v>1</v>
      </c>
      <c r="AGT42">
        <v>1</v>
      </c>
      <c r="AHM42">
        <v>1</v>
      </c>
      <c r="AJG42">
        <v>1</v>
      </c>
      <c r="AKM42">
        <v>1</v>
      </c>
      <c r="AKQ42">
        <v>1</v>
      </c>
      <c r="AMW42">
        <v>1</v>
      </c>
      <c r="ANB42">
        <v>1</v>
      </c>
      <c r="ANV42">
        <v>1</v>
      </c>
      <c r="ANX42">
        <v>1</v>
      </c>
      <c r="AOC42">
        <v>1</v>
      </c>
      <c r="APL42">
        <v>1</v>
      </c>
      <c r="APU42">
        <v>1</v>
      </c>
      <c r="AQF42">
        <v>1</v>
      </c>
      <c r="ASW42">
        <v>1</v>
      </c>
      <c r="ATM42">
        <v>1</v>
      </c>
      <c r="AUR42">
        <v>1</v>
      </c>
      <c r="AYU42">
        <v>1</v>
      </c>
      <c r="AYV42">
        <v>1</v>
      </c>
      <c r="BBK42">
        <v>1</v>
      </c>
      <c r="BBR42">
        <v>1</v>
      </c>
      <c r="BCA42">
        <v>1</v>
      </c>
      <c r="BGN42">
        <v>1</v>
      </c>
      <c r="BJM42">
        <v>1</v>
      </c>
      <c r="BJV42">
        <v>1</v>
      </c>
      <c r="BKE42">
        <v>1</v>
      </c>
      <c r="BLH42">
        <v>1</v>
      </c>
      <c r="BLQ42">
        <v>1</v>
      </c>
      <c r="BLS42">
        <v>1</v>
      </c>
      <c r="BVF42">
        <v>1</v>
      </c>
      <c r="BVU42">
        <v>1</v>
      </c>
      <c r="BVX42">
        <v>1</v>
      </c>
      <c r="CAH42">
        <v>1</v>
      </c>
      <c r="CBW42">
        <v>1</v>
      </c>
      <c r="CCM42">
        <v>1</v>
      </c>
      <c r="CEW42">
        <v>1</v>
      </c>
      <c r="CFS42">
        <v>1</v>
      </c>
      <c r="CFV42">
        <v>1</v>
      </c>
      <c r="CFZ42">
        <v>1</v>
      </c>
      <c r="CGE42">
        <v>1</v>
      </c>
      <c r="CHS42">
        <v>1</v>
      </c>
      <c r="CIT42">
        <v>1</v>
      </c>
      <c r="CIZ42">
        <v>1</v>
      </c>
      <c r="CLG42">
        <v>1</v>
      </c>
      <c r="CPD42">
        <v>1</v>
      </c>
      <c r="CPZ42">
        <v>1</v>
      </c>
      <c r="CQR42">
        <v>1</v>
      </c>
      <c r="CRK42">
        <v>1</v>
      </c>
      <c r="CRP42">
        <v>1</v>
      </c>
      <c r="CSA42">
        <v>1</v>
      </c>
      <c r="CSK42">
        <v>1</v>
      </c>
      <c r="CTJ42">
        <v>1</v>
      </c>
      <c r="CUT42">
        <v>1</v>
      </c>
      <c r="CVM42">
        <v>1</v>
      </c>
      <c r="CXG42">
        <v>1</v>
      </c>
      <c r="CYM42">
        <v>1</v>
      </c>
      <c r="CYQ42">
        <v>1</v>
      </c>
      <c r="DAW42">
        <v>1</v>
      </c>
      <c r="DBB42">
        <v>1</v>
      </c>
      <c r="DBV42">
        <v>1</v>
      </c>
      <c r="DBX42">
        <v>1</v>
      </c>
      <c r="DCC42">
        <v>1</v>
      </c>
      <c r="DDL42">
        <v>1</v>
      </c>
      <c r="DDU42">
        <v>1</v>
      </c>
      <c r="DEF42">
        <v>1</v>
      </c>
      <c r="DGW42">
        <v>1</v>
      </c>
      <c r="DHM42">
        <v>1</v>
      </c>
      <c r="DIR42">
        <v>1</v>
      </c>
      <c r="DMU42">
        <v>1</v>
      </c>
      <c r="DMV42">
        <v>1</v>
      </c>
      <c r="DPK42">
        <v>1</v>
      </c>
      <c r="DPR42">
        <v>1</v>
      </c>
      <c r="DQA42">
        <v>1</v>
      </c>
      <c r="DUN42">
        <v>1</v>
      </c>
      <c r="DXM42">
        <v>1</v>
      </c>
      <c r="DXV42">
        <v>1</v>
      </c>
      <c r="DYE42">
        <v>1</v>
      </c>
      <c r="DZH42">
        <v>1</v>
      </c>
      <c r="DZQ42">
        <v>1</v>
      </c>
      <c r="DZS42">
        <v>1</v>
      </c>
      <c r="ECG42">
        <v>1</v>
      </c>
      <c r="EDG42">
        <f>SUMPRODUCT(Constraint_36,Decision_variables)</f>
        <v>1</v>
      </c>
      <c r="EDH42" t="s">
        <v>5264</v>
      </c>
      <c r="EDI42">
        <v>1</v>
      </c>
    </row>
    <row r="43" spans="2:1024 1026:2047 2050:3071 3075:3493" x14ac:dyDescent="0.3">
      <c r="B43" t="s">
        <v>3528</v>
      </c>
      <c r="AD43">
        <v>1</v>
      </c>
      <c r="BV43">
        <v>1</v>
      </c>
      <c r="CB43">
        <v>1</v>
      </c>
      <c r="CF43">
        <v>1</v>
      </c>
      <c r="CX43">
        <v>1</v>
      </c>
      <c r="EN43">
        <v>1</v>
      </c>
      <c r="EV43">
        <v>1</v>
      </c>
      <c r="GD43">
        <v>1</v>
      </c>
      <c r="HM43">
        <v>1</v>
      </c>
      <c r="LB43">
        <v>1</v>
      </c>
      <c r="LY43">
        <v>1</v>
      </c>
      <c r="MG43">
        <v>1</v>
      </c>
      <c r="MQ43">
        <v>1</v>
      </c>
      <c r="QF43">
        <v>1</v>
      </c>
      <c r="QJ43">
        <v>1</v>
      </c>
      <c r="RJ43">
        <v>1</v>
      </c>
      <c r="RN43">
        <v>1</v>
      </c>
      <c r="TO43">
        <v>1</v>
      </c>
      <c r="UL43">
        <v>1</v>
      </c>
      <c r="UY43">
        <v>1</v>
      </c>
      <c r="VB43">
        <v>1</v>
      </c>
      <c r="VH43">
        <v>1</v>
      </c>
      <c r="XW43">
        <v>1</v>
      </c>
      <c r="XZ43">
        <v>1</v>
      </c>
      <c r="YW43">
        <v>1</v>
      </c>
      <c r="AAH43">
        <v>1</v>
      </c>
      <c r="ABE43">
        <v>1</v>
      </c>
      <c r="ABR43">
        <v>1</v>
      </c>
      <c r="ACD43">
        <v>1</v>
      </c>
      <c r="ADB43">
        <v>1</v>
      </c>
      <c r="ADM43">
        <v>1</v>
      </c>
      <c r="ADW43">
        <v>1</v>
      </c>
      <c r="AEN43">
        <v>1</v>
      </c>
      <c r="AFO43">
        <v>1</v>
      </c>
      <c r="AFX43">
        <v>1</v>
      </c>
      <c r="AGU43">
        <v>1</v>
      </c>
      <c r="AIG43">
        <v>1</v>
      </c>
      <c r="ALD43">
        <v>1</v>
      </c>
      <c r="AMO43">
        <v>1</v>
      </c>
      <c r="AOZ43">
        <v>1</v>
      </c>
      <c r="APQ43">
        <v>1</v>
      </c>
      <c r="APU43">
        <v>1</v>
      </c>
      <c r="APV43">
        <v>1</v>
      </c>
      <c r="AQS43">
        <v>1</v>
      </c>
      <c r="ATK43">
        <v>1</v>
      </c>
      <c r="ATN43">
        <v>1</v>
      </c>
      <c r="ATP43">
        <v>1</v>
      </c>
      <c r="ATS43">
        <v>1</v>
      </c>
      <c r="ATU43">
        <v>1</v>
      </c>
      <c r="AUJ43">
        <v>1</v>
      </c>
      <c r="AUK43">
        <v>1</v>
      </c>
      <c r="AUL43">
        <v>1</v>
      </c>
      <c r="AWW43">
        <v>1</v>
      </c>
      <c r="AXA43">
        <v>1</v>
      </c>
      <c r="AZQ43">
        <v>1</v>
      </c>
      <c r="AZU43">
        <v>1</v>
      </c>
      <c r="BAO43">
        <v>1</v>
      </c>
      <c r="BCT43">
        <v>1</v>
      </c>
      <c r="BEC43">
        <v>1</v>
      </c>
      <c r="BHV43">
        <v>1</v>
      </c>
      <c r="BKJ43">
        <v>1</v>
      </c>
      <c r="BOD43">
        <v>1</v>
      </c>
      <c r="BPV43">
        <v>1</v>
      </c>
      <c r="BQB43">
        <v>1</v>
      </c>
      <c r="BQF43">
        <v>1</v>
      </c>
      <c r="BQX43">
        <v>1</v>
      </c>
      <c r="BSN43">
        <v>1</v>
      </c>
      <c r="BSV43">
        <v>1</v>
      </c>
      <c r="BUD43">
        <v>1</v>
      </c>
      <c r="BVM43">
        <v>1</v>
      </c>
      <c r="BZB43">
        <v>1</v>
      </c>
      <c r="BZY43">
        <v>1</v>
      </c>
      <c r="CAG43">
        <v>1</v>
      </c>
      <c r="CAQ43">
        <v>1</v>
      </c>
      <c r="CEF43">
        <v>1</v>
      </c>
      <c r="CEJ43">
        <v>1</v>
      </c>
      <c r="CFJ43">
        <v>1</v>
      </c>
      <c r="CFN43">
        <v>1</v>
      </c>
      <c r="CHO43">
        <v>1</v>
      </c>
      <c r="CIL43">
        <v>1</v>
      </c>
      <c r="CIY43">
        <v>1</v>
      </c>
      <c r="CJB43">
        <v>1</v>
      </c>
      <c r="CJH43">
        <v>1</v>
      </c>
      <c r="CLW43">
        <v>1</v>
      </c>
      <c r="CLZ43">
        <v>1</v>
      </c>
      <c r="CMW43">
        <v>1</v>
      </c>
      <c r="COH43">
        <v>1</v>
      </c>
      <c r="CPE43">
        <v>1</v>
      </c>
      <c r="CPR43">
        <v>1</v>
      </c>
      <c r="CQD43">
        <v>1</v>
      </c>
      <c r="CRB43">
        <v>1</v>
      </c>
      <c r="CRM43">
        <v>1</v>
      </c>
      <c r="CRW43">
        <v>1</v>
      </c>
      <c r="CSN43">
        <v>1</v>
      </c>
      <c r="CTO43">
        <v>1</v>
      </c>
      <c r="CTX43">
        <v>1</v>
      </c>
      <c r="CUU43">
        <v>1</v>
      </c>
      <c r="CWG43">
        <v>1</v>
      </c>
      <c r="CZD43">
        <v>1</v>
      </c>
      <c r="DAO43">
        <v>1</v>
      </c>
      <c r="DCZ43">
        <v>1</v>
      </c>
      <c r="DDQ43">
        <v>1</v>
      </c>
      <c r="DDU43">
        <v>1</v>
      </c>
      <c r="DDV43">
        <v>1</v>
      </c>
      <c r="DES43">
        <v>1</v>
      </c>
      <c r="DHK43">
        <v>1</v>
      </c>
      <c r="DHN43">
        <v>1</v>
      </c>
      <c r="DHP43">
        <v>1</v>
      </c>
      <c r="DHS43">
        <v>1</v>
      </c>
      <c r="DHU43">
        <v>1</v>
      </c>
      <c r="DIJ43">
        <v>1</v>
      </c>
      <c r="DIK43">
        <v>1</v>
      </c>
      <c r="DIL43">
        <v>1</v>
      </c>
      <c r="DKW43">
        <v>1</v>
      </c>
      <c r="DLA43">
        <v>1</v>
      </c>
      <c r="DNQ43">
        <v>1</v>
      </c>
      <c r="DNU43">
        <v>1</v>
      </c>
      <c r="DOO43">
        <v>1</v>
      </c>
      <c r="DQT43">
        <v>1</v>
      </c>
      <c r="DSC43">
        <v>1</v>
      </c>
      <c r="DVV43">
        <v>1</v>
      </c>
      <c r="DYJ43">
        <v>1</v>
      </c>
      <c r="ECH43">
        <v>1</v>
      </c>
      <c r="EDG43">
        <f>SUMPRODUCT(Constraint_37,Decision_variables)</f>
        <v>1</v>
      </c>
      <c r="EDH43" t="s">
        <v>5264</v>
      </c>
      <c r="EDI43">
        <v>1</v>
      </c>
    </row>
    <row r="44" spans="2:1024 1026:2047 2050:3071 3075:3493" x14ac:dyDescent="0.3">
      <c r="B44" t="s">
        <v>3529</v>
      </c>
      <c r="AT44">
        <v>1</v>
      </c>
      <c r="DR44">
        <v>1</v>
      </c>
      <c r="DU44">
        <v>1</v>
      </c>
      <c r="ER44">
        <v>1</v>
      </c>
      <c r="KK44">
        <v>1</v>
      </c>
      <c r="KV44">
        <v>1</v>
      </c>
      <c r="KY44">
        <v>1</v>
      </c>
      <c r="LC44">
        <v>1</v>
      </c>
      <c r="ND44">
        <v>1</v>
      </c>
      <c r="NI44">
        <v>1</v>
      </c>
      <c r="NJ44">
        <v>1</v>
      </c>
      <c r="OG44">
        <v>1</v>
      </c>
      <c r="PA44">
        <v>1</v>
      </c>
      <c r="PM44">
        <v>1</v>
      </c>
      <c r="PO44">
        <v>1</v>
      </c>
      <c r="PR44">
        <v>1</v>
      </c>
      <c r="PS44">
        <v>1</v>
      </c>
      <c r="QM44">
        <v>1</v>
      </c>
      <c r="RB44">
        <v>1</v>
      </c>
      <c r="RE44">
        <v>1</v>
      </c>
      <c r="WF44">
        <v>1</v>
      </c>
      <c r="WL44">
        <v>1</v>
      </c>
      <c r="WX44">
        <v>1</v>
      </c>
      <c r="XB44">
        <v>1</v>
      </c>
      <c r="XM44">
        <v>1</v>
      </c>
      <c r="YU44">
        <v>1</v>
      </c>
      <c r="YV44">
        <v>1</v>
      </c>
      <c r="ZB44">
        <v>1</v>
      </c>
      <c r="ABA44">
        <v>1</v>
      </c>
      <c r="ABP44">
        <v>1</v>
      </c>
      <c r="AFJ44">
        <v>1</v>
      </c>
      <c r="AHT44">
        <v>1</v>
      </c>
      <c r="AIH44">
        <v>1</v>
      </c>
      <c r="AJM44">
        <v>1</v>
      </c>
      <c r="AKW44">
        <v>1</v>
      </c>
      <c r="AKY44">
        <v>1</v>
      </c>
      <c r="AQO44">
        <v>1</v>
      </c>
      <c r="AYQ44">
        <v>1</v>
      </c>
      <c r="BAD44">
        <v>1</v>
      </c>
      <c r="BFI44">
        <v>1</v>
      </c>
      <c r="BHH44">
        <v>1</v>
      </c>
      <c r="BHK44">
        <v>1</v>
      </c>
      <c r="BIE44">
        <v>1</v>
      </c>
      <c r="BKO44">
        <v>1</v>
      </c>
      <c r="BOT44">
        <v>1</v>
      </c>
      <c r="BRR44">
        <v>1</v>
      </c>
      <c r="BRU44">
        <v>1</v>
      </c>
      <c r="BSR44">
        <v>1</v>
      </c>
      <c r="BYK44">
        <v>1</v>
      </c>
      <c r="BYV44">
        <v>1</v>
      </c>
      <c r="BYY44">
        <v>1</v>
      </c>
      <c r="BZC44">
        <v>1</v>
      </c>
      <c r="CBD44">
        <v>1</v>
      </c>
      <c r="CBI44">
        <v>1</v>
      </c>
      <c r="CBJ44">
        <v>1</v>
      </c>
      <c r="CCG44">
        <v>1</v>
      </c>
      <c r="CDA44">
        <v>1</v>
      </c>
      <c r="CDM44">
        <v>1</v>
      </c>
      <c r="CDO44">
        <v>1</v>
      </c>
      <c r="CDR44">
        <v>1</v>
      </c>
      <c r="CDS44">
        <v>1</v>
      </c>
      <c r="CEM44">
        <v>1</v>
      </c>
      <c r="CFB44">
        <v>1</v>
      </c>
      <c r="CFE44">
        <v>1</v>
      </c>
      <c r="CKF44">
        <v>1</v>
      </c>
      <c r="CKL44">
        <v>1</v>
      </c>
      <c r="CKX44">
        <v>1</v>
      </c>
      <c r="CLB44">
        <v>1</v>
      </c>
      <c r="CLM44">
        <v>1</v>
      </c>
      <c r="CMU44">
        <v>1</v>
      </c>
      <c r="CMV44">
        <v>1</v>
      </c>
      <c r="CNB44">
        <v>1</v>
      </c>
      <c r="CPA44">
        <v>1</v>
      </c>
      <c r="CPP44">
        <v>1</v>
      </c>
      <c r="CTJ44">
        <v>1</v>
      </c>
      <c r="CVT44">
        <v>1</v>
      </c>
      <c r="CWH44">
        <v>1</v>
      </c>
      <c r="CXM44">
        <v>1</v>
      </c>
      <c r="CYW44">
        <v>1</v>
      </c>
      <c r="CYY44">
        <v>1</v>
      </c>
      <c r="DEO44">
        <v>1</v>
      </c>
      <c r="DMQ44">
        <v>1</v>
      </c>
      <c r="DOD44">
        <v>1</v>
      </c>
      <c r="DTI44">
        <v>1</v>
      </c>
      <c r="DVH44">
        <v>1</v>
      </c>
      <c r="DVK44">
        <v>1</v>
      </c>
      <c r="DWE44">
        <v>1</v>
      </c>
      <c r="DYO44">
        <v>1</v>
      </c>
      <c r="ECI44">
        <v>1</v>
      </c>
      <c r="EDG44">
        <f>SUMPRODUCT(Constraint_38,Decision_variables)</f>
        <v>1</v>
      </c>
      <c r="EDH44" t="s">
        <v>5264</v>
      </c>
      <c r="EDI44">
        <v>1</v>
      </c>
    </row>
    <row r="45" spans="2:1024 1026:2047 2050:3071 3075:3493" x14ac:dyDescent="0.3">
      <c r="B45" t="s">
        <v>3530</v>
      </c>
      <c r="CG45">
        <v>1</v>
      </c>
      <c r="HI45">
        <v>1</v>
      </c>
      <c r="OQ45">
        <v>1</v>
      </c>
      <c r="AAN45">
        <v>1</v>
      </c>
      <c r="AAO45">
        <v>1</v>
      </c>
      <c r="AEF45">
        <v>1</v>
      </c>
      <c r="AEU45">
        <v>1</v>
      </c>
      <c r="AFD45">
        <v>1</v>
      </c>
      <c r="AGM45">
        <v>1</v>
      </c>
      <c r="AIN45">
        <v>1</v>
      </c>
      <c r="AIO45">
        <v>1</v>
      </c>
      <c r="AJA45">
        <v>1</v>
      </c>
      <c r="AKI45">
        <v>1</v>
      </c>
      <c r="AKT45">
        <v>1</v>
      </c>
      <c r="AOI45">
        <v>1</v>
      </c>
      <c r="AOK45">
        <v>1</v>
      </c>
      <c r="AOQ45">
        <v>1</v>
      </c>
      <c r="AQK45">
        <v>1</v>
      </c>
      <c r="ARR45">
        <v>1</v>
      </c>
      <c r="ARX45">
        <v>1</v>
      </c>
      <c r="ASI45">
        <v>1</v>
      </c>
      <c r="AUJ45">
        <v>1</v>
      </c>
      <c r="AUV45">
        <v>1</v>
      </c>
      <c r="AVQ45">
        <v>1</v>
      </c>
      <c r="BBA45">
        <v>1</v>
      </c>
      <c r="BBE45">
        <v>1</v>
      </c>
      <c r="BBR45">
        <v>1</v>
      </c>
      <c r="BCA45">
        <v>1</v>
      </c>
      <c r="BCB45">
        <v>1</v>
      </c>
      <c r="BDO45">
        <v>1</v>
      </c>
      <c r="BQG45">
        <v>1</v>
      </c>
      <c r="BVI45">
        <v>1</v>
      </c>
      <c r="CCQ45">
        <v>1</v>
      </c>
      <c r="CON45">
        <v>1</v>
      </c>
      <c r="COO45">
        <v>1</v>
      </c>
      <c r="CSF45">
        <v>1</v>
      </c>
      <c r="CSU45">
        <v>1</v>
      </c>
      <c r="CTD45">
        <v>1</v>
      </c>
      <c r="CUM45">
        <v>1</v>
      </c>
      <c r="CWN45">
        <v>1</v>
      </c>
      <c r="CWO45">
        <v>1</v>
      </c>
      <c r="CXA45">
        <v>1</v>
      </c>
      <c r="CYI45">
        <v>1</v>
      </c>
      <c r="CYT45">
        <v>1</v>
      </c>
      <c r="DCI45">
        <v>1</v>
      </c>
      <c r="DCK45">
        <v>1</v>
      </c>
      <c r="DCQ45">
        <v>1</v>
      </c>
      <c r="DEK45">
        <v>1</v>
      </c>
      <c r="DFR45">
        <v>1</v>
      </c>
      <c r="DFX45">
        <v>1</v>
      </c>
      <c r="DGI45">
        <v>1</v>
      </c>
      <c r="DIJ45">
        <v>1</v>
      </c>
      <c r="DIV45">
        <v>1</v>
      </c>
      <c r="DJQ45">
        <v>1</v>
      </c>
      <c r="DPA45">
        <v>1</v>
      </c>
      <c r="DPE45">
        <v>1</v>
      </c>
      <c r="DPR45">
        <v>1</v>
      </c>
      <c r="DQA45">
        <v>1</v>
      </c>
      <c r="DQB45">
        <v>1</v>
      </c>
      <c r="DRO45">
        <v>1</v>
      </c>
      <c r="ECJ45">
        <v>1</v>
      </c>
      <c r="EDG45">
        <f>SUMPRODUCT(Constraint_39,Decision_variables)</f>
        <v>1</v>
      </c>
      <c r="EDH45" t="s">
        <v>5264</v>
      </c>
      <c r="EDI45">
        <v>1</v>
      </c>
    </row>
    <row r="46" spans="2:1024 1026:2047 2050:3071 3075:3493" x14ac:dyDescent="0.3">
      <c r="B46" t="s">
        <v>3531</v>
      </c>
      <c r="EJ46">
        <v>1</v>
      </c>
      <c r="HD46">
        <v>1</v>
      </c>
      <c r="IL46">
        <v>1</v>
      </c>
      <c r="NS46">
        <v>1</v>
      </c>
      <c r="PL46">
        <v>1</v>
      </c>
      <c r="YE46">
        <v>1</v>
      </c>
      <c r="YT46">
        <v>1</v>
      </c>
      <c r="AAT46">
        <v>1</v>
      </c>
      <c r="AAV46">
        <v>1</v>
      </c>
      <c r="ABY46">
        <v>1</v>
      </c>
      <c r="AEI46">
        <v>1</v>
      </c>
      <c r="AGK46">
        <v>1</v>
      </c>
      <c r="AJZ46">
        <v>1</v>
      </c>
      <c r="AKV46">
        <v>1</v>
      </c>
      <c r="ALG46">
        <v>1</v>
      </c>
      <c r="ALN46">
        <v>1</v>
      </c>
      <c r="ANP46">
        <v>1</v>
      </c>
      <c r="AOR46">
        <v>1</v>
      </c>
      <c r="API46">
        <v>1</v>
      </c>
      <c r="AUB46">
        <v>1</v>
      </c>
      <c r="BBN46">
        <v>1</v>
      </c>
      <c r="BBY46">
        <v>1</v>
      </c>
      <c r="BBZ46">
        <v>1</v>
      </c>
      <c r="BDJ46">
        <v>1</v>
      </c>
      <c r="BEJ46">
        <v>1</v>
      </c>
      <c r="BHM46">
        <v>1</v>
      </c>
      <c r="BSJ46">
        <v>1</v>
      </c>
      <c r="BVD46">
        <v>1</v>
      </c>
      <c r="BWL46">
        <v>1</v>
      </c>
      <c r="CBS46">
        <v>1</v>
      </c>
      <c r="CDL46">
        <v>1</v>
      </c>
      <c r="CME46">
        <v>1</v>
      </c>
      <c r="CMT46">
        <v>1</v>
      </c>
      <c r="COT46">
        <v>1</v>
      </c>
      <c r="COV46">
        <v>1</v>
      </c>
      <c r="CPY46">
        <v>1</v>
      </c>
      <c r="CSI46">
        <v>1</v>
      </c>
      <c r="CUK46">
        <v>1</v>
      </c>
      <c r="CXZ46">
        <v>1</v>
      </c>
      <c r="CYV46">
        <v>1</v>
      </c>
      <c r="CZG46">
        <v>1</v>
      </c>
      <c r="CZN46">
        <v>1</v>
      </c>
      <c r="DBP46">
        <v>1</v>
      </c>
      <c r="DCR46">
        <v>1</v>
      </c>
      <c r="DDI46">
        <v>1</v>
      </c>
      <c r="DIB46">
        <v>1</v>
      </c>
      <c r="DPN46">
        <v>1</v>
      </c>
      <c r="DPY46">
        <v>1</v>
      </c>
      <c r="DPZ46">
        <v>1</v>
      </c>
      <c r="DRJ46">
        <v>1</v>
      </c>
      <c r="DSJ46">
        <v>1</v>
      </c>
      <c r="DVM46">
        <v>1</v>
      </c>
      <c r="ECL46">
        <v>1</v>
      </c>
      <c r="EDG46">
        <f>SUMPRODUCT(Constraint_40,Decision_variables)</f>
        <v>1</v>
      </c>
      <c r="EDH46" t="s">
        <v>5264</v>
      </c>
      <c r="EDI46">
        <v>1</v>
      </c>
    </row>
    <row r="47" spans="2:1024 1026:2047 2050:3071 3075:3493" x14ac:dyDescent="0.3">
      <c r="B47" t="s">
        <v>3532</v>
      </c>
      <c r="EH47">
        <v>1</v>
      </c>
      <c r="MV47">
        <v>1</v>
      </c>
      <c r="QX47">
        <v>1</v>
      </c>
      <c r="SK47">
        <v>1</v>
      </c>
      <c r="TT47">
        <v>1</v>
      </c>
      <c r="WJ47">
        <v>1</v>
      </c>
      <c r="YB47">
        <v>1</v>
      </c>
      <c r="ZW47">
        <v>1</v>
      </c>
      <c r="ABG47">
        <v>1</v>
      </c>
      <c r="AFC47">
        <v>1</v>
      </c>
      <c r="AFT47">
        <v>1</v>
      </c>
      <c r="AGW47">
        <v>1</v>
      </c>
      <c r="AKB47">
        <v>1</v>
      </c>
      <c r="ALI47">
        <v>1</v>
      </c>
      <c r="AUC47">
        <v>1</v>
      </c>
      <c r="BGC47">
        <v>1</v>
      </c>
      <c r="BJQ47">
        <v>1</v>
      </c>
      <c r="BSH47">
        <v>1</v>
      </c>
      <c r="CAV47">
        <v>1</v>
      </c>
      <c r="CEX47">
        <v>1</v>
      </c>
      <c r="CGK47">
        <v>1</v>
      </c>
      <c r="CHT47">
        <v>1</v>
      </c>
      <c r="CKJ47">
        <v>1</v>
      </c>
      <c r="CMB47">
        <v>1</v>
      </c>
      <c r="CNW47">
        <v>1</v>
      </c>
      <c r="CPG47">
        <v>1</v>
      </c>
      <c r="CTC47">
        <v>1</v>
      </c>
      <c r="CTT47">
        <v>1</v>
      </c>
      <c r="CUW47">
        <v>1</v>
      </c>
      <c r="CYB47">
        <v>1</v>
      </c>
      <c r="CZI47">
        <v>1</v>
      </c>
      <c r="DIC47">
        <v>1</v>
      </c>
      <c r="DUC47">
        <v>1</v>
      </c>
      <c r="DXQ47">
        <v>1</v>
      </c>
      <c r="ECM47">
        <v>1</v>
      </c>
      <c r="EDG47">
        <f>SUMPRODUCT(Constraint_41,Decision_variables)</f>
        <v>1</v>
      </c>
      <c r="EDH47" t="s">
        <v>5264</v>
      </c>
      <c r="EDI47">
        <v>1</v>
      </c>
    </row>
    <row r="48" spans="2:1024 1026:2047 2050:3071 3075:3493" x14ac:dyDescent="0.3">
      <c r="B48" t="s">
        <v>3533</v>
      </c>
      <c r="CY48">
        <v>1</v>
      </c>
      <c r="LW48">
        <v>1</v>
      </c>
      <c r="XJ48">
        <v>1</v>
      </c>
      <c r="ZJ48">
        <v>1</v>
      </c>
      <c r="AEC48">
        <v>1</v>
      </c>
      <c r="AEJ48">
        <v>1</v>
      </c>
      <c r="AEV48">
        <v>1</v>
      </c>
      <c r="AIE48">
        <v>1</v>
      </c>
      <c r="AIQ48">
        <v>1</v>
      </c>
      <c r="AKL48">
        <v>1</v>
      </c>
      <c r="AKP48">
        <v>1</v>
      </c>
      <c r="AKR48">
        <v>1</v>
      </c>
      <c r="ALU48">
        <v>1</v>
      </c>
      <c r="AMZ48">
        <v>1</v>
      </c>
      <c r="AOS48">
        <v>1</v>
      </c>
      <c r="APW48">
        <v>1</v>
      </c>
      <c r="ASQ48">
        <v>1</v>
      </c>
      <c r="AWK48">
        <v>1</v>
      </c>
      <c r="AXJ48">
        <v>1</v>
      </c>
      <c r="AYA48">
        <v>1</v>
      </c>
      <c r="AZN48">
        <v>1</v>
      </c>
      <c r="BBH48">
        <v>1</v>
      </c>
      <c r="BFP48">
        <v>1</v>
      </c>
      <c r="BID48">
        <v>1</v>
      </c>
      <c r="BKB48">
        <v>1</v>
      </c>
      <c r="BQY48">
        <v>1</v>
      </c>
      <c r="BZW48">
        <v>1</v>
      </c>
      <c r="CLJ48">
        <v>1</v>
      </c>
      <c r="CNJ48">
        <v>1</v>
      </c>
      <c r="CSC48">
        <v>1</v>
      </c>
      <c r="CSJ48">
        <v>1</v>
      </c>
      <c r="CSV48">
        <v>1</v>
      </c>
      <c r="CWE48">
        <v>1</v>
      </c>
      <c r="CWQ48">
        <v>1</v>
      </c>
      <c r="CYL48">
        <v>1</v>
      </c>
      <c r="CYP48">
        <v>1</v>
      </c>
      <c r="CYR48">
        <v>1</v>
      </c>
      <c r="CZU48">
        <v>1</v>
      </c>
      <c r="DAZ48">
        <v>1</v>
      </c>
      <c r="DCS48">
        <v>1</v>
      </c>
      <c r="DDW48">
        <v>1</v>
      </c>
      <c r="DGQ48">
        <v>1</v>
      </c>
      <c r="DKK48">
        <v>1</v>
      </c>
      <c r="DLJ48">
        <v>1</v>
      </c>
      <c r="DMA48">
        <v>1</v>
      </c>
      <c r="DNN48">
        <v>1</v>
      </c>
      <c r="DPH48">
        <v>1</v>
      </c>
      <c r="DTP48">
        <v>1</v>
      </c>
      <c r="DWD48">
        <v>1</v>
      </c>
      <c r="DYB48">
        <v>1</v>
      </c>
      <c r="ECN48">
        <v>1</v>
      </c>
      <c r="EDG48">
        <f>SUMPRODUCT(Constraint_42,Decision_variables)</f>
        <v>1</v>
      </c>
      <c r="EDH48" t="s">
        <v>5264</v>
      </c>
      <c r="EDI48">
        <v>1</v>
      </c>
    </row>
    <row r="49" spans="2:1023 1027:3493" x14ac:dyDescent="0.3">
      <c r="B49" t="s">
        <v>3534</v>
      </c>
      <c r="CO49">
        <v>1</v>
      </c>
      <c r="GX49">
        <v>1</v>
      </c>
      <c r="II49">
        <v>1</v>
      </c>
      <c r="MO49">
        <v>1</v>
      </c>
      <c r="MU49">
        <v>1</v>
      </c>
      <c r="NE49">
        <v>1</v>
      </c>
      <c r="QV49">
        <v>1</v>
      </c>
      <c r="RA49">
        <v>1</v>
      </c>
      <c r="AQQ49">
        <v>1</v>
      </c>
      <c r="AQV49">
        <v>1</v>
      </c>
      <c r="ATF49">
        <v>1</v>
      </c>
      <c r="AVO49">
        <v>1</v>
      </c>
      <c r="AXG49">
        <v>1</v>
      </c>
      <c r="AXN49">
        <v>1</v>
      </c>
      <c r="AXT49">
        <v>1</v>
      </c>
      <c r="AYF49">
        <v>1</v>
      </c>
      <c r="AYT49">
        <v>1</v>
      </c>
      <c r="BDA49">
        <v>1</v>
      </c>
      <c r="BES49">
        <v>1</v>
      </c>
      <c r="BGE49">
        <v>1</v>
      </c>
      <c r="BQO49">
        <v>1</v>
      </c>
      <c r="BUX49">
        <v>1</v>
      </c>
      <c r="BWI49">
        <v>1</v>
      </c>
      <c r="CAO49">
        <v>1</v>
      </c>
      <c r="CAU49">
        <v>1</v>
      </c>
      <c r="CBE49">
        <v>1</v>
      </c>
      <c r="CEV49">
        <v>1</v>
      </c>
      <c r="CFA49">
        <v>1</v>
      </c>
      <c r="DEQ49">
        <v>1</v>
      </c>
      <c r="DEV49">
        <v>1</v>
      </c>
      <c r="DHF49">
        <v>1</v>
      </c>
      <c r="DJO49">
        <v>1</v>
      </c>
      <c r="DLG49">
        <v>1</v>
      </c>
      <c r="DLN49">
        <v>1</v>
      </c>
      <c r="DLT49">
        <v>1</v>
      </c>
      <c r="DMF49">
        <v>1</v>
      </c>
      <c r="DMT49">
        <v>1</v>
      </c>
      <c r="DRA49">
        <v>1</v>
      </c>
      <c r="DSS49">
        <v>1</v>
      </c>
      <c r="DUE49">
        <v>1</v>
      </c>
      <c r="ECO49">
        <v>1</v>
      </c>
      <c r="EDG49">
        <f>SUMPRODUCT(Constraint_43,Decision_variables)</f>
        <v>1</v>
      </c>
      <c r="EDH49" t="s">
        <v>5264</v>
      </c>
      <c r="EDI49">
        <v>1</v>
      </c>
    </row>
    <row r="50" spans="2:1023 1027:3493" x14ac:dyDescent="0.3">
      <c r="B50" t="s">
        <v>3535</v>
      </c>
      <c r="FF50">
        <v>1</v>
      </c>
      <c r="KQ50">
        <v>1</v>
      </c>
      <c r="OE50">
        <v>1</v>
      </c>
      <c r="ST50">
        <v>1</v>
      </c>
      <c r="TN50">
        <v>1</v>
      </c>
      <c r="VA50">
        <v>1</v>
      </c>
      <c r="WK50">
        <v>1</v>
      </c>
      <c r="XS50">
        <v>1</v>
      </c>
      <c r="ZP50">
        <v>1</v>
      </c>
      <c r="ABN50">
        <v>1</v>
      </c>
      <c r="AGD50">
        <v>1</v>
      </c>
      <c r="AMH50">
        <v>1</v>
      </c>
      <c r="AVN50">
        <v>1</v>
      </c>
      <c r="AWE50">
        <v>1</v>
      </c>
      <c r="BIM50">
        <v>1</v>
      </c>
      <c r="BTF50">
        <v>1</v>
      </c>
      <c r="BYQ50">
        <v>1</v>
      </c>
      <c r="CCE50">
        <v>1</v>
      </c>
      <c r="CGT50">
        <v>1</v>
      </c>
      <c r="CHN50">
        <v>1</v>
      </c>
      <c r="CJA50">
        <v>1</v>
      </c>
      <c r="CKK50">
        <v>1</v>
      </c>
      <c r="CLS50">
        <v>1</v>
      </c>
      <c r="CNP50">
        <v>1</v>
      </c>
      <c r="CPN50">
        <v>1</v>
      </c>
      <c r="CUD50">
        <v>1</v>
      </c>
      <c r="DAH50">
        <v>1</v>
      </c>
      <c r="DJN50">
        <v>1</v>
      </c>
      <c r="DKE50">
        <v>1</v>
      </c>
      <c r="DWM50">
        <v>1</v>
      </c>
      <c r="ECP50">
        <v>1</v>
      </c>
      <c r="EDG50">
        <f>SUMPRODUCT(Constraint_44,Decision_variables)</f>
        <v>1</v>
      </c>
      <c r="EDH50" t="s">
        <v>5264</v>
      </c>
      <c r="EDI50">
        <v>1</v>
      </c>
    </row>
    <row r="51" spans="2:1023 1027:3493" x14ac:dyDescent="0.3">
      <c r="B51" t="s">
        <v>3536</v>
      </c>
      <c r="AC51">
        <v>1</v>
      </c>
      <c r="CM51">
        <v>1</v>
      </c>
      <c r="CN51">
        <v>1</v>
      </c>
      <c r="CZ51">
        <v>1</v>
      </c>
      <c r="DA51">
        <v>1</v>
      </c>
      <c r="GV51">
        <v>1</v>
      </c>
      <c r="HL51">
        <v>1</v>
      </c>
      <c r="HN51">
        <v>1</v>
      </c>
      <c r="HR51">
        <v>1</v>
      </c>
      <c r="HT51">
        <v>1</v>
      </c>
      <c r="HW51">
        <v>1</v>
      </c>
      <c r="IR51">
        <v>1</v>
      </c>
      <c r="MJ51">
        <v>1</v>
      </c>
      <c r="MS51">
        <v>1</v>
      </c>
      <c r="MT51">
        <v>1</v>
      </c>
      <c r="MY51">
        <v>1</v>
      </c>
      <c r="NR51">
        <v>1</v>
      </c>
      <c r="OJ51">
        <v>1</v>
      </c>
      <c r="OO51">
        <v>1</v>
      </c>
      <c r="OT51">
        <v>1</v>
      </c>
      <c r="OW51">
        <v>1</v>
      </c>
      <c r="QI51">
        <v>1</v>
      </c>
      <c r="TK51">
        <v>1</v>
      </c>
      <c r="UB51">
        <v>1</v>
      </c>
      <c r="UD51">
        <v>1</v>
      </c>
      <c r="VB51">
        <v>1</v>
      </c>
      <c r="VK51">
        <v>1</v>
      </c>
      <c r="VM51">
        <v>1</v>
      </c>
      <c r="WW51">
        <v>1</v>
      </c>
      <c r="XF51">
        <v>1</v>
      </c>
      <c r="XH51">
        <v>1</v>
      </c>
      <c r="XP51">
        <v>1</v>
      </c>
      <c r="ADN51">
        <v>1</v>
      </c>
      <c r="ADU51">
        <v>1</v>
      </c>
      <c r="AEP51">
        <v>1</v>
      </c>
      <c r="AGQ51">
        <v>1</v>
      </c>
      <c r="AHV51">
        <v>1</v>
      </c>
      <c r="AHW51">
        <v>1</v>
      </c>
      <c r="AMM51">
        <v>1</v>
      </c>
      <c r="ANG51">
        <v>1</v>
      </c>
      <c r="ANQ51">
        <v>1</v>
      </c>
      <c r="AON51">
        <v>1</v>
      </c>
      <c r="AOU51">
        <v>1</v>
      </c>
      <c r="AQJ51">
        <v>1</v>
      </c>
      <c r="ARK51">
        <v>1</v>
      </c>
      <c r="AVB51">
        <v>1</v>
      </c>
      <c r="AVE51">
        <v>1</v>
      </c>
      <c r="AVZ51">
        <v>1</v>
      </c>
      <c r="AXL51">
        <v>1</v>
      </c>
      <c r="AXM51">
        <v>1</v>
      </c>
      <c r="AXZ51">
        <v>1</v>
      </c>
      <c r="AZD51">
        <v>1</v>
      </c>
      <c r="AZE51">
        <v>1</v>
      </c>
      <c r="AZP51">
        <v>1</v>
      </c>
      <c r="AZS51">
        <v>1</v>
      </c>
      <c r="BAM51">
        <v>1</v>
      </c>
      <c r="BBQ51">
        <v>1</v>
      </c>
      <c r="BCP51">
        <v>1</v>
      </c>
      <c r="BDT51">
        <v>1</v>
      </c>
      <c r="BET51">
        <v>1</v>
      </c>
      <c r="BFU51">
        <v>1</v>
      </c>
      <c r="BHI51">
        <v>1</v>
      </c>
      <c r="BIA51">
        <v>1</v>
      </c>
      <c r="BIU51">
        <v>1</v>
      </c>
      <c r="BJH51">
        <v>1</v>
      </c>
      <c r="BKS51">
        <v>1</v>
      </c>
      <c r="BKY51">
        <v>1</v>
      </c>
      <c r="BLU51">
        <v>1</v>
      </c>
      <c r="BOC51">
        <v>1</v>
      </c>
      <c r="BQM51">
        <v>1</v>
      </c>
      <c r="BQN51">
        <v>1</v>
      </c>
      <c r="BQZ51">
        <v>1</v>
      </c>
      <c r="BRA51">
        <v>1</v>
      </c>
      <c r="BUV51">
        <v>1</v>
      </c>
      <c r="BVL51">
        <v>1</v>
      </c>
      <c r="BVN51">
        <v>1</v>
      </c>
      <c r="BVR51">
        <v>1</v>
      </c>
      <c r="BVT51">
        <v>1</v>
      </c>
      <c r="BVW51">
        <v>1</v>
      </c>
      <c r="BWR51">
        <v>1</v>
      </c>
      <c r="CAJ51">
        <v>1</v>
      </c>
      <c r="CAS51">
        <v>1</v>
      </c>
      <c r="CAT51">
        <v>1</v>
      </c>
      <c r="CAY51">
        <v>1</v>
      </c>
      <c r="CBR51">
        <v>1</v>
      </c>
      <c r="CCJ51">
        <v>1</v>
      </c>
      <c r="CCO51">
        <v>1</v>
      </c>
      <c r="CCT51">
        <v>1</v>
      </c>
      <c r="CCW51">
        <v>1</v>
      </c>
      <c r="CEI51">
        <v>1</v>
      </c>
      <c r="CHK51">
        <v>1</v>
      </c>
      <c r="CIB51">
        <v>1</v>
      </c>
      <c r="CID51">
        <v>1</v>
      </c>
      <c r="CJB51">
        <v>1</v>
      </c>
      <c r="CJK51">
        <v>1</v>
      </c>
      <c r="CJM51">
        <v>1</v>
      </c>
      <c r="CKW51">
        <v>1</v>
      </c>
      <c r="CLF51">
        <v>1</v>
      </c>
      <c r="CLH51">
        <v>1</v>
      </c>
      <c r="CLP51">
        <v>1</v>
      </c>
      <c r="CRN51">
        <v>1</v>
      </c>
      <c r="CRU51">
        <v>1</v>
      </c>
      <c r="CSP51">
        <v>1</v>
      </c>
      <c r="CUQ51">
        <v>1</v>
      </c>
      <c r="CVV51">
        <v>1</v>
      </c>
      <c r="CVW51">
        <v>1</v>
      </c>
      <c r="DAM51">
        <v>1</v>
      </c>
      <c r="DBG51">
        <v>1</v>
      </c>
      <c r="DBQ51">
        <v>1</v>
      </c>
      <c r="DCN51">
        <v>1</v>
      </c>
      <c r="DCU51">
        <v>1</v>
      </c>
      <c r="DEJ51">
        <v>1</v>
      </c>
      <c r="DFK51">
        <v>1</v>
      </c>
      <c r="DJB51">
        <v>1</v>
      </c>
      <c r="DJE51">
        <v>1</v>
      </c>
      <c r="DJZ51">
        <v>1</v>
      </c>
      <c r="DLL51">
        <v>1</v>
      </c>
      <c r="DLM51">
        <v>1</v>
      </c>
      <c r="DLZ51">
        <v>1</v>
      </c>
      <c r="DND51">
        <v>1</v>
      </c>
      <c r="DNE51">
        <v>1</v>
      </c>
      <c r="DNP51">
        <v>1</v>
      </c>
      <c r="DNS51">
        <v>1</v>
      </c>
      <c r="DOM51">
        <v>1</v>
      </c>
      <c r="DPQ51">
        <v>1</v>
      </c>
      <c r="DQP51">
        <v>1</v>
      </c>
      <c r="DRT51">
        <v>1</v>
      </c>
      <c r="DST51">
        <v>1</v>
      </c>
      <c r="DTU51">
        <v>1</v>
      </c>
      <c r="DVI51">
        <v>1</v>
      </c>
      <c r="DWA51">
        <v>1</v>
      </c>
      <c r="DWU51">
        <v>1</v>
      </c>
      <c r="DXH51">
        <v>1</v>
      </c>
      <c r="DYS51">
        <v>1</v>
      </c>
      <c r="DYY51">
        <v>1</v>
      </c>
      <c r="DZU51">
        <v>1</v>
      </c>
      <c r="ECQ51">
        <v>1</v>
      </c>
      <c r="EDG51">
        <f>SUMPRODUCT(Constraint_45,Decision_variables)</f>
        <v>1</v>
      </c>
      <c r="EDH51" t="s">
        <v>5264</v>
      </c>
      <c r="EDI51">
        <v>1</v>
      </c>
    </row>
    <row r="52" spans="2:1023 1027:3493" x14ac:dyDescent="0.3">
      <c r="B52" t="s">
        <v>3537</v>
      </c>
      <c r="BC52">
        <v>1</v>
      </c>
      <c r="EL52">
        <v>1</v>
      </c>
      <c r="GQ52">
        <v>1</v>
      </c>
      <c r="GU52">
        <v>1</v>
      </c>
      <c r="HB52">
        <v>1</v>
      </c>
      <c r="HJ52">
        <v>1</v>
      </c>
      <c r="JM52">
        <v>1</v>
      </c>
      <c r="PH52">
        <v>1</v>
      </c>
      <c r="PN52">
        <v>1</v>
      </c>
      <c r="QG52">
        <v>1</v>
      </c>
      <c r="VQ52">
        <v>1</v>
      </c>
      <c r="WI52">
        <v>1</v>
      </c>
      <c r="XR52">
        <v>1</v>
      </c>
      <c r="XY52">
        <v>1</v>
      </c>
      <c r="YH52">
        <v>1</v>
      </c>
      <c r="AAA52">
        <v>1</v>
      </c>
      <c r="AAG52">
        <v>1</v>
      </c>
      <c r="ABS52">
        <v>1</v>
      </c>
      <c r="ABV52">
        <v>1</v>
      </c>
      <c r="ACA52">
        <v>1</v>
      </c>
      <c r="ACH52">
        <v>1</v>
      </c>
      <c r="ADD52">
        <v>1</v>
      </c>
      <c r="AEO52">
        <v>1</v>
      </c>
      <c r="AFN52">
        <v>1</v>
      </c>
      <c r="AIJ52">
        <v>1</v>
      </c>
      <c r="AJB52">
        <v>1</v>
      </c>
      <c r="AJK52">
        <v>1</v>
      </c>
      <c r="ALK52">
        <v>1</v>
      </c>
      <c r="ALL52">
        <v>1</v>
      </c>
      <c r="ANF52">
        <v>1</v>
      </c>
      <c r="APS52">
        <v>1</v>
      </c>
      <c r="APT52">
        <v>1</v>
      </c>
      <c r="AQB52">
        <v>1</v>
      </c>
      <c r="ARF52">
        <v>1</v>
      </c>
      <c r="ASY52">
        <v>1</v>
      </c>
      <c r="ASZ52">
        <v>1</v>
      </c>
      <c r="ATV52">
        <v>1</v>
      </c>
      <c r="ATZ52">
        <v>1</v>
      </c>
      <c r="AUH52">
        <v>1</v>
      </c>
      <c r="AUQ52">
        <v>1</v>
      </c>
      <c r="AUX52">
        <v>1</v>
      </c>
      <c r="AVF52">
        <v>1</v>
      </c>
      <c r="AVH52">
        <v>1</v>
      </c>
      <c r="AWS52">
        <v>1</v>
      </c>
      <c r="AXR52">
        <v>1</v>
      </c>
      <c r="AXX52">
        <v>1</v>
      </c>
      <c r="AYH52">
        <v>1</v>
      </c>
      <c r="BAJ52">
        <v>1</v>
      </c>
      <c r="BDW52">
        <v>1</v>
      </c>
      <c r="BFT52">
        <v>1</v>
      </c>
      <c r="BGO52">
        <v>1</v>
      </c>
      <c r="BGV52">
        <v>1</v>
      </c>
      <c r="BHD52">
        <v>1</v>
      </c>
      <c r="BPC52">
        <v>1</v>
      </c>
      <c r="BSL52">
        <v>1</v>
      </c>
      <c r="BUQ52">
        <v>1</v>
      </c>
      <c r="BUU52">
        <v>1</v>
      </c>
      <c r="BVB52">
        <v>1</v>
      </c>
      <c r="BVJ52">
        <v>1</v>
      </c>
      <c r="BXM52">
        <v>1</v>
      </c>
      <c r="CDH52">
        <v>1</v>
      </c>
      <c r="CDN52">
        <v>1</v>
      </c>
      <c r="CEG52">
        <v>1</v>
      </c>
      <c r="CJQ52">
        <v>1</v>
      </c>
      <c r="CKI52">
        <v>1</v>
      </c>
      <c r="CLR52">
        <v>1</v>
      </c>
      <c r="CLY52">
        <v>1</v>
      </c>
      <c r="CMH52">
        <v>1</v>
      </c>
      <c r="COA52">
        <v>1</v>
      </c>
      <c r="COG52">
        <v>1</v>
      </c>
      <c r="CPS52">
        <v>1</v>
      </c>
      <c r="CPV52">
        <v>1</v>
      </c>
      <c r="CQA52">
        <v>1</v>
      </c>
      <c r="CQH52">
        <v>1</v>
      </c>
      <c r="CRD52">
        <v>1</v>
      </c>
      <c r="CSO52">
        <v>1</v>
      </c>
      <c r="CTN52">
        <v>1</v>
      </c>
      <c r="CWJ52">
        <v>1</v>
      </c>
      <c r="CXB52">
        <v>1</v>
      </c>
      <c r="CXK52">
        <v>1</v>
      </c>
      <c r="CZK52">
        <v>1</v>
      </c>
      <c r="CZL52">
        <v>1</v>
      </c>
      <c r="DBF52">
        <v>1</v>
      </c>
      <c r="DDS52">
        <v>1</v>
      </c>
      <c r="DDT52">
        <v>1</v>
      </c>
      <c r="DEB52">
        <v>1</v>
      </c>
      <c r="DFF52">
        <v>1</v>
      </c>
      <c r="DGY52">
        <v>1</v>
      </c>
      <c r="DGZ52">
        <v>1</v>
      </c>
      <c r="DHV52">
        <v>1</v>
      </c>
      <c r="DHZ52">
        <v>1</v>
      </c>
      <c r="DIH52">
        <v>1</v>
      </c>
      <c r="DIQ52">
        <v>1</v>
      </c>
      <c r="DIX52">
        <v>1</v>
      </c>
      <c r="DJF52">
        <v>1</v>
      </c>
      <c r="DJH52">
        <v>1</v>
      </c>
      <c r="DKS52">
        <v>1</v>
      </c>
      <c r="DLR52">
        <v>1</v>
      </c>
      <c r="DLX52">
        <v>1</v>
      </c>
      <c r="DMH52">
        <v>1</v>
      </c>
      <c r="DOJ52">
        <v>1</v>
      </c>
      <c r="DRW52">
        <v>1</v>
      </c>
      <c r="DTT52">
        <v>1</v>
      </c>
      <c r="DUO52">
        <v>1</v>
      </c>
      <c r="DUV52">
        <v>1</v>
      </c>
      <c r="DVD52">
        <v>1</v>
      </c>
      <c r="ECR52">
        <v>1</v>
      </c>
      <c r="EDG52">
        <f>SUMPRODUCT(Constraint_46,Decision_variables)</f>
        <v>1</v>
      </c>
      <c r="EDH52" t="s">
        <v>5264</v>
      </c>
      <c r="EDI52">
        <v>1</v>
      </c>
    </row>
    <row r="53" spans="2:1023 1027:3493" x14ac:dyDescent="0.3">
      <c r="B53" t="s">
        <v>3538</v>
      </c>
      <c r="BB53">
        <v>1</v>
      </c>
      <c r="GJ53">
        <v>1</v>
      </c>
      <c r="HE53">
        <v>1</v>
      </c>
      <c r="OK53">
        <v>1</v>
      </c>
      <c r="OP53">
        <v>1</v>
      </c>
      <c r="PB53">
        <v>1</v>
      </c>
      <c r="PF53">
        <v>1</v>
      </c>
      <c r="PU53">
        <v>1</v>
      </c>
      <c r="PZ53">
        <v>1</v>
      </c>
      <c r="SP53">
        <v>1</v>
      </c>
      <c r="UC53">
        <v>1</v>
      </c>
      <c r="UT53">
        <v>1</v>
      </c>
      <c r="UV53">
        <v>1</v>
      </c>
      <c r="UZ53">
        <v>1</v>
      </c>
      <c r="VN53">
        <v>1</v>
      </c>
      <c r="VY53">
        <v>1</v>
      </c>
      <c r="WZ53">
        <v>1</v>
      </c>
      <c r="AAH53">
        <v>1</v>
      </c>
      <c r="AAM53">
        <v>1</v>
      </c>
      <c r="ADI53">
        <v>1</v>
      </c>
      <c r="ADX53">
        <v>1</v>
      </c>
      <c r="AFS53">
        <v>1</v>
      </c>
      <c r="AGP53">
        <v>1</v>
      </c>
      <c r="AHD53">
        <v>1</v>
      </c>
      <c r="AKS53">
        <v>1</v>
      </c>
      <c r="ANA53">
        <v>1</v>
      </c>
      <c r="ANN53">
        <v>1</v>
      </c>
      <c r="AOE53">
        <v>1</v>
      </c>
      <c r="APF53">
        <v>1</v>
      </c>
      <c r="APG53">
        <v>1</v>
      </c>
      <c r="APZ53">
        <v>1</v>
      </c>
      <c r="ARE53">
        <v>1</v>
      </c>
      <c r="ARL53">
        <v>1</v>
      </c>
      <c r="AZL53">
        <v>1</v>
      </c>
      <c r="BAG53">
        <v>1</v>
      </c>
      <c r="BBP53">
        <v>1</v>
      </c>
      <c r="BCH53">
        <v>1</v>
      </c>
      <c r="BEQ53">
        <v>1</v>
      </c>
      <c r="BGL53">
        <v>1</v>
      </c>
      <c r="BIX53">
        <v>1</v>
      </c>
      <c r="BIY53">
        <v>1</v>
      </c>
      <c r="BJT53">
        <v>1</v>
      </c>
      <c r="BPB53">
        <v>1</v>
      </c>
      <c r="BUJ53">
        <v>1</v>
      </c>
      <c r="BVE53">
        <v>1</v>
      </c>
      <c r="CCK53">
        <v>1</v>
      </c>
      <c r="CCP53">
        <v>1</v>
      </c>
      <c r="CDB53">
        <v>1</v>
      </c>
      <c r="CDF53">
        <v>1</v>
      </c>
      <c r="CDU53">
        <v>1</v>
      </c>
      <c r="CDZ53">
        <v>1</v>
      </c>
      <c r="CGP53">
        <v>1</v>
      </c>
      <c r="CIC53">
        <v>1</v>
      </c>
      <c r="CIT53">
        <v>1</v>
      </c>
      <c r="CIV53">
        <v>1</v>
      </c>
      <c r="CIZ53">
        <v>1</v>
      </c>
      <c r="CJN53">
        <v>1</v>
      </c>
      <c r="CJY53">
        <v>1</v>
      </c>
      <c r="CKZ53">
        <v>1</v>
      </c>
      <c r="COH53">
        <v>1</v>
      </c>
      <c r="COM53">
        <v>1</v>
      </c>
      <c r="CRI53">
        <v>1</v>
      </c>
      <c r="CRX53">
        <v>1</v>
      </c>
      <c r="CTS53">
        <v>1</v>
      </c>
      <c r="CUP53">
        <v>1</v>
      </c>
      <c r="CVD53">
        <v>1</v>
      </c>
      <c r="CYS53">
        <v>1</v>
      </c>
      <c r="DBA53">
        <v>1</v>
      </c>
      <c r="DBN53">
        <v>1</v>
      </c>
      <c r="DCE53">
        <v>1</v>
      </c>
      <c r="DDF53">
        <v>1</v>
      </c>
      <c r="DDG53">
        <v>1</v>
      </c>
      <c r="DDZ53">
        <v>1</v>
      </c>
      <c r="DFE53">
        <v>1</v>
      </c>
      <c r="DFL53">
        <v>1</v>
      </c>
      <c r="DNL53">
        <v>1</v>
      </c>
      <c r="DOG53">
        <v>1</v>
      </c>
      <c r="DPP53">
        <v>1</v>
      </c>
      <c r="DQH53">
        <v>1</v>
      </c>
      <c r="DSQ53">
        <v>1</v>
      </c>
      <c r="DUL53">
        <v>1</v>
      </c>
      <c r="DWX53">
        <v>1</v>
      </c>
      <c r="DWY53">
        <v>1</v>
      </c>
      <c r="DXT53">
        <v>1</v>
      </c>
      <c r="ECS53">
        <v>1</v>
      </c>
      <c r="EDG53">
        <f>SUMPRODUCT(Constraint_47,Decision_variables)</f>
        <v>1</v>
      </c>
      <c r="EDH53" t="s">
        <v>5264</v>
      </c>
      <c r="EDI53">
        <v>1</v>
      </c>
    </row>
    <row r="54" spans="2:1023 1027:3493" x14ac:dyDescent="0.3">
      <c r="B54" t="s">
        <v>3539</v>
      </c>
      <c r="Y54">
        <v>1</v>
      </c>
      <c r="DO54">
        <v>1</v>
      </c>
      <c r="ED54">
        <v>1</v>
      </c>
      <c r="ET54">
        <v>1</v>
      </c>
      <c r="GA54">
        <v>1</v>
      </c>
      <c r="GB54">
        <v>1</v>
      </c>
      <c r="GO54">
        <v>1</v>
      </c>
      <c r="GP54">
        <v>1</v>
      </c>
      <c r="GR54">
        <v>1</v>
      </c>
      <c r="GS54">
        <v>1</v>
      </c>
      <c r="HV54">
        <v>1</v>
      </c>
      <c r="JG54">
        <v>1</v>
      </c>
      <c r="KE54">
        <v>1</v>
      </c>
      <c r="KW54">
        <v>1</v>
      </c>
      <c r="LG54">
        <v>1</v>
      </c>
      <c r="LL54">
        <v>1</v>
      </c>
      <c r="LT54">
        <v>1</v>
      </c>
      <c r="MA54">
        <v>1</v>
      </c>
      <c r="NG54">
        <v>1</v>
      </c>
      <c r="NO54">
        <v>1</v>
      </c>
      <c r="NZ54">
        <v>1</v>
      </c>
      <c r="OB54">
        <v>1</v>
      </c>
      <c r="QB54">
        <v>1</v>
      </c>
      <c r="QU54">
        <v>1</v>
      </c>
      <c r="SA54">
        <v>1</v>
      </c>
      <c r="SG54">
        <v>1</v>
      </c>
      <c r="SL54">
        <v>1</v>
      </c>
      <c r="SV54">
        <v>1</v>
      </c>
      <c r="UO54">
        <v>1</v>
      </c>
      <c r="UY54">
        <v>1</v>
      </c>
      <c r="VG54">
        <v>1</v>
      </c>
      <c r="WA54">
        <v>1</v>
      </c>
      <c r="WE54">
        <v>1</v>
      </c>
      <c r="XC54">
        <v>1</v>
      </c>
      <c r="XD54">
        <v>1</v>
      </c>
      <c r="XG54">
        <v>1</v>
      </c>
      <c r="XI54">
        <v>1</v>
      </c>
      <c r="YD54">
        <v>1</v>
      </c>
      <c r="ZI54">
        <v>1</v>
      </c>
      <c r="ZN54">
        <v>1</v>
      </c>
      <c r="ZT54">
        <v>1</v>
      </c>
      <c r="AAD54">
        <v>1</v>
      </c>
      <c r="ACB54">
        <v>1</v>
      </c>
      <c r="ACT54">
        <v>1</v>
      </c>
      <c r="ACU54">
        <v>1</v>
      </c>
      <c r="AEQ54">
        <v>1</v>
      </c>
      <c r="AES54">
        <v>1</v>
      </c>
      <c r="AEZ54">
        <v>1</v>
      </c>
      <c r="AFF54">
        <v>1</v>
      </c>
      <c r="AFW54">
        <v>1</v>
      </c>
      <c r="AGB54">
        <v>1</v>
      </c>
      <c r="AHA54">
        <v>1</v>
      </c>
      <c r="AID54">
        <v>1</v>
      </c>
      <c r="AKH54">
        <v>1</v>
      </c>
      <c r="ANE54">
        <v>1</v>
      </c>
      <c r="ANO54">
        <v>1</v>
      </c>
      <c r="AOD54">
        <v>1</v>
      </c>
      <c r="ASK54">
        <v>1</v>
      </c>
      <c r="ASX54">
        <v>1</v>
      </c>
      <c r="AWC54">
        <v>1</v>
      </c>
      <c r="AWP54">
        <v>1</v>
      </c>
      <c r="BAE54">
        <v>1</v>
      </c>
      <c r="BCF54">
        <v>1</v>
      </c>
      <c r="BEV54">
        <v>1</v>
      </c>
      <c r="BHT54">
        <v>1</v>
      </c>
      <c r="BHW54">
        <v>1</v>
      </c>
      <c r="BIK54">
        <v>1</v>
      </c>
      <c r="BLT54">
        <v>1</v>
      </c>
      <c r="BMD54">
        <v>1</v>
      </c>
      <c r="BNY54">
        <v>1</v>
      </c>
      <c r="BRO54">
        <v>1</v>
      </c>
      <c r="BSD54">
        <v>1</v>
      </c>
      <c r="BST54">
        <v>1</v>
      </c>
      <c r="BUA54">
        <v>1</v>
      </c>
      <c r="BUB54">
        <v>1</v>
      </c>
      <c r="BUO54">
        <v>1</v>
      </c>
      <c r="BUP54">
        <v>1</v>
      </c>
      <c r="BUR54">
        <v>1</v>
      </c>
      <c r="BUS54">
        <v>1</v>
      </c>
      <c r="BVV54">
        <v>1</v>
      </c>
      <c r="BXG54">
        <v>1</v>
      </c>
      <c r="BYE54">
        <v>1</v>
      </c>
      <c r="BYW54">
        <v>1</v>
      </c>
      <c r="BZG54">
        <v>1</v>
      </c>
      <c r="BZL54">
        <v>1</v>
      </c>
      <c r="BZT54">
        <v>1</v>
      </c>
      <c r="CAA54">
        <v>1</v>
      </c>
      <c r="CBG54">
        <v>1</v>
      </c>
      <c r="CBO54">
        <v>1</v>
      </c>
      <c r="CBZ54">
        <v>1</v>
      </c>
      <c r="CCB54">
        <v>1</v>
      </c>
      <c r="CEB54">
        <v>1</v>
      </c>
      <c r="CEU54">
        <v>1</v>
      </c>
      <c r="CGA54">
        <v>1</v>
      </c>
      <c r="CGG54">
        <v>1</v>
      </c>
      <c r="CGL54">
        <v>1</v>
      </c>
      <c r="CGV54">
        <v>1</v>
      </c>
      <c r="CIO54">
        <v>1</v>
      </c>
      <c r="CIY54">
        <v>1</v>
      </c>
      <c r="CJG54">
        <v>1</v>
      </c>
      <c r="CKA54">
        <v>1</v>
      </c>
      <c r="CKE54">
        <v>1</v>
      </c>
      <c r="CLC54">
        <v>1</v>
      </c>
      <c r="CLD54">
        <v>1</v>
      </c>
      <c r="CLG54">
        <v>1</v>
      </c>
      <c r="CLI54">
        <v>1</v>
      </c>
      <c r="CMD54">
        <v>1</v>
      </c>
      <c r="CNI54">
        <v>1</v>
      </c>
      <c r="CNN54">
        <v>1</v>
      </c>
      <c r="CNT54">
        <v>1</v>
      </c>
      <c r="COD54">
        <v>1</v>
      </c>
      <c r="CQB54">
        <v>1</v>
      </c>
      <c r="CQT54">
        <v>1</v>
      </c>
      <c r="CQU54">
        <v>1</v>
      </c>
      <c r="CSQ54">
        <v>1</v>
      </c>
      <c r="CSS54">
        <v>1</v>
      </c>
      <c r="CSZ54">
        <v>1</v>
      </c>
      <c r="CTF54">
        <v>1</v>
      </c>
      <c r="CTW54">
        <v>1</v>
      </c>
      <c r="CUB54">
        <v>1</v>
      </c>
      <c r="CVA54">
        <v>1</v>
      </c>
      <c r="CWD54">
        <v>1</v>
      </c>
      <c r="CYH54">
        <v>1</v>
      </c>
      <c r="DBE54">
        <v>1</v>
      </c>
      <c r="DBO54">
        <v>1</v>
      </c>
      <c r="DCD54">
        <v>1</v>
      </c>
      <c r="DGK54">
        <v>1</v>
      </c>
      <c r="DGX54">
        <v>1</v>
      </c>
      <c r="DKC54">
        <v>1</v>
      </c>
      <c r="DKP54">
        <v>1</v>
      </c>
      <c r="DOE54">
        <v>1</v>
      </c>
      <c r="DQF54">
        <v>1</v>
      </c>
      <c r="DSV54">
        <v>1</v>
      </c>
      <c r="DVT54">
        <v>1</v>
      </c>
      <c r="DVW54">
        <v>1</v>
      </c>
      <c r="DWK54">
        <v>1</v>
      </c>
      <c r="DZT54">
        <v>1</v>
      </c>
      <c r="EAD54">
        <v>1</v>
      </c>
      <c r="ECT54">
        <v>1</v>
      </c>
      <c r="EDG54">
        <f>SUMPRODUCT(Constraint_48,Decision_variables)</f>
        <v>1</v>
      </c>
      <c r="EDH54" t="s">
        <v>5264</v>
      </c>
      <c r="EDI54">
        <v>1</v>
      </c>
    </row>
    <row r="55" spans="2:1023 1027:3493" x14ac:dyDescent="0.3">
      <c r="B55" t="s">
        <v>3540</v>
      </c>
      <c r="DT55">
        <v>1</v>
      </c>
      <c r="JE55">
        <v>1</v>
      </c>
      <c r="RU55">
        <v>1</v>
      </c>
      <c r="VJ55">
        <v>1</v>
      </c>
      <c r="YI55">
        <v>1</v>
      </c>
      <c r="AFI55">
        <v>1</v>
      </c>
      <c r="AJD55">
        <v>1</v>
      </c>
      <c r="AJF55">
        <v>1</v>
      </c>
      <c r="AJQ55">
        <v>1</v>
      </c>
      <c r="ANI55">
        <v>1</v>
      </c>
      <c r="ART55">
        <v>1</v>
      </c>
      <c r="AST55">
        <v>1</v>
      </c>
      <c r="AXC55">
        <v>1</v>
      </c>
      <c r="AYE55">
        <v>1</v>
      </c>
      <c r="AYJ55">
        <v>1</v>
      </c>
      <c r="BAV55">
        <v>1</v>
      </c>
      <c r="BCM55">
        <v>1</v>
      </c>
      <c r="BDD55">
        <v>1</v>
      </c>
      <c r="BFJ55">
        <v>1</v>
      </c>
      <c r="BLX55">
        <v>1</v>
      </c>
      <c r="BRT55">
        <v>1</v>
      </c>
      <c r="BXE55">
        <v>1</v>
      </c>
      <c r="CFU55">
        <v>1</v>
      </c>
      <c r="CJJ55">
        <v>1</v>
      </c>
      <c r="CMI55">
        <v>1</v>
      </c>
      <c r="CTI55">
        <v>1</v>
      </c>
      <c r="CXD55">
        <v>1</v>
      </c>
      <c r="CXF55">
        <v>1</v>
      </c>
      <c r="CXQ55">
        <v>1</v>
      </c>
      <c r="DBI55">
        <v>1</v>
      </c>
      <c r="DFT55">
        <v>1</v>
      </c>
      <c r="DGT55">
        <v>1</v>
      </c>
      <c r="DLC55">
        <v>1</v>
      </c>
      <c r="DME55">
        <v>1</v>
      </c>
      <c r="DMJ55">
        <v>1</v>
      </c>
      <c r="DOV55">
        <v>1</v>
      </c>
      <c r="DQM55">
        <v>1</v>
      </c>
      <c r="DRD55">
        <v>1</v>
      </c>
      <c r="DTJ55">
        <v>1</v>
      </c>
      <c r="DZX55">
        <v>1</v>
      </c>
      <c r="ECU55">
        <v>1</v>
      </c>
      <c r="EDG55">
        <f>SUMPRODUCT(Constraint_49,Decision_variables)</f>
        <v>1</v>
      </c>
      <c r="EDH55" t="s">
        <v>5264</v>
      </c>
      <c r="EDI55">
        <v>1</v>
      </c>
    </row>
    <row r="56" spans="2:1023 1027:3493" x14ac:dyDescent="0.3">
      <c r="B56" t="s">
        <v>3541</v>
      </c>
      <c r="BT56">
        <v>1</v>
      </c>
      <c r="NF56">
        <v>1</v>
      </c>
      <c r="YR56">
        <v>1</v>
      </c>
      <c r="YZ56">
        <v>1</v>
      </c>
      <c r="AAE56">
        <v>1</v>
      </c>
      <c r="ABD56">
        <v>1</v>
      </c>
      <c r="ABI56">
        <v>1</v>
      </c>
      <c r="ABZ56">
        <v>1</v>
      </c>
      <c r="AJH56">
        <v>1</v>
      </c>
      <c r="AOB56">
        <v>1</v>
      </c>
      <c r="APX56">
        <v>1</v>
      </c>
      <c r="ASM56">
        <v>1</v>
      </c>
      <c r="AUF56">
        <v>1</v>
      </c>
      <c r="AWN56">
        <v>1</v>
      </c>
      <c r="AZZ56">
        <v>1</v>
      </c>
      <c r="BBU56">
        <v>1</v>
      </c>
      <c r="BEH56">
        <v>1</v>
      </c>
      <c r="BFX56">
        <v>1</v>
      </c>
      <c r="BII56">
        <v>1</v>
      </c>
      <c r="BLB56">
        <v>1</v>
      </c>
      <c r="BMH56">
        <v>1</v>
      </c>
      <c r="BMO56">
        <v>1</v>
      </c>
      <c r="BMX56">
        <v>1</v>
      </c>
      <c r="BPT56">
        <v>1</v>
      </c>
      <c r="CBF56">
        <v>1</v>
      </c>
      <c r="CMR56">
        <v>1</v>
      </c>
      <c r="CMZ56">
        <v>1</v>
      </c>
      <c r="COE56">
        <v>1</v>
      </c>
      <c r="CPD56">
        <v>1</v>
      </c>
      <c r="CPI56">
        <v>1</v>
      </c>
      <c r="CPZ56">
        <v>1</v>
      </c>
      <c r="CXH56">
        <v>1</v>
      </c>
      <c r="DCB56">
        <v>1</v>
      </c>
      <c r="DDX56">
        <v>1</v>
      </c>
      <c r="DGM56">
        <v>1</v>
      </c>
      <c r="DIF56">
        <v>1</v>
      </c>
      <c r="DKN56">
        <v>1</v>
      </c>
      <c r="DNZ56">
        <v>1</v>
      </c>
      <c r="DPU56">
        <v>1</v>
      </c>
      <c r="DSH56">
        <v>1</v>
      </c>
      <c r="DTX56">
        <v>1</v>
      </c>
      <c r="DWI56">
        <v>1</v>
      </c>
      <c r="DZB56">
        <v>1</v>
      </c>
      <c r="EAH56">
        <v>1</v>
      </c>
      <c r="EAO56">
        <v>1</v>
      </c>
      <c r="EAX56">
        <v>1</v>
      </c>
      <c r="ECW56">
        <v>1</v>
      </c>
      <c r="EDG56">
        <f>SUMPRODUCT(Constraint_50,Decision_variables)</f>
        <v>1</v>
      </c>
      <c r="EDH56" t="s">
        <v>5264</v>
      </c>
      <c r="EDI56">
        <v>1</v>
      </c>
    </row>
    <row r="57" spans="2:1023 1027:3493" x14ac:dyDescent="0.3">
      <c r="B57" t="s">
        <v>3542</v>
      </c>
      <c r="AN57">
        <v>1</v>
      </c>
      <c r="DF57">
        <v>1</v>
      </c>
      <c r="DH57">
        <v>1</v>
      </c>
      <c r="EP57">
        <v>1</v>
      </c>
      <c r="FC57">
        <v>1</v>
      </c>
      <c r="FN57">
        <v>1</v>
      </c>
      <c r="FO57">
        <v>1</v>
      </c>
      <c r="GF57">
        <v>1</v>
      </c>
      <c r="GK57">
        <v>1</v>
      </c>
      <c r="JP57">
        <v>1</v>
      </c>
      <c r="KN57">
        <v>1</v>
      </c>
      <c r="KX57">
        <v>1</v>
      </c>
      <c r="LD57">
        <v>1</v>
      </c>
      <c r="LR57">
        <v>1</v>
      </c>
      <c r="LU57">
        <v>1</v>
      </c>
      <c r="NN57">
        <v>1</v>
      </c>
      <c r="NQ57">
        <v>1</v>
      </c>
      <c r="NT57">
        <v>1</v>
      </c>
      <c r="NX57">
        <v>1</v>
      </c>
      <c r="OL57">
        <v>1</v>
      </c>
      <c r="ON57">
        <v>1</v>
      </c>
      <c r="PC57">
        <v>1</v>
      </c>
      <c r="PE57">
        <v>1</v>
      </c>
      <c r="PP57">
        <v>1</v>
      </c>
      <c r="PQ57">
        <v>1</v>
      </c>
      <c r="PV57">
        <v>1</v>
      </c>
      <c r="QZ57">
        <v>1</v>
      </c>
      <c r="RI57">
        <v>1</v>
      </c>
      <c r="RT57">
        <v>1</v>
      </c>
      <c r="SF57">
        <v>1</v>
      </c>
      <c r="SR57">
        <v>1</v>
      </c>
      <c r="SZ57">
        <v>1</v>
      </c>
      <c r="TP57">
        <v>1</v>
      </c>
      <c r="VS57">
        <v>1</v>
      </c>
      <c r="YJ57">
        <v>1</v>
      </c>
      <c r="YK57">
        <v>1</v>
      </c>
      <c r="YS57">
        <v>1</v>
      </c>
      <c r="AAW57">
        <v>1</v>
      </c>
      <c r="ABH57">
        <v>1</v>
      </c>
      <c r="ABJ57">
        <v>1</v>
      </c>
      <c r="ABL57">
        <v>1</v>
      </c>
      <c r="ABW57">
        <v>1</v>
      </c>
      <c r="ACS57">
        <v>1</v>
      </c>
      <c r="ADZ57">
        <v>1</v>
      </c>
      <c r="AEG57">
        <v>1</v>
      </c>
      <c r="AHC57">
        <v>1</v>
      </c>
      <c r="AHF57">
        <v>1</v>
      </c>
      <c r="AHU57">
        <v>1</v>
      </c>
      <c r="AJT57">
        <v>1</v>
      </c>
      <c r="AJX57">
        <v>1</v>
      </c>
      <c r="AKD57">
        <v>1</v>
      </c>
      <c r="AKX57">
        <v>1</v>
      </c>
      <c r="ALA57">
        <v>1</v>
      </c>
      <c r="ALF57">
        <v>1</v>
      </c>
      <c r="AMC57">
        <v>1</v>
      </c>
      <c r="AMD57">
        <v>1</v>
      </c>
      <c r="AMF57">
        <v>1</v>
      </c>
      <c r="AMQ57">
        <v>1</v>
      </c>
      <c r="AMS57">
        <v>1</v>
      </c>
      <c r="ANH57">
        <v>1</v>
      </c>
      <c r="ASE57">
        <v>1</v>
      </c>
      <c r="ATW57">
        <v>1</v>
      </c>
      <c r="AUU57">
        <v>1</v>
      </c>
      <c r="AWV57">
        <v>1</v>
      </c>
      <c r="AXK57">
        <v>1</v>
      </c>
      <c r="AZF57">
        <v>1</v>
      </c>
      <c r="AZW57">
        <v>1</v>
      </c>
      <c r="BDI57">
        <v>1</v>
      </c>
      <c r="BON57">
        <v>1</v>
      </c>
      <c r="BRF57">
        <v>1</v>
      </c>
      <c r="BRH57">
        <v>1</v>
      </c>
      <c r="BSP57">
        <v>1</v>
      </c>
      <c r="BTC57">
        <v>1</v>
      </c>
      <c r="BTN57">
        <v>1</v>
      </c>
      <c r="BTO57">
        <v>1</v>
      </c>
      <c r="BUF57">
        <v>1</v>
      </c>
      <c r="BUK57">
        <v>1</v>
      </c>
      <c r="BXP57">
        <v>1</v>
      </c>
      <c r="BYN57">
        <v>1</v>
      </c>
      <c r="BYX57">
        <v>1</v>
      </c>
      <c r="BZD57">
        <v>1</v>
      </c>
      <c r="BZR57">
        <v>1</v>
      </c>
      <c r="BZU57">
        <v>1</v>
      </c>
      <c r="CBN57">
        <v>1</v>
      </c>
      <c r="CBQ57">
        <v>1</v>
      </c>
      <c r="CBT57">
        <v>1</v>
      </c>
      <c r="CBX57">
        <v>1</v>
      </c>
      <c r="CCL57">
        <v>1</v>
      </c>
      <c r="CCN57">
        <v>1</v>
      </c>
      <c r="CDC57">
        <v>1</v>
      </c>
      <c r="CDE57">
        <v>1</v>
      </c>
      <c r="CDP57">
        <v>1</v>
      </c>
      <c r="CDQ57">
        <v>1</v>
      </c>
      <c r="CDV57">
        <v>1</v>
      </c>
      <c r="CEZ57">
        <v>1</v>
      </c>
      <c r="CFI57">
        <v>1</v>
      </c>
      <c r="CFT57">
        <v>1</v>
      </c>
      <c r="CGF57">
        <v>1</v>
      </c>
      <c r="CGR57">
        <v>1</v>
      </c>
      <c r="CGZ57">
        <v>1</v>
      </c>
      <c r="CHP57">
        <v>1</v>
      </c>
      <c r="CJS57">
        <v>1</v>
      </c>
      <c r="CMJ57">
        <v>1</v>
      </c>
      <c r="CMK57">
        <v>1</v>
      </c>
      <c r="CMS57">
        <v>1</v>
      </c>
      <c r="COW57">
        <v>1</v>
      </c>
      <c r="CPH57">
        <v>1</v>
      </c>
      <c r="CPJ57">
        <v>1</v>
      </c>
      <c r="CPL57">
        <v>1</v>
      </c>
      <c r="CPW57">
        <v>1</v>
      </c>
      <c r="CQS57">
        <v>1</v>
      </c>
      <c r="CRZ57">
        <v>1</v>
      </c>
      <c r="CSG57">
        <v>1</v>
      </c>
      <c r="CVC57">
        <v>1</v>
      </c>
      <c r="CVF57">
        <v>1</v>
      </c>
      <c r="CVU57">
        <v>1</v>
      </c>
      <c r="CXT57">
        <v>1</v>
      </c>
      <c r="CXX57">
        <v>1</v>
      </c>
      <c r="CYD57">
        <v>1</v>
      </c>
      <c r="CYX57">
        <v>1</v>
      </c>
      <c r="CZA57">
        <v>1</v>
      </c>
      <c r="CZF57">
        <v>1</v>
      </c>
      <c r="DAC57">
        <v>1</v>
      </c>
      <c r="DAD57">
        <v>1</v>
      </c>
      <c r="DAF57">
        <v>1</v>
      </c>
      <c r="DAQ57">
        <v>1</v>
      </c>
      <c r="DAS57">
        <v>1</v>
      </c>
      <c r="DBH57">
        <v>1</v>
      </c>
      <c r="DGE57">
        <v>1</v>
      </c>
      <c r="DHW57">
        <v>1</v>
      </c>
      <c r="DIU57">
        <v>1</v>
      </c>
      <c r="DKV57">
        <v>1</v>
      </c>
      <c r="DLK57">
        <v>1</v>
      </c>
      <c r="DNF57">
        <v>1</v>
      </c>
      <c r="DNW57">
        <v>1</v>
      </c>
      <c r="DRI57">
        <v>1</v>
      </c>
      <c r="ECX57">
        <v>1</v>
      </c>
      <c r="EDG57">
        <f>SUMPRODUCT(Constraint_51,Decision_variables)</f>
        <v>1</v>
      </c>
      <c r="EDH57" t="s">
        <v>5264</v>
      </c>
      <c r="EDI57">
        <v>1</v>
      </c>
    </row>
    <row r="58" spans="2:1023 1027:3493" x14ac:dyDescent="0.3">
      <c r="B58" t="s">
        <v>3543</v>
      </c>
      <c r="DE58">
        <v>1</v>
      </c>
      <c r="GZ58">
        <v>1</v>
      </c>
      <c r="IB58">
        <v>1</v>
      </c>
      <c r="ME58">
        <v>1</v>
      </c>
      <c r="MK58">
        <v>1</v>
      </c>
      <c r="QP58">
        <v>1</v>
      </c>
      <c r="UR58">
        <v>1</v>
      </c>
      <c r="AAS58">
        <v>1</v>
      </c>
      <c r="AAY58">
        <v>1</v>
      </c>
      <c r="AEH58">
        <v>1</v>
      </c>
      <c r="AGL58">
        <v>1</v>
      </c>
      <c r="AIB58">
        <v>1</v>
      </c>
      <c r="AJJ58">
        <v>1</v>
      </c>
      <c r="ALB58">
        <v>1</v>
      </c>
      <c r="AOT58">
        <v>1</v>
      </c>
      <c r="AQR58">
        <v>1</v>
      </c>
      <c r="ARM58">
        <v>1</v>
      </c>
      <c r="ASF58">
        <v>1</v>
      </c>
      <c r="ASR58">
        <v>1</v>
      </c>
      <c r="AUA58">
        <v>1</v>
      </c>
      <c r="AVU58">
        <v>1</v>
      </c>
      <c r="AXS58">
        <v>1</v>
      </c>
      <c r="BBB58">
        <v>1</v>
      </c>
      <c r="BJD58">
        <v>1</v>
      </c>
      <c r="BRE58">
        <v>1</v>
      </c>
      <c r="BUZ58">
        <v>1</v>
      </c>
      <c r="BWB58">
        <v>1</v>
      </c>
      <c r="CAE58">
        <v>1</v>
      </c>
      <c r="CAK58">
        <v>1</v>
      </c>
      <c r="CEP58">
        <v>1</v>
      </c>
      <c r="CIR58">
        <v>1</v>
      </c>
      <c r="COS58">
        <v>1</v>
      </c>
      <c r="COY58">
        <v>1</v>
      </c>
      <c r="CSH58">
        <v>1</v>
      </c>
      <c r="CUL58">
        <v>1</v>
      </c>
      <c r="CWB58">
        <v>1</v>
      </c>
      <c r="CXJ58">
        <v>1</v>
      </c>
      <c r="CZB58">
        <v>1</v>
      </c>
      <c r="DCT58">
        <v>1</v>
      </c>
      <c r="DER58">
        <v>1</v>
      </c>
      <c r="DFM58">
        <v>1</v>
      </c>
      <c r="DGF58">
        <v>1</v>
      </c>
      <c r="DGR58">
        <v>1</v>
      </c>
      <c r="DIA58">
        <v>1</v>
      </c>
      <c r="DJU58">
        <v>1</v>
      </c>
      <c r="DLS58">
        <v>1</v>
      </c>
      <c r="DPB58">
        <v>1</v>
      </c>
      <c r="DXD58">
        <v>1</v>
      </c>
      <c r="ECY58">
        <v>1</v>
      </c>
      <c r="EDG58">
        <f>SUMPRODUCT(Constraint_52,Decision_variables)</f>
        <v>1</v>
      </c>
      <c r="EDH58" t="s">
        <v>5264</v>
      </c>
      <c r="EDI58">
        <v>1</v>
      </c>
    </row>
    <row r="59" spans="2:1023 1027:3493" x14ac:dyDescent="0.3">
      <c r="B59" t="s">
        <v>3544</v>
      </c>
      <c r="AY59">
        <v>1</v>
      </c>
      <c r="CU59">
        <v>1</v>
      </c>
      <c r="KU59">
        <v>1</v>
      </c>
      <c r="NA59">
        <v>1</v>
      </c>
      <c r="NH59">
        <v>1</v>
      </c>
      <c r="QD59">
        <v>1</v>
      </c>
      <c r="QT59">
        <v>1</v>
      </c>
      <c r="RO59">
        <v>1</v>
      </c>
      <c r="SO59">
        <v>1</v>
      </c>
      <c r="WM59">
        <v>1</v>
      </c>
      <c r="WO59">
        <v>1</v>
      </c>
      <c r="ZH59">
        <v>1</v>
      </c>
      <c r="ABU59">
        <v>1</v>
      </c>
      <c r="ABX59">
        <v>1</v>
      </c>
      <c r="ACZ59">
        <v>1</v>
      </c>
      <c r="ADJ59">
        <v>1</v>
      </c>
      <c r="ADU59">
        <v>1</v>
      </c>
      <c r="AET59">
        <v>1</v>
      </c>
      <c r="AHR59">
        <v>1</v>
      </c>
      <c r="AHS59">
        <v>1</v>
      </c>
      <c r="AIW59">
        <v>1</v>
      </c>
      <c r="AJG59">
        <v>1</v>
      </c>
      <c r="AJL59">
        <v>1</v>
      </c>
      <c r="ALH59">
        <v>1</v>
      </c>
      <c r="ALV59">
        <v>1</v>
      </c>
      <c r="AMP59">
        <v>1</v>
      </c>
      <c r="APC59">
        <v>1</v>
      </c>
      <c r="APH59">
        <v>1</v>
      </c>
      <c r="ARN59">
        <v>1</v>
      </c>
      <c r="AUW59">
        <v>1</v>
      </c>
      <c r="AYO59">
        <v>1</v>
      </c>
      <c r="BBD59">
        <v>1</v>
      </c>
      <c r="BCN59">
        <v>1</v>
      </c>
      <c r="BCQ59">
        <v>1</v>
      </c>
      <c r="BCY59">
        <v>1</v>
      </c>
      <c r="BDK59">
        <v>1</v>
      </c>
      <c r="BDR59">
        <v>1</v>
      </c>
      <c r="BDU59">
        <v>1</v>
      </c>
      <c r="BGD59">
        <v>1</v>
      </c>
      <c r="BJF59">
        <v>1</v>
      </c>
      <c r="BJZ59">
        <v>1</v>
      </c>
      <c r="BLL59">
        <v>1</v>
      </c>
      <c r="BOY59">
        <v>1</v>
      </c>
      <c r="BQU59">
        <v>1</v>
      </c>
      <c r="BYU59">
        <v>1</v>
      </c>
      <c r="CBA59">
        <v>1</v>
      </c>
      <c r="CBH59">
        <v>1</v>
      </c>
      <c r="CED59">
        <v>1</v>
      </c>
      <c r="CET59">
        <v>1</v>
      </c>
      <c r="CFO59">
        <v>1</v>
      </c>
      <c r="CGO59">
        <v>1</v>
      </c>
      <c r="CKM59">
        <v>1</v>
      </c>
      <c r="CKO59">
        <v>1</v>
      </c>
      <c r="CNH59">
        <v>1</v>
      </c>
      <c r="CPU59">
        <v>1</v>
      </c>
      <c r="CPX59">
        <v>1</v>
      </c>
      <c r="CQZ59">
        <v>1</v>
      </c>
      <c r="CRJ59">
        <v>1</v>
      </c>
      <c r="CRU59">
        <v>1</v>
      </c>
      <c r="CST59">
        <v>1</v>
      </c>
      <c r="CVR59">
        <v>1</v>
      </c>
      <c r="CVS59">
        <v>1</v>
      </c>
      <c r="CWW59">
        <v>1</v>
      </c>
      <c r="CXG59">
        <v>1</v>
      </c>
      <c r="CXL59">
        <v>1</v>
      </c>
      <c r="CZH59">
        <v>1</v>
      </c>
      <c r="CZV59">
        <v>1</v>
      </c>
      <c r="DAP59">
        <v>1</v>
      </c>
      <c r="DDC59">
        <v>1</v>
      </c>
      <c r="DDH59">
        <v>1</v>
      </c>
      <c r="DFN59">
        <v>1</v>
      </c>
      <c r="DIW59">
        <v>1</v>
      </c>
      <c r="DMO59">
        <v>1</v>
      </c>
      <c r="DPD59">
        <v>1</v>
      </c>
      <c r="DQN59">
        <v>1</v>
      </c>
      <c r="DQQ59">
        <v>1</v>
      </c>
      <c r="DQY59">
        <v>1</v>
      </c>
      <c r="DRK59">
        <v>1</v>
      </c>
      <c r="DRR59">
        <v>1</v>
      </c>
      <c r="DRU59">
        <v>1</v>
      </c>
      <c r="DUD59">
        <v>1</v>
      </c>
      <c r="DXF59">
        <v>1</v>
      </c>
      <c r="DXZ59">
        <v>1</v>
      </c>
      <c r="DZL59">
        <v>1</v>
      </c>
      <c r="ECZ59">
        <v>1</v>
      </c>
      <c r="EDG59">
        <f>SUMPRODUCT(Constraint_53,Decision_variables)</f>
        <v>1</v>
      </c>
      <c r="EDH59" t="s">
        <v>5264</v>
      </c>
      <c r="EDI59">
        <v>1</v>
      </c>
    </row>
    <row r="60" spans="2:1023 1027:3493" x14ac:dyDescent="0.3">
      <c r="B60" t="s">
        <v>3545</v>
      </c>
      <c r="BL60">
        <v>1</v>
      </c>
      <c r="FY60">
        <v>1</v>
      </c>
      <c r="HO60">
        <v>1</v>
      </c>
      <c r="HP60">
        <v>1</v>
      </c>
      <c r="IF60">
        <v>1</v>
      </c>
      <c r="SC60">
        <v>1</v>
      </c>
      <c r="SD60">
        <v>1</v>
      </c>
      <c r="VO60">
        <v>1</v>
      </c>
      <c r="AAQ60">
        <v>1</v>
      </c>
      <c r="ACO60">
        <v>1</v>
      </c>
      <c r="ACV60">
        <v>1</v>
      </c>
      <c r="AGC60">
        <v>1</v>
      </c>
      <c r="AHN60">
        <v>1</v>
      </c>
      <c r="AHZ60">
        <v>1</v>
      </c>
      <c r="AIV60">
        <v>1</v>
      </c>
      <c r="AJE60">
        <v>1</v>
      </c>
      <c r="AJS60">
        <v>1</v>
      </c>
      <c r="AJW60">
        <v>1</v>
      </c>
      <c r="AME60">
        <v>1</v>
      </c>
      <c r="AMI60">
        <v>1</v>
      </c>
      <c r="ANZ60">
        <v>1</v>
      </c>
      <c r="AOA60">
        <v>1</v>
      </c>
      <c r="AOH60">
        <v>1</v>
      </c>
      <c r="AQI60">
        <v>1</v>
      </c>
      <c r="AQT60">
        <v>1</v>
      </c>
      <c r="ARJ60">
        <v>1</v>
      </c>
      <c r="ARP60">
        <v>1</v>
      </c>
      <c r="ATT60">
        <v>1</v>
      </c>
      <c r="AVC60">
        <v>1</v>
      </c>
      <c r="AVJ60">
        <v>1</v>
      </c>
      <c r="AWG60">
        <v>1</v>
      </c>
      <c r="AXE60">
        <v>1</v>
      </c>
      <c r="AXU60">
        <v>1</v>
      </c>
      <c r="BAC60">
        <v>1</v>
      </c>
      <c r="BBW60">
        <v>1</v>
      </c>
      <c r="BDX60">
        <v>1</v>
      </c>
      <c r="BEE60">
        <v>1</v>
      </c>
      <c r="BFF60">
        <v>1</v>
      </c>
      <c r="BIN60">
        <v>1</v>
      </c>
      <c r="BJB60">
        <v>1</v>
      </c>
      <c r="BPL60">
        <v>1</v>
      </c>
      <c r="BTY60">
        <v>1</v>
      </c>
      <c r="BVO60">
        <v>1</v>
      </c>
      <c r="BVP60">
        <v>1</v>
      </c>
      <c r="BWF60">
        <v>1</v>
      </c>
      <c r="CGC60">
        <v>1</v>
      </c>
      <c r="CGD60">
        <v>1</v>
      </c>
      <c r="CJO60">
        <v>1</v>
      </c>
      <c r="COQ60">
        <v>1</v>
      </c>
      <c r="CQO60">
        <v>1</v>
      </c>
      <c r="CQV60">
        <v>1</v>
      </c>
      <c r="CUC60">
        <v>1</v>
      </c>
      <c r="CVN60">
        <v>1</v>
      </c>
      <c r="CVZ60">
        <v>1</v>
      </c>
      <c r="CWV60">
        <v>1</v>
      </c>
      <c r="CXE60">
        <v>1</v>
      </c>
      <c r="CXS60">
        <v>1</v>
      </c>
      <c r="CXW60">
        <v>1</v>
      </c>
      <c r="DAE60">
        <v>1</v>
      </c>
      <c r="DAI60">
        <v>1</v>
      </c>
      <c r="DBZ60">
        <v>1</v>
      </c>
      <c r="DCA60">
        <v>1</v>
      </c>
      <c r="DCH60">
        <v>1</v>
      </c>
      <c r="DEI60">
        <v>1</v>
      </c>
      <c r="DET60">
        <v>1</v>
      </c>
      <c r="DFJ60">
        <v>1</v>
      </c>
      <c r="DFP60">
        <v>1</v>
      </c>
      <c r="DHT60">
        <v>1</v>
      </c>
      <c r="DJC60">
        <v>1</v>
      </c>
      <c r="DJJ60">
        <v>1</v>
      </c>
      <c r="DKG60">
        <v>1</v>
      </c>
      <c r="DLE60">
        <v>1</v>
      </c>
      <c r="DLU60">
        <v>1</v>
      </c>
      <c r="DOC60">
        <v>1</v>
      </c>
      <c r="DPW60">
        <v>1</v>
      </c>
      <c r="DRX60">
        <v>1</v>
      </c>
      <c r="DSE60">
        <v>1</v>
      </c>
      <c r="DTF60">
        <v>1</v>
      </c>
      <c r="DWN60">
        <v>1</v>
      </c>
      <c r="DXB60">
        <v>1</v>
      </c>
      <c r="EDA60">
        <v>1</v>
      </c>
      <c r="EDG60">
        <f>SUMPRODUCT(Constraint_54,Decision_variables)</f>
        <v>1</v>
      </c>
      <c r="EDH60" t="s">
        <v>5264</v>
      </c>
      <c r="EDI60">
        <v>1</v>
      </c>
    </row>
    <row r="61" spans="2:1023 1027:3493" x14ac:dyDescent="0.3">
      <c r="B61" t="s">
        <v>3546</v>
      </c>
      <c r="BNC61">
        <v>1</v>
      </c>
      <c r="BND61">
        <v>1</v>
      </c>
      <c r="BNE61">
        <v>1</v>
      </c>
      <c r="BNF61">
        <v>1</v>
      </c>
      <c r="BNG61">
        <v>1</v>
      </c>
      <c r="BNH61">
        <v>1</v>
      </c>
      <c r="BNI61">
        <v>1</v>
      </c>
      <c r="BNJ61">
        <v>1</v>
      </c>
      <c r="BNK61">
        <v>1</v>
      </c>
      <c r="BNL61">
        <v>1</v>
      </c>
      <c r="BNM61">
        <v>1</v>
      </c>
      <c r="BNN61">
        <v>1</v>
      </c>
      <c r="BNO61">
        <v>1</v>
      </c>
      <c r="BNP61">
        <v>1</v>
      </c>
      <c r="BNQ61">
        <v>1</v>
      </c>
      <c r="BNR61">
        <v>1</v>
      </c>
      <c r="BNS61">
        <v>1</v>
      </c>
      <c r="BNT61">
        <v>1</v>
      </c>
      <c r="BNU61">
        <v>1</v>
      </c>
      <c r="BNV61">
        <v>1</v>
      </c>
      <c r="BNW61">
        <v>1</v>
      </c>
      <c r="BNX61">
        <v>1</v>
      </c>
      <c r="BNY61">
        <v>1</v>
      </c>
      <c r="BNZ61">
        <v>1</v>
      </c>
      <c r="BOA61">
        <v>1</v>
      </c>
      <c r="BOB61">
        <v>1</v>
      </c>
      <c r="BOC61">
        <v>1</v>
      </c>
      <c r="BOD61">
        <v>1</v>
      </c>
      <c r="BOE61">
        <v>1</v>
      </c>
      <c r="BOF61">
        <v>1</v>
      </c>
      <c r="BOG61">
        <v>1</v>
      </c>
      <c r="BOH61">
        <v>1</v>
      </c>
      <c r="BOI61">
        <v>1</v>
      </c>
      <c r="BOJ61">
        <v>1</v>
      </c>
      <c r="BOK61">
        <v>1</v>
      </c>
      <c r="BOL61">
        <v>1</v>
      </c>
      <c r="BOM61">
        <v>1</v>
      </c>
      <c r="BON61">
        <v>1</v>
      </c>
      <c r="BOO61">
        <v>1</v>
      </c>
      <c r="BOP61">
        <v>1</v>
      </c>
      <c r="BOQ61">
        <v>1</v>
      </c>
      <c r="BOR61">
        <v>1</v>
      </c>
      <c r="BOS61">
        <v>1</v>
      </c>
      <c r="BOT61">
        <v>1</v>
      </c>
      <c r="BOU61">
        <v>1</v>
      </c>
      <c r="BOV61">
        <v>1</v>
      </c>
      <c r="BOW61">
        <v>1</v>
      </c>
      <c r="BOX61">
        <v>1</v>
      </c>
      <c r="BOY61">
        <v>1</v>
      </c>
      <c r="BOZ61">
        <v>1</v>
      </c>
      <c r="BPA61">
        <v>1</v>
      </c>
      <c r="BPB61">
        <v>1</v>
      </c>
      <c r="BPC61">
        <v>1</v>
      </c>
      <c r="BPD61">
        <v>1</v>
      </c>
      <c r="BPE61">
        <v>1</v>
      </c>
      <c r="BPF61">
        <v>1</v>
      </c>
      <c r="BPG61">
        <v>1</v>
      </c>
      <c r="BPH61">
        <v>1</v>
      </c>
      <c r="BPI61">
        <v>1</v>
      </c>
      <c r="BPJ61">
        <v>1</v>
      </c>
      <c r="BPK61">
        <v>1</v>
      </c>
      <c r="BPL61">
        <v>1</v>
      </c>
      <c r="BPM61">
        <v>1</v>
      </c>
      <c r="BPN61">
        <v>1</v>
      </c>
      <c r="BPO61">
        <v>1</v>
      </c>
      <c r="BPP61">
        <v>1</v>
      </c>
      <c r="BPQ61">
        <v>1</v>
      </c>
      <c r="BPR61">
        <v>1</v>
      </c>
      <c r="BPS61">
        <v>1</v>
      </c>
      <c r="BPT61">
        <v>1</v>
      </c>
      <c r="BPU61">
        <v>1</v>
      </c>
      <c r="BPV61">
        <v>1</v>
      </c>
      <c r="BPW61">
        <v>1</v>
      </c>
      <c r="BPX61">
        <v>1</v>
      </c>
      <c r="BPY61">
        <v>1</v>
      </c>
      <c r="BPZ61">
        <v>1</v>
      </c>
      <c r="BQA61">
        <v>1</v>
      </c>
      <c r="BQB61">
        <v>1</v>
      </c>
      <c r="BQC61">
        <v>1</v>
      </c>
      <c r="BQD61">
        <v>1</v>
      </c>
      <c r="BQE61">
        <v>1</v>
      </c>
      <c r="BQF61">
        <v>1</v>
      </c>
      <c r="BQG61">
        <v>1</v>
      </c>
      <c r="BQH61">
        <v>1</v>
      </c>
      <c r="BQI61">
        <v>1</v>
      </c>
      <c r="BQJ61">
        <v>1</v>
      </c>
      <c r="BQK61">
        <v>1</v>
      </c>
      <c r="BQL61">
        <v>1</v>
      </c>
      <c r="BQM61">
        <v>1</v>
      </c>
      <c r="BQN61">
        <v>1</v>
      </c>
      <c r="BQO61">
        <v>1</v>
      </c>
      <c r="BQP61">
        <v>1</v>
      </c>
      <c r="BQQ61">
        <v>1</v>
      </c>
      <c r="BQR61">
        <v>1</v>
      </c>
      <c r="BQS61">
        <v>1</v>
      </c>
      <c r="BQT61">
        <v>1</v>
      </c>
      <c r="BQU61">
        <v>1</v>
      </c>
      <c r="BQV61">
        <v>1</v>
      </c>
      <c r="BQW61">
        <v>1</v>
      </c>
      <c r="BQX61">
        <v>1</v>
      </c>
      <c r="BQY61">
        <v>1</v>
      </c>
      <c r="BQZ61">
        <v>1</v>
      </c>
      <c r="BRA61">
        <v>1</v>
      </c>
      <c r="BRB61">
        <v>1</v>
      </c>
      <c r="BRC61">
        <v>1</v>
      </c>
      <c r="BRD61">
        <v>1</v>
      </c>
      <c r="BRE61">
        <v>1</v>
      </c>
      <c r="BRF61">
        <v>1</v>
      </c>
      <c r="BRG61">
        <v>1</v>
      </c>
      <c r="BRH61">
        <v>1</v>
      </c>
      <c r="BRI61">
        <v>1</v>
      </c>
      <c r="BRJ61">
        <v>1</v>
      </c>
      <c r="BRK61">
        <v>1</v>
      </c>
      <c r="BRL61">
        <v>1</v>
      </c>
      <c r="BRM61">
        <v>1</v>
      </c>
      <c r="BRN61">
        <v>1</v>
      </c>
      <c r="BRO61">
        <v>1</v>
      </c>
      <c r="BRP61">
        <v>1</v>
      </c>
      <c r="BRQ61">
        <v>1</v>
      </c>
      <c r="BRR61">
        <v>1</v>
      </c>
      <c r="BRS61">
        <v>1</v>
      </c>
      <c r="BRT61">
        <v>1</v>
      </c>
      <c r="BRU61">
        <v>1</v>
      </c>
      <c r="BRV61">
        <v>1</v>
      </c>
      <c r="BRW61">
        <v>1</v>
      </c>
      <c r="BRX61">
        <v>1</v>
      </c>
      <c r="BRY61">
        <v>1</v>
      </c>
      <c r="BRZ61">
        <v>1</v>
      </c>
      <c r="BSA61">
        <v>1</v>
      </c>
      <c r="BSB61">
        <v>1</v>
      </c>
      <c r="BSC61">
        <v>1</v>
      </c>
      <c r="BSD61">
        <v>1</v>
      </c>
      <c r="BSE61">
        <v>1</v>
      </c>
      <c r="BSF61">
        <v>1</v>
      </c>
      <c r="BSG61">
        <v>1</v>
      </c>
      <c r="BSH61">
        <v>1</v>
      </c>
      <c r="BSI61">
        <v>1</v>
      </c>
      <c r="BSJ61">
        <v>1</v>
      </c>
      <c r="BSK61">
        <v>1</v>
      </c>
      <c r="BSL61">
        <v>1</v>
      </c>
      <c r="BSM61">
        <v>1</v>
      </c>
      <c r="BSN61">
        <v>1</v>
      </c>
      <c r="BSO61">
        <v>1</v>
      </c>
      <c r="BSP61">
        <v>1</v>
      </c>
      <c r="BSQ61">
        <v>1</v>
      </c>
      <c r="BSR61">
        <v>1</v>
      </c>
      <c r="BSS61">
        <v>1</v>
      </c>
      <c r="BST61">
        <v>1</v>
      </c>
      <c r="BSU61">
        <v>1</v>
      </c>
      <c r="BSV61">
        <v>1</v>
      </c>
      <c r="BSW61">
        <v>1</v>
      </c>
      <c r="BSX61">
        <v>1</v>
      </c>
      <c r="BSY61">
        <v>1</v>
      </c>
      <c r="BSZ61">
        <v>1</v>
      </c>
      <c r="BTA61">
        <v>1</v>
      </c>
      <c r="BTB61">
        <v>1</v>
      </c>
      <c r="BTC61">
        <v>1</v>
      </c>
      <c r="BTD61">
        <v>1</v>
      </c>
      <c r="BTE61">
        <v>1</v>
      </c>
      <c r="BTF61">
        <v>1</v>
      </c>
      <c r="BTG61">
        <v>1</v>
      </c>
      <c r="BTH61">
        <v>1</v>
      </c>
      <c r="BTI61">
        <v>1</v>
      </c>
      <c r="BTJ61">
        <v>1</v>
      </c>
      <c r="BTK61">
        <v>1</v>
      </c>
      <c r="BTL61">
        <v>1</v>
      </c>
      <c r="BTM61">
        <v>1</v>
      </c>
      <c r="BTN61">
        <v>1</v>
      </c>
      <c r="BTO61">
        <v>1</v>
      </c>
      <c r="BTP61">
        <v>1</v>
      </c>
      <c r="BTQ61">
        <v>1</v>
      </c>
      <c r="BTR61">
        <v>1</v>
      </c>
      <c r="BTS61">
        <v>1</v>
      </c>
      <c r="BTT61">
        <v>1</v>
      </c>
      <c r="BTU61">
        <v>1</v>
      </c>
      <c r="BTV61">
        <v>1</v>
      </c>
      <c r="BTW61">
        <v>1</v>
      </c>
      <c r="BTX61">
        <v>1</v>
      </c>
      <c r="BTY61">
        <v>1</v>
      </c>
      <c r="BTZ61">
        <v>1</v>
      </c>
      <c r="BUA61">
        <v>1</v>
      </c>
      <c r="BUB61">
        <v>1</v>
      </c>
      <c r="BUC61">
        <v>1</v>
      </c>
      <c r="BUD61">
        <v>1</v>
      </c>
      <c r="BUE61">
        <v>1</v>
      </c>
      <c r="BUF61">
        <v>1</v>
      </c>
      <c r="BUG61">
        <v>1</v>
      </c>
      <c r="BUH61">
        <v>1</v>
      </c>
      <c r="BUI61">
        <v>1</v>
      </c>
      <c r="BUJ61">
        <v>1</v>
      </c>
      <c r="BUK61">
        <v>1</v>
      </c>
      <c r="BUL61">
        <v>1</v>
      </c>
      <c r="BUM61">
        <v>1</v>
      </c>
      <c r="BUN61">
        <v>1</v>
      </c>
      <c r="BUO61">
        <v>1</v>
      </c>
      <c r="BUP61">
        <v>1</v>
      </c>
      <c r="BUQ61">
        <v>1</v>
      </c>
      <c r="BUR61">
        <v>1</v>
      </c>
      <c r="BUS61">
        <v>1</v>
      </c>
      <c r="BUT61">
        <v>1</v>
      </c>
      <c r="BUU61">
        <v>1</v>
      </c>
      <c r="BUV61">
        <v>1</v>
      </c>
      <c r="BUW61">
        <v>1</v>
      </c>
      <c r="BUX61">
        <v>1</v>
      </c>
      <c r="BUY61">
        <v>1</v>
      </c>
      <c r="BUZ61">
        <v>1</v>
      </c>
      <c r="BVA61">
        <v>1</v>
      </c>
      <c r="BVB61">
        <v>1</v>
      </c>
      <c r="BVC61">
        <v>1</v>
      </c>
      <c r="BVD61">
        <v>1</v>
      </c>
      <c r="BVE61">
        <v>1</v>
      </c>
      <c r="BVF61">
        <v>1</v>
      </c>
      <c r="BVG61">
        <v>1</v>
      </c>
      <c r="BVH61">
        <v>1</v>
      </c>
      <c r="BVI61">
        <v>1</v>
      </c>
      <c r="BVJ61">
        <v>1</v>
      </c>
      <c r="BVK61">
        <v>1</v>
      </c>
      <c r="BVL61">
        <v>1</v>
      </c>
      <c r="BVM61">
        <v>1</v>
      </c>
      <c r="BVN61">
        <v>1</v>
      </c>
      <c r="BVO61">
        <v>1</v>
      </c>
      <c r="BVP61">
        <v>1</v>
      </c>
      <c r="BVQ61">
        <v>1</v>
      </c>
      <c r="BVR61">
        <v>1</v>
      </c>
      <c r="BVS61">
        <v>1</v>
      </c>
      <c r="BVT61">
        <v>1</v>
      </c>
      <c r="BVU61">
        <v>1</v>
      </c>
      <c r="BVV61">
        <v>1</v>
      </c>
      <c r="BVW61">
        <v>1</v>
      </c>
      <c r="BVX61">
        <v>1</v>
      </c>
      <c r="BVY61">
        <v>1</v>
      </c>
      <c r="BVZ61">
        <v>1</v>
      </c>
      <c r="BWA61">
        <v>1</v>
      </c>
      <c r="BWB61">
        <v>1</v>
      </c>
      <c r="BWC61">
        <v>1</v>
      </c>
      <c r="BWD61">
        <v>1</v>
      </c>
      <c r="BWE61">
        <v>1</v>
      </c>
      <c r="BWF61">
        <v>1</v>
      </c>
      <c r="BWG61">
        <v>1</v>
      </c>
      <c r="BWH61">
        <v>1</v>
      </c>
      <c r="BWI61">
        <v>1</v>
      </c>
      <c r="BWJ61">
        <v>1</v>
      </c>
      <c r="BWK61">
        <v>1</v>
      </c>
      <c r="BWL61">
        <v>1</v>
      </c>
      <c r="BWM61">
        <v>1</v>
      </c>
      <c r="BWN61">
        <v>1</v>
      </c>
      <c r="BWO61">
        <v>1</v>
      </c>
      <c r="BWP61">
        <v>1</v>
      </c>
      <c r="BWQ61">
        <v>1</v>
      </c>
      <c r="BWR61">
        <v>1</v>
      </c>
      <c r="BWS61">
        <v>1</v>
      </c>
      <c r="BWT61">
        <v>1</v>
      </c>
      <c r="BWU61">
        <v>1</v>
      </c>
      <c r="BWV61">
        <v>1</v>
      </c>
      <c r="BWW61">
        <v>1</v>
      </c>
      <c r="BWX61">
        <v>1</v>
      </c>
      <c r="BWY61">
        <v>1</v>
      </c>
      <c r="BWZ61">
        <v>1</v>
      </c>
      <c r="BXA61">
        <v>1</v>
      </c>
      <c r="BXB61">
        <v>1</v>
      </c>
      <c r="BXC61">
        <v>1</v>
      </c>
      <c r="BXD61">
        <v>1</v>
      </c>
      <c r="BXE61">
        <v>1</v>
      </c>
      <c r="BXF61">
        <v>1</v>
      </c>
      <c r="BXG61">
        <v>1</v>
      </c>
      <c r="BXH61">
        <v>1</v>
      </c>
      <c r="BXI61">
        <v>1</v>
      </c>
      <c r="BXJ61">
        <v>1</v>
      </c>
      <c r="BXK61">
        <v>1</v>
      </c>
      <c r="BXL61">
        <v>1</v>
      </c>
      <c r="BXM61">
        <v>1</v>
      </c>
      <c r="BXN61">
        <v>1</v>
      </c>
      <c r="BXO61">
        <v>1</v>
      </c>
      <c r="BXP61">
        <v>1</v>
      </c>
      <c r="BXQ61">
        <v>1</v>
      </c>
      <c r="BXR61">
        <v>1</v>
      </c>
      <c r="BXS61">
        <v>1</v>
      </c>
      <c r="BXT61">
        <v>1</v>
      </c>
      <c r="BXU61">
        <v>1</v>
      </c>
      <c r="BXV61">
        <v>1</v>
      </c>
      <c r="BXW61">
        <v>1</v>
      </c>
      <c r="BXX61">
        <v>1</v>
      </c>
      <c r="BXY61">
        <v>1</v>
      </c>
      <c r="BXZ61">
        <v>1</v>
      </c>
      <c r="BYA61">
        <v>1</v>
      </c>
      <c r="BYB61">
        <v>1</v>
      </c>
      <c r="BYC61">
        <v>1</v>
      </c>
      <c r="BYD61">
        <v>1</v>
      </c>
      <c r="BYE61">
        <v>1</v>
      </c>
      <c r="BYF61">
        <v>1</v>
      </c>
      <c r="BYG61">
        <v>1</v>
      </c>
      <c r="BYH61">
        <v>1</v>
      </c>
      <c r="BYI61">
        <v>1</v>
      </c>
      <c r="BYJ61">
        <v>1</v>
      </c>
      <c r="BYK61">
        <v>1</v>
      </c>
      <c r="BYL61">
        <v>1</v>
      </c>
      <c r="BYM61">
        <v>1</v>
      </c>
      <c r="BYN61">
        <v>1</v>
      </c>
      <c r="BYO61">
        <v>1</v>
      </c>
      <c r="BYP61">
        <v>1</v>
      </c>
      <c r="BYQ61">
        <v>1</v>
      </c>
      <c r="BYR61">
        <v>1</v>
      </c>
      <c r="BYS61">
        <v>1</v>
      </c>
      <c r="BYT61">
        <v>1</v>
      </c>
      <c r="BYU61">
        <v>1</v>
      </c>
      <c r="BYV61">
        <v>1</v>
      </c>
      <c r="BYW61">
        <v>1</v>
      </c>
      <c r="BYX61">
        <v>1</v>
      </c>
      <c r="BYY61">
        <v>1</v>
      </c>
      <c r="BYZ61">
        <v>1</v>
      </c>
      <c r="BZA61">
        <v>1</v>
      </c>
      <c r="BZB61">
        <v>1</v>
      </c>
      <c r="BZC61">
        <v>1</v>
      </c>
      <c r="BZD61">
        <v>1</v>
      </c>
      <c r="BZE61">
        <v>1</v>
      </c>
      <c r="BZF61">
        <v>1</v>
      </c>
      <c r="BZG61">
        <v>1</v>
      </c>
      <c r="BZH61">
        <v>1</v>
      </c>
      <c r="BZI61">
        <v>1</v>
      </c>
      <c r="BZJ61">
        <v>1</v>
      </c>
      <c r="BZK61">
        <v>1</v>
      </c>
      <c r="BZL61">
        <v>1</v>
      </c>
      <c r="BZM61">
        <v>1</v>
      </c>
      <c r="BZN61">
        <v>1</v>
      </c>
      <c r="BZO61">
        <v>1</v>
      </c>
      <c r="BZP61">
        <v>1</v>
      </c>
      <c r="BZQ61">
        <v>1</v>
      </c>
      <c r="BZR61">
        <v>1</v>
      </c>
      <c r="BZS61">
        <v>1</v>
      </c>
      <c r="BZT61">
        <v>1</v>
      </c>
      <c r="BZU61">
        <v>1</v>
      </c>
      <c r="BZV61">
        <v>1</v>
      </c>
      <c r="BZW61">
        <v>1</v>
      </c>
      <c r="BZX61">
        <v>1</v>
      </c>
      <c r="BZY61">
        <v>1</v>
      </c>
      <c r="BZZ61">
        <v>1</v>
      </c>
      <c r="CAA61">
        <v>1</v>
      </c>
      <c r="CAB61">
        <v>1</v>
      </c>
      <c r="CAC61">
        <v>1</v>
      </c>
      <c r="CAD61">
        <v>1</v>
      </c>
      <c r="CAE61">
        <v>1</v>
      </c>
      <c r="CAF61">
        <v>1</v>
      </c>
      <c r="CAG61">
        <v>1</v>
      </c>
      <c r="CAH61">
        <v>1</v>
      </c>
      <c r="CAI61">
        <v>1</v>
      </c>
      <c r="CAJ61">
        <v>1</v>
      </c>
      <c r="CAK61">
        <v>1</v>
      </c>
      <c r="CAL61">
        <v>1</v>
      </c>
      <c r="CAM61">
        <v>1</v>
      </c>
      <c r="CAN61">
        <v>1</v>
      </c>
      <c r="CAO61">
        <v>1</v>
      </c>
      <c r="CAP61">
        <v>1</v>
      </c>
      <c r="CAQ61">
        <v>1</v>
      </c>
      <c r="CAR61">
        <v>1</v>
      </c>
      <c r="CAS61">
        <v>1</v>
      </c>
      <c r="CAT61">
        <v>1</v>
      </c>
      <c r="CAU61">
        <v>1</v>
      </c>
      <c r="CAV61">
        <v>1</v>
      </c>
      <c r="CAW61">
        <v>1</v>
      </c>
      <c r="CAX61">
        <v>1</v>
      </c>
      <c r="CAY61">
        <v>1</v>
      </c>
      <c r="CAZ61">
        <v>1</v>
      </c>
      <c r="CBA61">
        <v>1</v>
      </c>
      <c r="CBB61">
        <v>1</v>
      </c>
      <c r="CBC61">
        <v>1</v>
      </c>
      <c r="CBD61">
        <v>1</v>
      </c>
      <c r="CBE61">
        <v>1</v>
      </c>
      <c r="CBF61">
        <v>1</v>
      </c>
      <c r="CBG61">
        <v>1</v>
      </c>
      <c r="CBH61">
        <v>1</v>
      </c>
      <c r="CBI61">
        <v>1</v>
      </c>
      <c r="CBJ61">
        <v>1</v>
      </c>
      <c r="CBK61">
        <v>1</v>
      </c>
      <c r="CBL61">
        <v>1</v>
      </c>
      <c r="CBM61">
        <v>1</v>
      </c>
      <c r="CBN61">
        <v>1</v>
      </c>
      <c r="CBO61">
        <v>1</v>
      </c>
      <c r="CBP61">
        <v>1</v>
      </c>
      <c r="CBQ61">
        <v>1</v>
      </c>
      <c r="CBR61">
        <v>1</v>
      </c>
      <c r="CBS61">
        <v>1</v>
      </c>
      <c r="CBT61">
        <v>1</v>
      </c>
      <c r="CBU61">
        <v>1</v>
      </c>
      <c r="CBV61">
        <v>1</v>
      </c>
      <c r="CBW61">
        <v>1</v>
      </c>
      <c r="CBX61">
        <v>1</v>
      </c>
      <c r="CBY61">
        <v>1</v>
      </c>
      <c r="CBZ61">
        <v>1</v>
      </c>
      <c r="CCA61">
        <v>1</v>
      </c>
      <c r="CCB61">
        <v>1</v>
      </c>
      <c r="CCC61">
        <v>1</v>
      </c>
      <c r="CCD61">
        <v>1</v>
      </c>
      <c r="CCE61">
        <v>1</v>
      </c>
      <c r="CCF61">
        <v>1</v>
      </c>
      <c r="CCG61">
        <v>1</v>
      </c>
      <c r="CCH61">
        <v>1</v>
      </c>
      <c r="CCI61">
        <v>1</v>
      </c>
      <c r="CCJ61">
        <v>1</v>
      </c>
      <c r="CCK61">
        <v>1</v>
      </c>
      <c r="CCL61">
        <v>1</v>
      </c>
      <c r="CCM61">
        <v>1</v>
      </c>
      <c r="CCN61">
        <v>1</v>
      </c>
      <c r="CCO61">
        <v>1</v>
      </c>
      <c r="CCP61">
        <v>1</v>
      </c>
      <c r="CCQ61">
        <v>1</v>
      </c>
      <c r="CCR61">
        <v>1</v>
      </c>
      <c r="CCS61">
        <v>1</v>
      </c>
      <c r="CCT61">
        <v>1</v>
      </c>
      <c r="CCU61">
        <v>1</v>
      </c>
      <c r="CCV61">
        <v>1</v>
      </c>
      <c r="CCW61">
        <v>1</v>
      </c>
      <c r="CCX61">
        <v>1</v>
      </c>
      <c r="CCY61">
        <v>1</v>
      </c>
      <c r="CCZ61">
        <v>1</v>
      </c>
      <c r="CDA61">
        <v>1</v>
      </c>
      <c r="CDB61">
        <v>1</v>
      </c>
      <c r="CDC61">
        <v>1</v>
      </c>
      <c r="CDD61">
        <v>1</v>
      </c>
      <c r="CDE61">
        <v>1</v>
      </c>
      <c r="CDF61">
        <v>1</v>
      </c>
      <c r="CDG61">
        <v>1</v>
      </c>
      <c r="CDH61">
        <v>1</v>
      </c>
      <c r="CDI61">
        <v>1</v>
      </c>
      <c r="CDJ61">
        <v>1</v>
      </c>
      <c r="CDK61">
        <v>1</v>
      </c>
      <c r="CDL61">
        <v>1</v>
      </c>
      <c r="CDM61">
        <v>1</v>
      </c>
      <c r="CDN61">
        <v>1</v>
      </c>
      <c r="CDO61">
        <v>1</v>
      </c>
      <c r="CDP61">
        <v>1</v>
      </c>
      <c r="CDQ61">
        <v>1</v>
      </c>
      <c r="CDR61">
        <v>1</v>
      </c>
      <c r="CDS61">
        <v>1</v>
      </c>
      <c r="CDT61">
        <v>1</v>
      </c>
      <c r="CDU61">
        <v>1</v>
      </c>
      <c r="CDV61">
        <v>1</v>
      </c>
      <c r="CDW61">
        <v>1</v>
      </c>
      <c r="CDX61">
        <v>1</v>
      </c>
      <c r="CDY61">
        <v>1</v>
      </c>
      <c r="CDZ61">
        <v>1</v>
      </c>
      <c r="CEA61">
        <v>1</v>
      </c>
      <c r="CEB61">
        <v>1</v>
      </c>
      <c r="CEC61">
        <v>1</v>
      </c>
      <c r="CED61">
        <v>1</v>
      </c>
      <c r="CEE61">
        <v>1</v>
      </c>
      <c r="CEF61">
        <v>1</v>
      </c>
      <c r="CEG61">
        <v>1</v>
      </c>
      <c r="CEH61">
        <v>1</v>
      </c>
      <c r="CEI61">
        <v>1</v>
      </c>
      <c r="CEJ61">
        <v>1</v>
      </c>
      <c r="CEK61">
        <v>1</v>
      </c>
      <c r="CEL61">
        <v>1</v>
      </c>
      <c r="CEM61">
        <v>1</v>
      </c>
      <c r="CEN61">
        <v>1</v>
      </c>
      <c r="CEO61">
        <v>1</v>
      </c>
      <c r="CEP61">
        <v>1</v>
      </c>
      <c r="CEQ61">
        <v>1</v>
      </c>
      <c r="CER61">
        <v>1</v>
      </c>
      <c r="CES61">
        <v>1</v>
      </c>
      <c r="CET61">
        <v>1</v>
      </c>
      <c r="CEU61">
        <v>1</v>
      </c>
      <c r="CEV61">
        <v>1</v>
      </c>
      <c r="CEW61">
        <v>1</v>
      </c>
      <c r="CEX61">
        <v>1</v>
      </c>
      <c r="CEY61">
        <v>1</v>
      </c>
      <c r="CEZ61">
        <v>1</v>
      </c>
      <c r="CFA61">
        <v>1</v>
      </c>
      <c r="CFB61">
        <v>1</v>
      </c>
      <c r="CFC61">
        <v>1</v>
      </c>
      <c r="CFD61">
        <v>1</v>
      </c>
      <c r="CFE61">
        <v>1</v>
      </c>
      <c r="CFF61">
        <v>1</v>
      </c>
      <c r="CFG61">
        <v>1</v>
      </c>
      <c r="CFH61">
        <v>1</v>
      </c>
      <c r="CFI61">
        <v>1</v>
      </c>
      <c r="CFJ61">
        <v>1</v>
      </c>
      <c r="CFK61">
        <v>1</v>
      </c>
      <c r="CFL61">
        <v>1</v>
      </c>
      <c r="CFM61">
        <v>1</v>
      </c>
      <c r="CFN61">
        <v>1</v>
      </c>
      <c r="CFO61">
        <v>1</v>
      </c>
      <c r="CFP61">
        <v>1</v>
      </c>
      <c r="CFQ61">
        <v>1</v>
      </c>
      <c r="CFR61">
        <v>1</v>
      </c>
      <c r="CFS61">
        <v>1</v>
      </c>
      <c r="CFT61">
        <v>1</v>
      </c>
      <c r="CFU61">
        <v>1</v>
      </c>
      <c r="CFV61">
        <v>1</v>
      </c>
      <c r="CFW61">
        <v>1</v>
      </c>
      <c r="CFX61">
        <v>1</v>
      </c>
      <c r="CFY61">
        <v>1</v>
      </c>
      <c r="CFZ61">
        <v>1</v>
      </c>
      <c r="CGA61">
        <v>1</v>
      </c>
      <c r="CGB61">
        <v>1</v>
      </c>
      <c r="CGC61">
        <v>1</v>
      </c>
      <c r="CGD61">
        <v>1</v>
      </c>
      <c r="CGE61">
        <v>1</v>
      </c>
      <c r="CGF61">
        <v>1</v>
      </c>
      <c r="CGG61">
        <v>1</v>
      </c>
      <c r="CGH61">
        <v>1</v>
      </c>
      <c r="CGI61">
        <v>1</v>
      </c>
      <c r="CGJ61">
        <v>1</v>
      </c>
      <c r="CGK61">
        <v>1</v>
      </c>
      <c r="CGL61">
        <v>1</v>
      </c>
      <c r="CGM61">
        <v>1</v>
      </c>
      <c r="CGN61">
        <v>1</v>
      </c>
      <c r="CGO61">
        <v>1</v>
      </c>
      <c r="CGP61">
        <v>1</v>
      </c>
      <c r="CGQ61">
        <v>1</v>
      </c>
      <c r="CGR61">
        <v>1</v>
      </c>
      <c r="CGS61">
        <v>1</v>
      </c>
      <c r="CGT61">
        <v>1</v>
      </c>
      <c r="CGU61">
        <v>1</v>
      </c>
      <c r="CGV61">
        <v>1</v>
      </c>
      <c r="CGW61">
        <v>1</v>
      </c>
      <c r="CGX61">
        <v>1</v>
      </c>
      <c r="CGY61">
        <v>1</v>
      </c>
      <c r="CGZ61">
        <v>1</v>
      </c>
      <c r="CHA61">
        <v>1</v>
      </c>
      <c r="CHB61">
        <v>1</v>
      </c>
      <c r="CHC61">
        <v>1</v>
      </c>
      <c r="CHD61">
        <v>1</v>
      </c>
      <c r="CHE61">
        <v>1</v>
      </c>
      <c r="CHF61">
        <v>1</v>
      </c>
      <c r="CHG61">
        <v>1</v>
      </c>
      <c r="CHH61">
        <v>1</v>
      </c>
      <c r="CHI61">
        <v>1</v>
      </c>
      <c r="CHJ61">
        <v>1</v>
      </c>
      <c r="CHK61">
        <v>1</v>
      </c>
      <c r="CHL61">
        <v>1</v>
      </c>
      <c r="CHM61">
        <v>1</v>
      </c>
      <c r="CHN61">
        <v>1</v>
      </c>
      <c r="CHO61">
        <v>1</v>
      </c>
      <c r="CHP61">
        <v>1</v>
      </c>
      <c r="CHQ61">
        <v>1</v>
      </c>
      <c r="CHR61">
        <v>1</v>
      </c>
      <c r="CHS61">
        <v>1</v>
      </c>
      <c r="CHT61">
        <v>1</v>
      </c>
      <c r="CHU61">
        <v>1</v>
      </c>
      <c r="CHV61">
        <v>1</v>
      </c>
      <c r="CHW61">
        <v>1</v>
      </c>
      <c r="CHX61">
        <v>1</v>
      </c>
      <c r="CHY61">
        <v>1</v>
      </c>
      <c r="CHZ61">
        <v>1</v>
      </c>
      <c r="CIA61">
        <v>1</v>
      </c>
      <c r="CIB61">
        <v>1</v>
      </c>
      <c r="CIC61">
        <v>1</v>
      </c>
      <c r="CID61">
        <v>1</v>
      </c>
      <c r="CIE61">
        <v>1</v>
      </c>
      <c r="CIF61">
        <v>1</v>
      </c>
      <c r="CIG61">
        <v>1</v>
      </c>
      <c r="CIH61">
        <v>1</v>
      </c>
      <c r="CII61">
        <v>1</v>
      </c>
      <c r="CIJ61">
        <v>1</v>
      </c>
      <c r="CIK61">
        <v>1</v>
      </c>
      <c r="CIL61">
        <v>1</v>
      </c>
      <c r="CIM61">
        <v>1</v>
      </c>
      <c r="CIN61">
        <v>1</v>
      </c>
      <c r="CIO61">
        <v>1</v>
      </c>
      <c r="CIP61">
        <v>1</v>
      </c>
      <c r="CIQ61">
        <v>1</v>
      </c>
      <c r="CIR61">
        <v>1</v>
      </c>
      <c r="CIS61">
        <v>1</v>
      </c>
      <c r="CIT61">
        <v>1</v>
      </c>
      <c r="CIU61">
        <v>1</v>
      </c>
      <c r="CIV61">
        <v>1</v>
      </c>
      <c r="CIW61">
        <v>1</v>
      </c>
      <c r="CIX61">
        <v>1</v>
      </c>
      <c r="CIY61">
        <v>1</v>
      </c>
      <c r="CIZ61">
        <v>1</v>
      </c>
      <c r="CJA61">
        <v>1</v>
      </c>
      <c r="CJB61">
        <v>1</v>
      </c>
      <c r="CJC61">
        <v>1</v>
      </c>
      <c r="CJD61">
        <v>1</v>
      </c>
      <c r="CJE61">
        <v>1</v>
      </c>
      <c r="CJF61">
        <v>1</v>
      </c>
      <c r="CJG61">
        <v>1</v>
      </c>
      <c r="CJH61">
        <v>1</v>
      </c>
      <c r="CJI61">
        <v>1</v>
      </c>
      <c r="CJJ61">
        <v>1</v>
      </c>
      <c r="CJK61">
        <v>1</v>
      </c>
      <c r="CJL61">
        <v>1</v>
      </c>
      <c r="CJM61">
        <v>1</v>
      </c>
      <c r="CJN61">
        <v>1</v>
      </c>
      <c r="CJO61">
        <v>1</v>
      </c>
      <c r="CJP61">
        <v>1</v>
      </c>
      <c r="CJQ61">
        <v>1</v>
      </c>
      <c r="CJR61">
        <v>1</v>
      </c>
      <c r="CJS61">
        <v>1</v>
      </c>
      <c r="CJT61">
        <v>1</v>
      </c>
      <c r="CJU61">
        <v>1</v>
      </c>
      <c r="CJV61">
        <v>1</v>
      </c>
      <c r="CJW61">
        <v>1</v>
      </c>
      <c r="CJX61">
        <v>1</v>
      </c>
      <c r="CJY61">
        <v>1</v>
      </c>
      <c r="CJZ61">
        <v>1</v>
      </c>
      <c r="CKA61">
        <v>1</v>
      </c>
      <c r="CKB61">
        <v>1</v>
      </c>
      <c r="CKC61">
        <v>1</v>
      </c>
      <c r="CKD61">
        <v>1</v>
      </c>
      <c r="CKE61">
        <v>1</v>
      </c>
      <c r="CKF61">
        <v>1</v>
      </c>
      <c r="CKG61">
        <v>1</v>
      </c>
      <c r="CKH61">
        <v>1</v>
      </c>
      <c r="CKI61">
        <v>1</v>
      </c>
      <c r="CKJ61">
        <v>1</v>
      </c>
      <c r="CKK61">
        <v>1</v>
      </c>
      <c r="CKL61">
        <v>1</v>
      </c>
      <c r="CKM61">
        <v>1</v>
      </c>
      <c r="CKN61">
        <v>1</v>
      </c>
      <c r="CKO61">
        <v>1</v>
      </c>
      <c r="CKP61">
        <v>1</v>
      </c>
      <c r="CKQ61">
        <v>1</v>
      </c>
      <c r="CKR61">
        <v>1</v>
      </c>
      <c r="CKS61">
        <v>1</v>
      </c>
      <c r="CKT61">
        <v>1</v>
      </c>
      <c r="CKU61">
        <v>1</v>
      </c>
      <c r="CKV61">
        <v>1</v>
      </c>
      <c r="CKW61">
        <v>1</v>
      </c>
      <c r="CKX61">
        <v>1</v>
      </c>
      <c r="CKY61">
        <v>1</v>
      </c>
      <c r="CKZ61">
        <v>1</v>
      </c>
      <c r="CLA61">
        <v>1</v>
      </c>
      <c r="CLB61">
        <v>1</v>
      </c>
      <c r="CLC61">
        <v>1</v>
      </c>
      <c r="CLD61">
        <v>1</v>
      </c>
      <c r="CLE61">
        <v>1</v>
      </c>
      <c r="CLF61">
        <v>1</v>
      </c>
      <c r="CLG61">
        <v>1</v>
      </c>
      <c r="CLH61">
        <v>1</v>
      </c>
      <c r="CLI61">
        <v>1</v>
      </c>
      <c r="CLJ61">
        <v>1</v>
      </c>
      <c r="CLK61">
        <v>1</v>
      </c>
      <c r="CLL61">
        <v>1</v>
      </c>
      <c r="CLM61">
        <v>1</v>
      </c>
      <c r="CLN61">
        <v>1</v>
      </c>
      <c r="CLO61">
        <v>1</v>
      </c>
      <c r="CLP61">
        <v>1</v>
      </c>
      <c r="CLQ61">
        <v>1</v>
      </c>
      <c r="CLR61">
        <v>1</v>
      </c>
      <c r="CLS61">
        <v>1</v>
      </c>
      <c r="CLT61">
        <v>1</v>
      </c>
      <c r="CLU61">
        <v>1</v>
      </c>
      <c r="CLV61">
        <v>1</v>
      </c>
      <c r="CLW61">
        <v>1</v>
      </c>
      <c r="CLX61">
        <v>1</v>
      </c>
      <c r="CLY61">
        <v>1</v>
      </c>
      <c r="CLZ61">
        <v>1</v>
      </c>
      <c r="CMA61">
        <v>1</v>
      </c>
      <c r="CMB61">
        <v>1</v>
      </c>
      <c r="CMC61">
        <v>1</v>
      </c>
      <c r="CMD61">
        <v>1</v>
      </c>
      <c r="CME61">
        <v>1</v>
      </c>
      <c r="CMF61">
        <v>1</v>
      </c>
      <c r="CMG61">
        <v>1</v>
      </c>
      <c r="CMH61">
        <v>1</v>
      </c>
      <c r="CMI61">
        <v>1</v>
      </c>
      <c r="CMJ61">
        <v>1</v>
      </c>
      <c r="CMK61">
        <v>1</v>
      </c>
      <c r="CML61">
        <v>1</v>
      </c>
      <c r="CMM61">
        <v>1</v>
      </c>
      <c r="CMN61">
        <v>1</v>
      </c>
      <c r="CMO61">
        <v>1</v>
      </c>
      <c r="CMP61">
        <v>1</v>
      </c>
      <c r="CMQ61">
        <v>1</v>
      </c>
      <c r="CMR61">
        <v>1</v>
      </c>
      <c r="CMS61">
        <v>1</v>
      </c>
      <c r="CMT61">
        <v>1</v>
      </c>
      <c r="CMU61">
        <v>1</v>
      </c>
      <c r="CMV61">
        <v>1</v>
      </c>
      <c r="CMW61">
        <v>1</v>
      </c>
      <c r="CMX61">
        <v>1</v>
      </c>
      <c r="CMY61">
        <v>1</v>
      </c>
      <c r="CMZ61">
        <v>1</v>
      </c>
      <c r="CNA61">
        <v>1</v>
      </c>
      <c r="CNB61">
        <v>1</v>
      </c>
      <c r="CNC61">
        <v>1</v>
      </c>
      <c r="CND61">
        <v>1</v>
      </c>
      <c r="CNE61">
        <v>1</v>
      </c>
      <c r="CNF61">
        <v>1</v>
      </c>
      <c r="CNG61">
        <v>1</v>
      </c>
      <c r="CNH61">
        <v>1</v>
      </c>
      <c r="CNI61">
        <v>1</v>
      </c>
      <c r="CNJ61">
        <v>1</v>
      </c>
      <c r="CNK61">
        <v>1</v>
      </c>
      <c r="CNL61">
        <v>1</v>
      </c>
      <c r="CNM61">
        <v>1</v>
      </c>
      <c r="CNN61">
        <v>1</v>
      </c>
      <c r="CNO61">
        <v>1</v>
      </c>
      <c r="CNP61">
        <v>1</v>
      </c>
      <c r="CNQ61">
        <v>1</v>
      </c>
      <c r="CNR61">
        <v>1</v>
      </c>
      <c r="CNS61">
        <v>1</v>
      </c>
      <c r="CNT61">
        <v>1</v>
      </c>
      <c r="CNU61">
        <v>1</v>
      </c>
      <c r="CNV61">
        <v>1</v>
      </c>
      <c r="CNW61">
        <v>1</v>
      </c>
      <c r="CNX61">
        <v>1</v>
      </c>
      <c r="CNY61">
        <v>1</v>
      </c>
      <c r="CNZ61">
        <v>1</v>
      </c>
      <c r="COA61">
        <v>1</v>
      </c>
      <c r="COB61">
        <v>1</v>
      </c>
      <c r="COC61">
        <v>1</v>
      </c>
      <c r="COD61">
        <v>1</v>
      </c>
      <c r="COE61">
        <v>1</v>
      </c>
      <c r="COF61">
        <v>1</v>
      </c>
      <c r="COG61">
        <v>1</v>
      </c>
      <c r="COH61">
        <v>1</v>
      </c>
      <c r="COI61">
        <v>1</v>
      </c>
      <c r="COJ61">
        <v>1</v>
      </c>
      <c r="COK61">
        <v>1</v>
      </c>
      <c r="COL61">
        <v>1</v>
      </c>
      <c r="COM61">
        <v>1</v>
      </c>
      <c r="CON61">
        <v>1</v>
      </c>
      <c r="COO61">
        <v>1</v>
      </c>
      <c r="COP61">
        <v>1</v>
      </c>
      <c r="COQ61">
        <v>1</v>
      </c>
      <c r="COR61">
        <v>1</v>
      </c>
      <c r="COS61">
        <v>1</v>
      </c>
      <c r="COT61">
        <v>1</v>
      </c>
      <c r="COU61">
        <v>1</v>
      </c>
      <c r="COV61">
        <v>1</v>
      </c>
      <c r="COW61">
        <v>1</v>
      </c>
      <c r="COX61">
        <v>1</v>
      </c>
      <c r="COY61">
        <v>1</v>
      </c>
      <c r="COZ61">
        <v>1</v>
      </c>
      <c r="CPA61">
        <v>1</v>
      </c>
      <c r="CPB61">
        <v>1</v>
      </c>
      <c r="CPC61">
        <v>1</v>
      </c>
      <c r="CPD61">
        <v>1</v>
      </c>
      <c r="CPE61">
        <v>1</v>
      </c>
      <c r="CPF61">
        <v>1</v>
      </c>
      <c r="CPG61">
        <v>1</v>
      </c>
      <c r="CPH61">
        <v>1</v>
      </c>
      <c r="CPI61">
        <v>1</v>
      </c>
      <c r="CPJ61">
        <v>1</v>
      </c>
      <c r="CPK61">
        <v>1</v>
      </c>
      <c r="CPL61">
        <v>1</v>
      </c>
      <c r="CPM61">
        <v>1</v>
      </c>
      <c r="CPN61">
        <v>1</v>
      </c>
      <c r="CPO61">
        <v>1</v>
      </c>
      <c r="CPP61">
        <v>1</v>
      </c>
      <c r="CPQ61">
        <v>1</v>
      </c>
      <c r="CPR61">
        <v>1</v>
      </c>
      <c r="CPS61">
        <v>1</v>
      </c>
      <c r="CPT61">
        <v>1</v>
      </c>
      <c r="CPU61">
        <v>1</v>
      </c>
      <c r="CPV61">
        <v>1</v>
      </c>
      <c r="CPW61">
        <v>1</v>
      </c>
      <c r="CPX61">
        <v>1</v>
      </c>
      <c r="CPY61">
        <v>1</v>
      </c>
      <c r="CPZ61">
        <v>1</v>
      </c>
      <c r="CQA61">
        <v>1</v>
      </c>
      <c r="CQB61">
        <v>1</v>
      </c>
      <c r="CQC61">
        <v>1</v>
      </c>
      <c r="CQD61">
        <v>1</v>
      </c>
      <c r="CQE61">
        <v>1</v>
      </c>
      <c r="CQF61">
        <v>1</v>
      </c>
      <c r="CQG61">
        <v>1</v>
      </c>
      <c r="CQH61">
        <v>1</v>
      </c>
      <c r="CQI61">
        <v>1</v>
      </c>
      <c r="CQJ61">
        <v>1</v>
      </c>
      <c r="CQK61">
        <v>1</v>
      </c>
      <c r="CQL61">
        <v>1</v>
      </c>
      <c r="CQM61">
        <v>1</v>
      </c>
      <c r="CQN61">
        <v>1</v>
      </c>
      <c r="CQO61">
        <v>1</v>
      </c>
      <c r="CQP61">
        <v>1</v>
      </c>
      <c r="CQQ61">
        <v>1</v>
      </c>
      <c r="CQR61">
        <v>1</v>
      </c>
      <c r="CQS61">
        <v>1</v>
      </c>
      <c r="CQT61">
        <v>1</v>
      </c>
      <c r="CQU61">
        <v>1</v>
      </c>
      <c r="CQV61">
        <v>1</v>
      </c>
      <c r="CQW61">
        <v>1</v>
      </c>
      <c r="CQX61">
        <v>1</v>
      </c>
      <c r="CQY61">
        <v>1</v>
      </c>
      <c r="CQZ61">
        <v>1</v>
      </c>
      <c r="CRA61">
        <v>1</v>
      </c>
      <c r="CRB61">
        <v>1</v>
      </c>
      <c r="CRC61">
        <v>1</v>
      </c>
      <c r="CRD61">
        <v>1</v>
      </c>
      <c r="CRE61">
        <v>1</v>
      </c>
      <c r="CRF61">
        <v>1</v>
      </c>
      <c r="CRG61">
        <v>1</v>
      </c>
      <c r="CRH61">
        <v>1</v>
      </c>
      <c r="CRI61">
        <v>1</v>
      </c>
      <c r="CRJ61">
        <v>1</v>
      </c>
      <c r="CRK61">
        <v>1</v>
      </c>
      <c r="CRL61">
        <v>1</v>
      </c>
      <c r="CRM61">
        <v>1</v>
      </c>
      <c r="CRN61">
        <v>1</v>
      </c>
      <c r="CRO61">
        <v>1</v>
      </c>
      <c r="CRP61">
        <v>1</v>
      </c>
      <c r="CRQ61">
        <v>1</v>
      </c>
      <c r="CRR61">
        <v>1</v>
      </c>
      <c r="CRS61">
        <v>1</v>
      </c>
      <c r="CRT61">
        <v>1</v>
      </c>
      <c r="CRU61">
        <v>1</v>
      </c>
      <c r="CRV61">
        <v>1</v>
      </c>
      <c r="CRW61">
        <v>1</v>
      </c>
      <c r="CRX61">
        <v>1</v>
      </c>
      <c r="CRY61">
        <v>1</v>
      </c>
      <c r="CRZ61">
        <v>1</v>
      </c>
      <c r="CSA61">
        <v>1</v>
      </c>
      <c r="CSB61">
        <v>1</v>
      </c>
      <c r="CSC61">
        <v>1</v>
      </c>
      <c r="CSD61">
        <v>1</v>
      </c>
      <c r="CSE61">
        <v>1</v>
      </c>
      <c r="CSF61">
        <v>1</v>
      </c>
      <c r="CSG61">
        <v>1</v>
      </c>
      <c r="CSH61">
        <v>1</v>
      </c>
      <c r="CSI61">
        <v>1</v>
      </c>
      <c r="CSJ61">
        <v>1</v>
      </c>
      <c r="CSK61">
        <v>1</v>
      </c>
      <c r="CSL61">
        <v>1</v>
      </c>
      <c r="CSM61">
        <v>1</v>
      </c>
      <c r="CSN61">
        <v>1</v>
      </c>
      <c r="CSO61">
        <v>1</v>
      </c>
      <c r="CSP61">
        <v>1</v>
      </c>
      <c r="CSQ61">
        <v>1</v>
      </c>
      <c r="CSR61">
        <v>1</v>
      </c>
      <c r="CSS61">
        <v>1</v>
      </c>
      <c r="CST61">
        <v>1</v>
      </c>
      <c r="CSU61">
        <v>1</v>
      </c>
      <c r="CSV61">
        <v>1</v>
      </c>
      <c r="CSW61">
        <v>1</v>
      </c>
      <c r="CSX61">
        <v>1</v>
      </c>
      <c r="CSY61">
        <v>1</v>
      </c>
      <c r="CSZ61">
        <v>1</v>
      </c>
      <c r="CTA61">
        <v>1</v>
      </c>
      <c r="CTB61">
        <v>1</v>
      </c>
      <c r="CTC61">
        <v>1</v>
      </c>
      <c r="CTD61">
        <v>1</v>
      </c>
      <c r="CTE61">
        <v>1</v>
      </c>
      <c r="CTF61">
        <v>1</v>
      </c>
      <c r="CTG61">
        <v>1</v>
      </c>
      <c r="CTH61">
        <v>1</v>
      </c>
      <c r="CTI61">
        <v>1</v>
      </c>
      <c r="CTJ61">
        <v>1</v>
      </c>
      <c r="CTK61">
        <v>1</v>
      </c>
      <c r="CTL61">
        <v>1</v>
      </c>
      <c r="CTM61">
        <v>1</v>
      </c>
      <c r="CTN61">
        <v>1</v>
      </c>
      <c r="CTO61">
        <v>1</v>
      </c>
      <c r="CTP61">
        <v>1</v>
      </c>
      <c r="CTQ61">
        <v>1</v>
      </c>
      <c r="CTR61">
        <v>1</v>
      </c>
      <c r="CTS61">
        <v>1</v>
      </c>
      <c r="CTT61">
        <v>1</v>
      </c>
      <c r="CTU61">
        <v>1</v>
      </c>
      <c r="CTV61">
        <v>1</v>
      </c>
      <c r="CTW61">
        <v>1</v>
      </c>
      <c r="CTX61">
        <v>1</v>
      </c>
      <c r="CTY61">
        <v>1</v>
      </c>
      <c r="CTZ61">
        <v>1</v>
      </c>
      <c r="CUA61">
        <v>1</v>
      </c>
      <c r="CUB61">
        <v>1</v>
      </c>
      <c r="CUC61">
        <v>1</v>
      </c>
      <c r="CUD61">
        <v>1</v>
      </c>
      <c r="CUE61">
        <v>1</v>
      </c>
      <c r="CUF61">
        <v>1</v>
      </c>
      <c r="CUG61">
        <v>1</v>
      </c>
      <c r="CUH61">
        <v>1</v>
      </c>
      <c r="CUI61">
        <v>1</v>
      </c>
      <c r="CUJ61">
        <v>1</v>
      </c>
      <c r="CUK61">
        <v>1</v>
      </c>
      <c r="CUL61">
        <v>1</v>
      </c>
      <c r="CUM61">
        <v>1</v>
      </c>
      <c r="CUN61">
        <v>1</v>
      </c>
      <c r="CUO61">
        <v>1</v>
      </c>
      <c r="CUP61">
        <v>1</v>
      </c>
      <c r="CUQ61">
        <v>1</v>
      </c>
      <c r="CUR61">
        <v>1</v>
      </c>
      <c r="CUS61">
        <v>1</v>
      </c>
      <c r="CUT61">
        <v>1</v>
      </c>
      <c r="CUU61">
        <v>1</v>
      </c>
      <c r="CUV61">
        <v>1</v>
      </c>
      <c r="CUW61">
        <v>1</v>
      </c>
      <c r="CUX61">
        <v>1</v>
      </c>
      <c r="CUY61">
        <v>1</v>
      </c>
      <c r="CUZ61">
        <v>1</v>
      </c>
      <c r="CVA61">
        <v>1</v>
      </c>
      <c r="CVB61">
        <v>1</v>
      </c>
      <c r="CVC61">
        <v>1</v>
      </c>
      <c r="CVD61">
        <v>1</v>
      </c>
      <c r="CVE61">
        <v>1</v>
      </c>
      <c r="CVF61">
        <v>1</v>
      </c>
      <c r="CVG61">
        <v>1</v>
      </c>
      <c r="CVH61">
        <v>1</v>
      </c>
      <c r="CVI61">
        <v>1</v>
      </c>
      <c r="CVJ61">
        <v>1</v>
      </c>
      <c r="CVK61">
        <v>1</v>
      </c>
      <c r="CVL61">
        <v>1</v>
      </c>
      <c r="CVM61">
        <v>1</v>
      </c>
      <c r="CVN61">
        <v>1</v>
      </c>
      <c r="CVO61">
        <v>1</v>
      </c>
      <c r="CVP61">
        <v>1</v>
      </c>
      <c r="CVQ61">
        <v>1</v>
      </c>
      <c r="CVR61">
        <v>1</v>
      </c>
      <c r="CVS61">
        <v>1</v>
      </c>
      <c r="CVT61">
        <v>1</v>
      </c>
      <c r="CVU61">
        <v>1</v>
      </c>
      <c r="CVV61">
        <v>1</v>
      </c>
      <c r="CVW61">
        <v>1</v>
      </c>
      <c r="CVX61">
        <v>1</v>
      </c>
      <c r="CVY61">
        <v>1</v>
      </c>
      <c r="CVZ61">
        <v>1</v>
      </c>
      <c r="CWA61">
        <v>1</v>
      </c>
      <c r="CWB61">
        <v>1</v>
      </c>
      <c r="CWC61">
        <v>1</v>
      </c>
      <c r="CWD61">
        <v>1</v>
      </c>
      <c r="CWE61">
        <v>1</v>
      </c>
      <c r="CWF61">
        <v>1</v>
      </c>
      <c r="CWG61">
        <v>1</v>
      </c>
      <c r="CWH61">
        <v>1</v>
      </c>
      <c r="CWI61">
        <v>1</v>
      </c>
      <c r="CWJ61">
        <v>1</v>
      </c>
      <c r="CWK61">
        <v>1</v>
      </c>
      <c r="CWL61">
        <v>1</v>
      </c>
      <c r="CWM61">
        <v>1</v>
      </c>
      <c r="CWN61">
        <v>1</v>
      </c>
      <c r="CWO61">
        <v>1</v>
      </c>
      <c r="CWP61">
        <v>1</v>
      </c>
      <c r="CWQ61">
        <v>1</v>
      </c>
      <c r="CWR61">
        <v>1</v>
      </c>
      <c r="CWS61">
        <v>1</v>
      </c>
      <c r="CWT61">
        <v>1</v>
      </c>
      <c r="CWU61">
        <v>1</v>
      </c>
      <c r="CWV61">
        <v>1</v>
      </c>
      <c r="CWW61">
        <v>1</v>
      </c>
      <c r="CWX61">
        <v>1</v>
      </c>
      <c r="CWY61">
        <v>1</v>
      </c>
      <c r="CWZ61">
        <v>1</v>
      </c>
      <c r="CXA61">
        <v>1</v>
      </c>
      <c r="CXB61">
        <v>1</v>
      </c>
      <c r="CXC61">
        <v>1</v>
      </c>
      <c r="CXD61">
        <v>1</v>
      </c>
      <c r="CXE61">
        <v>1</v>
      </c>
      <c r="CXF61">
        <v>1</v>
      </c>
      <c r="CXG61">
        <v>1</v>
      </c>
      <c r="CXH61">
        <v>1</v>
      </c>
      <c r="CXI61">
        <v>1</v>
      </c>
      <c r="CXJ61">
        <v>1</v>
      </c>
      <c r="CXK61">
        <v>1</v>
      </c>
      <c r="CXL61">
        <v>1</v>
      </c>
      <c r="CXM61">
        <v>1</v>
      </c>
      <c r="CXN61">
        <v>1</v>
      </c>
      <c r="CXO61">
        <v>1</v>
      </c>
      <c r="CXP61">
        <v>1</v>
      </c>
      <c r="CXQ61">
        <v>1</v>
      </c>
      <c r="CXR61">
        <v>1</v>
      </c>
      <c r="CXS61">
        <v>1</v>
      </c>
      <c r="CXT61">
        <v>1</v>
      </c>
      <c r="CXU61">
        <v>1</v>
      </c>
      <c r="CXV61">
        <v>1</v>
      </c>
      <c r="CXW61">
        <v>1</v>
      </c>
      <c r="CXX61">
        <v>1</v>
      </c>
      <c r="CXY61">
        <v>1</v>
      </c>
      <c r="CXZ61">
        <v>1</v>
      </c>
      <c r="CYA61">
        <v>1</v>
      </c>
      <c r="CYB61">
        <v>1</v>
      </c>
      <c r="CYC61">
        <v>1</v>
      </c>
      <c r="CYD61">
        <v>1</v>
      </c>
      <c r="CYE61">
        <v>1</v>
      </c>
      <c r="CYF61">
        <v>1</v>
      </c>
      <c r="CYG61">
        <v>1</v>
      </c>
      <c r="CYH61">
        <v>1</v>
      </c>
      <c r="CYI61">
        <v>1</v>
      </c>
      <c r="CYJ61">
        <v>1</v>
      </c>
      <c r="CYK61">
        <v>1</v>
      </c>
      <c r="CYL61">
        <v>1</v>
      </c>
      <c r="CYM61">
        <v>1</v>
      </c>
      <c r="CYN61">
        <v>1</v>
      </c>
      <c r="CYO61">
        <v>1</v>
      </c>
      <c r="CYP61">
        <v>1</v>
      </c>
      <c r="CYQ61">
        <v>1</v>
      </c>
      <c r="CYR61">
        <v>1</v>
      </c>
      <c r="CYS61">
        <v>1</v>
      </c>
      <c r="CYT61">
        <v>1</v>
      </c>
      <c r="CYU61">
        <v>1</v>
      </c>
      <c r="CYV61">
        <v>1</v>
      </c>
      <c r="CYW61">
        <v>1</v>
      </c>
      <c r="CYX61">
        <v>1</v>
      </c>
      <c r="CYY61">
        <v>1</v>
      </c>
      <c r="CYZ61">
        <v>1</v>
      </c>
      <c r="CZA61">
        <v>1</v>
      </c>
      <c r="CZB61">
        <v>1</v>
      </c>
      <c r="CZC61">
        <v>1</v>
      </c>
      <c r="CZD61">
        <v>1</v>
      </c>
      <c r="CZE61">
        <v>1</v>
      </c>
      <c r="CZF61">
        <v>1</v>
      </c>
      <c r="CZG61">
        <v>1</v>
      </c>
      <c r="CZH61">
        <v>1</v>
      </c>
      <c r="CZI61">
        <v>1</v>
      </c>
      <c r="CZJ61">
        <v>1</v>
      </c>
      <c r="CZK61">
        <v>1</v>
      </c>
      <c r="CZL61">
        <v>1</v>
      </c>
      <c r="CZM61">
        <v>1</v>
      </c>
      <c r="CZN61">
        <v>1</v>
      </c>
      <c r="CZO61">
        <v>1</v>
      </c>
      <c r="CZP61">
        <v>1</v>
      </c>
      <c r="CZQ61">
        <v>1</v>
      </c>
      <c r="CZR61">
        <v>1</v>
      </c>
      <c r="CZS61">
        <v>1</v>
      </c>
      <c r="CZT61">
        <v>1</v>
      </c>
      <c r="CZU61">
        <v>1</v>
      </c>
      <c r="CZV61">
        <v>1</v>
      </c>
      <c r="CZW61">
        <v>1</v>
      </c>
      <c r="CZX61">
        <v>1</v>
      </c>
      <c r="CZY61">
        <v>1</v>
      </c>
      <c r="CZZ61">
        <v>1</v>
      </c>
      <c r="DAA61">
        <v>1</v>
      </c>
      <c r="DAB61">
        <v>1</v>
      </c>
      <c r="DAC61">
        <v>1</v>
      </c>
      <c r="DAD61">
        <v>1</v>
      </c>
      <c r="DAE61">
        <v>1</v>
      </c>
      <c r="DAF61">
        <v>1</v>
      </c>
      <c r="DAG61">
        <v>1</v>
      </c>
      <c r="DAH61">
        <v>1</v>
      </c>
      <c r="DAI61">
        <v>1</v>
      </c>
      <c r="DAJ61">
        <v>1</v>
      </c>
      <c r="DAK61">
        <v>1</v>
      </c>
      <c r="DAL61">
        <v>1</v>
      </c>
      <c r="DAM61">
        <v>1</v>
      </c>
      <c r="DAN61">
        <v>1</v>
      </c>
      <c r="DAO61">
        <v>1</v>
      </c>
      <c r="DAP61">
        <v>1</v>
      </c>
      <c r="DAQ61">
        <v>1</v>
      </c>
      <c r="DAR61">
        <v>1</v>
      </c>
      <c r="DAS61">
        <v>1</v>
      </c>
      <c r="DAT61">
        <v>1</v>
      </c>
      <c r="DAU61">
        <v>1</v>
      </c>
      <c r="DAV61">
        <v>1</v>
      </c>
      <c r="DAW61">
        <v>1</v>
      </c>
      <c r="DAX61">
        <v>1</v>
      </c>
      <c r="DAY61">
        <v>1</v>
      </c>
      <c r="DAZ61">
        <v>1</v>
      </c>
      <c r="DBA61">
        <v>1</v>
      </c>
      <c r="DBB61">
        <v>1</v>
      </c>
      <c r="DBC61">
        <v>1</v>
      </c>
      <c r="DBD61">
        <v>1</v>
      </c>
      <c r="DBE61">
        <v>1</v>
      </c>
      <c r="DBF61">
        <v>1</v>
      </c>
      <c r="DBG61">
        <v>1</v>
      </c>
      <c r="DBH61">
        <v>1</v>
      </c>
      <c r="DBI61">
        <v>1</v>
      </c>
      <c r="DBJ61">
        <v>1</v>
      </c>
      <c r="DBK61">
        <v>1</v>
      </c>
      <c r="DBL61">
        <v>1</v>
      </c>
      <c r="DBM61">
        <v>1</v>
      </c>
      <c r="DBN61">
        <v>1</v>
      </c>
      <c r="DBO61">
        <v>1</v>
      </c>
      <c r="DBP61">
        <v>1</v>
      </c>
      <c r="DBQ61">
        <v>1</v>
      </c>
      <c r="DBR61">
        <v>1</v>
      </c>
      <c r="DBS61">
        <v>1</v>
      </c>
      <c r="DBT61">
        <v>1</v>
      </c>
      <c r="DBU61">
        <v>1</v>
      </c>
      <c r="DBV61">
        <v>1</v>
      </c>
      <c r="DBW61">
        <v>1</v>
      </c>
      <c r="DBX61">
        <v>1</v>
      </c>
      <c r="DBY61">
        <v>1</v>
      </c>
      <c r="DBZ61">
        <v>1</v>
      </c>
      <c r="DCA61">
        <v>1</v>
      </c>
      <c r="DCB61">
        <v>1</v>
      </c>
      <c r="DCC61">
        <v>1</v>
      </c>
      <c r="DCD61">
        <v>1</v>
      </c>
      <c r="DCE61">
        <v>1</v>
      </c>
      <c r="DCF61">
        <v>1</v>
      </c>
      <c r="DCG61">
        <v>1</v>
      </c>
      <c r="DCH61">
        <v>1</v>
      </c>
      <c r="DCI61">
        <v>1</v>
      </c>
      <c r="DCJ61">
        <v>1</v>
      </c>
      <c r="DCK61">
        <v>1</v>
      </c>
      <c r="DCL61">
        <v>1</v>
      </c>
      <c r="DCM61">
        <v>1</v>
      </c>
      <c r="DCN61">
        <v>1</v>
      </c>
      <c r="DCO61">
        <v>1</v>
      </c>
      <c r="DCP61">
        <v>1</v>
      </c>
      <c r="DCQ61">
        <v>1</v>
      </c>
      <c r="DCR61">
        <v>1</v>
      </c>
      <c r="DCS61">
        <v>1</v>
      </c>
      <c r="DCT61">
        <v>1</v>
      </c>
      <c r="DCU61">
        <v>1</v>
      </c>
      <c r="DCV61">
        <v>1</v>
      </c>
      <c r="DCW61">
        <v>1</v>
      </c>
      <c r="DCX61">
        <v>1</v>
      </c>
      <c r="DCY61">
        <v>1</v>
      </c>
      <c r="DCZ61">
        <v>1</v>
      </c>
      <c r="DDA61">
        <v>1</v>
      </c>
      <c r="DDB61">
        <v>1</v>
      </c>
      <c r="DDC61">
        <v>1</v>
      </c>
      <c r="DDD61">
        <v>1</v>
      </c>
      <c r="DDE61">
        <v>1</v>
      </c>
      <c r="DDF61">
        <v>1</v>
      </c>
      <c r="DDG61">
        <v>1</v>
      </c>
      <c r="DDH61">
        <v>1</v>
      </c>
      <c r="DDI61">
        <v>1</v>
      </c>
      <c r="DDJ61">
        <v>1</v>
      </c>
      <c r="DDK61">
        <v>1</v>
      </c>
      <c r="DDL61">
        <v>1</v>
      </c>
      <c r="DDM61">
        <v>1</v>
      </c>
      <c r="DDN61">
        <v>1</v>
      </c>
      <c r="DDO61">
        <v>1</v>
      </c>
      <c r="DDP61">
        <v>1</v>
      </c>
      <c r="DDQ61">
        <v>1</v>
      </c>
      <c r="DDR61">
        <v>1</v>
      </c>
      <c r="DDS61">
        <v>1</v>
      </c>
      <c r="DDT61">
        <v>1</v>
      </c>
      <c r="DDU61">
        <v>1</v>
      </c>
      <c r="DDV61">
        <v>1</v>
      </c>
      <c r="DDW61">
        <v>1</v>
      </c>
      <c r="DDX61">
        <v>1</v>
      </c>
      <c r="DDY61">
        <v>1</v>
      </c>
      <c r="DDZ61">
        <v>1</v>
      </c>
      <c r="DEA61">
        <v>1</v>
      </c>
      <c r="DEB61">
        <v>1</v>
      </c>
      <c r="DEC61">
        <v>1</v>
      </c>
      <c r="DED61">
        <v>1</v>
      </c>
      <c r="DEE61">
        <v>1</v>
      </c>
      <c r="DEF61">
        <v>1</v>
      </c>
      <c r="DEG61">
        <v>1</v>
      </c>
      <c r="DEH61">
        <v>1</v>
      </c>
      <c r="DEI61">
        <v>1</v>
      </c>
      <c r="DEJ61">
        <v>1</v>
      </c>
      <c r="DEK61">
        <v>1</v>
      </c>
      <c r="DEL61">
        <v>1</v>
      </c>
      <c r="DEM61">
        <v>1</v>
      </c>
      <c r="DEN61">
        <v>1</v>
      </c>
      <c r="DEO61">
        <v>1</v>
      </c>
      <c r="DEP61">
        <v>1</v>
      </c>
      <c r="DEQ61">
        <v>1</v>
      </c>
      <c r="DER61">
        <v>1</v>
      </c>
      <c r="DES61">
        <v>1</v>
      </c>
      <c r="DET61">
        <v>1</v>
      </c>
      <c r="DEU61">
        <v>1</v>
      </c>
      <c r="DEV61">
        <v>1</v>
      </c>
      <c r="DEW61">
        <v>1</v>
      </c>
      <c r="DEX61">
        <v>1</v>
      </c>
      <c r="DEY61">
        <v>1</v>
      </c>
      <c r="DEZ61">
        <v>1</v>
      </c>
      <c r="DFA61">
        <v>1</v>
      </c>
      <c r="DFB61">
        <v>1</v>
      </c>
      <c r="DFC61">
        <v>1</v>
      </c>
      <c r="DFD61">
        <v>1</v>
      </c>
      <c r="DFE61">
        <v>1</v>
      </c>
      <c r="DFF61">
        <v>1</v>
      </c>
      <c r="DFG61">
        <v>1</v>
      </c>
      <c r="DFH61">
        <v>1</v>
      </c>
      <c r="DFI61">
        <v>1</v>
      </c>
      <c r="DFJ61">
        <v>1</v>
      </c>
      <c r="DFK61">
        <v>1</v>
      </c>
      <c r="DFL61">
        <v>1</v>
      </c>
      <c r="DFM61">
        <v>1</v>
      </c>
      <c r="DFN61">
        <v>1</v>
      </c>
      <c r="DFO61">
        <v>1</v>
      </c>
      <c r="DFP61">
        <v>1</v>
      </c>
      <c r="DFQ61">
        <v>1</v>
      </c>
      <c r="DFR61">
        <v>1</v>
      </c>
      <c r="DFS61">
        <v>1</v>
      </c>
      <c r="DFT61">
        <v>1</v>
      </c>
      <c r="DFU61">
        <v>1</v>
      </c>
      <c r="DFV61">
        <v>1</v>
      </c>
      <c r="DFW61">
        <v>1</v>
      </c>
      <c r="DFX61">
        <v>1</v>
      </c>
      <c r="DFY61">
        <v>1</v>
      </c>
      <c r="DFZ61">
        <v>1</v>
      </c>
      <c r="DGA61">
        <v>1</v>
      </c>
      <c r="DGB61">
        <v>1</v>
      </c>
      <c r="DGC61">
        <v>1</v>
      </c>
      <c r="DGD61">
        <v>1</v>
      </c>
      <c r="DGE61">
        <v>1</v>
      </c>
      <c r="DGF61">
        <v>1</v>
      </c>
      <c r="DGG61">
        <v>1</v>
      </c>
      <c r="DGH61">
        <v>1</v>
      </c>
      <c r="DGI61">
        <v>1</v>
      </c>
      <c r="DGJ61">
        <v>1</v>
      </c>
      <c r="DGK61">
        <v>1</v>
      </c>
      <c r="DGL61">
        <v>1</v>
      </c>
      <c r="DGM61">
        <v>1</v>
      </c>
      <c r="DGN61">
        <v>1</v>
      </c>
      <c r="DGO61">
        <v>1</v>
      </c>
      <c r="DGP61">
        <v>1</v>
      </c>
      <c r="DGQ61">
        <v>1</v>
      </c>
      <c r="DGR61">
        <v>1</v>
      </c>
      <c r="DGS61">
        <v>1</v>
      </c>
      <c r="DGT61">
        <v>1</v>
      </c>
      <c r="DGU61">
        <v>1</v>
      </c>
      <c r="DGV61">
        <v>1</v>
      </c>
      <c r="DGW61">
        <v>1</v>
      </c>
      <c r="DGX61">
        <v>1</v>
      </c>
      <c r="DGY61">
        <v>1</v>
      </c>
      <c r="DGZ61">
        <v>1</v>
      </c>
      <c r="DHA61">
        <v>1</v>
      </c>
      <c r="DHB61">
        <v>1</v>
      </c>
      <c r="DHC61">
        <v>1</v>
      </c>
      <c r="DHD61">
        <v>1</v>
      </c>
      <c r="DHE61">
        <v>1</v>
      </c>
      <c r="DHF61">
        <v>1</v>
      </c>
      <c r="DHG61">
        <v>1</v>
      </c>
      <c r="DHH61">
        <v>1</v>
      </c>
      <c r="DHI61">
        <v>1</v>
      </c>
      <c r="DHJ61">
        <v>1</v>
      </c>
      <c r="DHK61">
        <v>1</v>
      </c>
      <c r="DHL61">
        <v>1</v>
      </c>
      <c r="DHM61">
        <v>1</v>
      </c>
      <c r="DHN61">
        <v>1</v>
      </c>
      <c r="DHO61">
        <v>1</v>
      </c>
      <c r="DHP61">
        <v>1</v>
      </c>
      <c r="DHQ61">
        <v>1</v>
      </c>
      <c r="DHR61">
        <v>1</v>
      </c>
      <c r="DHS61">
        <v>1</v>
      </c>
      <c r="DHT61">
        <v>1</v>
      </c>
      <c r="DHU61">
        <v>1</v>
      </c>
      <c r="DHV61">
        <v>1</v>
      </c>
      <c r="DHW61">
        <v>1</v>
      </c>
      <c r="DHX61">
        <v>1</v>
      </c>
      <c r="DHY61">
        <v>1</v>
      </c>
      <c r="DHZ61">
        <v>1</v>
      </c>
      <c r="DIA61">
        <v>1</v>
      </c>
      <c r="DIB61">
        <v>1</v>
      </c>
      <c r="DIC61">
        <v>1</v>
      </c>
      <c r="DID61">
        <v>1</v>
      </c>
      <c r="DIE61">
        <v>1</v>
      </c>
      <c r="DIF61">
        <v>1</v>
      </c>
      <c r="DIG61">
        <v>1</v>
      </c>
      <c r="DIH61">
        <v>1</v>
      </c>
      <c r="DII61">
        <v>1</v>
      </c>
      <c r="DIJ61">
        <v>1</v>
      </c>
      <c r="DIK61">
        <v>1</v>
      </c>
      <c r="DIL61">
        <v>1</v>
      </c>
      <c r="DIM61">
        <v>1</v>
      </c>
      <c r="DIN61">
        <v>1</v>
      </c>
      <c r="DIO61">
        <v>1</v>
      </c>
      <c r="DIP61">
        <v>1</v>
      </c>
      <c r="DIQ61">
        <v>1</v>
      </c>
      <c r="DIR61">
        <v>1</v>
      </c>
      <c r="DIS61">
        <v>1</v>
      </c>
      <c r="DIT61">
        <v>1</v>
      </c>
      <c r="DIU61">
        <v>1</v>
      </c>
      <c r="DIV61">
        <v>1</v>
      </c>
      <c r="DIW61">
        <v>1</v>
      </c>
      <c r="DIX61">
        <v>1</v>
      </c>
      <c r="DIY61">
        <v>1</v>
      </c>
      <c r="DIZ61">
        <v>1</v>
      </c>
      <c r="DJA61">
        <v>1</v>
      </c>
      <c r="DJB61">
        <v>1</v>
      </c>
      <c r="DJC61">
        <v>1</v>
      </c>
      <c r="DJD61">
        <v>1</v>
      </c>
      <c r="DJE61">
        <v>1</v>
      </c>
      <c r="DJF61">
        <v>1</v>
      </c>
      <c r="DJG61">
        <v>1</v>
      </c>
      <c r="DJH61">
        <v>1</v>
      </c>
      <c r="DJI61">
        <v>1</v>
      </c>
      <c r="DJJ61">
        <v>1</v>
      </c>
      <c r="DJK61">
        <v>1</v>
      </c>
      <c r="DJL61">
        <v>1</v>
      </c>
      <c r="DJM61">
        <v>1</v>
      </c>
      <c r="DJN61">
        <v>1</v>
      </c>
      <c r="DJO61">
        <v>1</v>
      </c>
      <c r="DJP61">
        <v>1</v>
      </c>
      <c r="DJQ61">
        <v>1</v>
      </c>
      <c r="DJR61">
        <v>1</v>
      </c>
      <c r="DJS61">
        <v>1</v>
      </c>
      <c r="DJT61">
        <v>1</v>
      </c>
      <c r="DJU61">
        <v>1</v>
      </c>
      <c r="DJV61">
        <v>1</v>
      </c>
      <c r="DJW61">
        <v>1</v>
      </c>
      <c r="DJX61">
        <v>1</v>
      </c>
      <c r="DJY61">
        <v>1</v>
      </c>
      <c r="DJZ61">
        <v>1</v>
      </c>
      <c r="DKA61">
        <v>1</v>
      </c>
      <c r="DKB61">
        <v>1</v>
      </c>
      <c r="DKC61">
        <v>1</v>
      </c>
      <c r="DKD61">
        <v>1</v>
      </c>
      <c r="DKE61">
        <v>1</v>
      </c>
      <c r="DKF61">
        <v>1</v>
      </c>
      <c r="DKG61">
        <v>1</v>
      </c>
      <c r="DKH61">
        <v>1</v>
      </c>
      <c r="DKI61">
        <v>1</v>
      </c>
      <c r="DKJ61">
        <v>1</v>
      </c>
      <c r="DKK61">
        <v>1</v>
      </c>
      <c r="DKL61">
        <v>1</v>
      </c>
      <c r="DKM61">
        <v>1</v>
      </c>
      <c r="DKN61">
        <v>1</v>
      </c>
      <c r="DKO61">
        <v>1</v>
      </c>
      <c r="DKP61">
        <v>1</v>
      </c>
      <c r="DKQ61">
        <v>1</v>
      </c>
      <c r="DKR61">
        <v>1</v>
      </c>
      <c r="DKS61">
        <v>1</v>
      </c>
      <c r="DKT61">
        <v>1</v>
      </c>
      <c r="DKU61">
        <v>1</v>
      </c>
      <c r="DKV61">
        <v>1</v>
      </c>
      <c r="DKW61">
        <v>1</v>
      </c>
      <c r="DKX61">
        <v>1</v>
      </c>
      <c r="DKY61">
        <v>1</v>
      </c>
      <c r="DKZ61">
        <v>1</v>
      </c>
      <c r="DLA61">
        <v>1</v>
      </c>
      <c r="DLB61">
        <v>1</v>
      </c>
      <c r="DLC61">
        <v>1</v>
      </c>
      <c r="DLD61">
        <v>1</v>
      </c>
      <c r="DLE61">
        <v>1</v>
      </c>
      <c r="DLF61">
        <v>1</v>
      </c>
      <c r="DLG61">
        <v>1</v>
      </c>
      <c r="DLH61">
        <v>1</v>
      </c>
      <c r="DLI61">
        <v>1</v>
      </c>
      <c r="DLJ61">
        <v>1</v>
      </c>
      <c r="DLK61">
        <v>1</v>
      </c>
      <c r="DLL61">
        <v>1</v>
      </c>
      <c r="DLM61">
        <v>1</v>
      </c>
      <c r="DLN61">
        <v>1</v>
      </c>
      <c r="DLO61">
        <v>1</v>
      </c>
      <c r="DLP61">
        <v>1</v>
      </c>
      <c r="DLQ61">
        <v>1</v>
      </c>
      <c r="DLR61">
        <v>1</v>
      </c>
      <c r="DLS61">
        <v>1</v>
      </c>
      <c r="DLT61">
        <v>1</v>
      </c>
      <c r="DLU61">
        <v>1</v>
      </c>
      <c r="DLV61">
        <v>1</v>
      </c>
      <c r="DLW61">
        <v>1</v>
      </c>
      <c r="DLX61">
        <v>1</v>
      </c>
      <c r="DLY61">
        <v>1</v>
      </c>
      <c r="DLZ61">
        <v>1</v>
      </c>
      <c r="DMA61">
        <v>1</v>
      </c>
      <c r="DMB61">
        <v>1</v>
      </c>
      <c r="DMC61">
        <v>1</v>
      </c>
      <c r="DMD61">
        <v>1</v>
      </c>
      <c r="DME61">
        <v>1</v>
      </c>
      <c r="DMF61">
        <v>1</v>
      </c>
      <c r="DMG61">
        <v>1</v>
      </c>
      <c r="DMH61">
        <v>1</v>
      </c>
      <c r="DMI61">
        <v>1</v>
      </c>
      <c r="DMJ61">
        <v>1</v>
      </c>
      <c r="DMK61">
        <v>1</v>
      </c>
      <c r="DML61">
        <v>1</v>
      </c>
      <c r="DMM61">
        <v>1</v>
      </c>
      <c r="DMN61">
        <v>1</v>
      </c>
      <c r="DMO61">
        <v>1</v>
      </c>
      <c r="DMP61">
        <v>1</v>
      </c>
      <c r="DMQ61">
        <v>1</v>
      </c>
      <c r="DMR61">
        <v>1</v>
      </c>
      <c r="DMS61">
        <v>1</v>
      </c>
      <c r="DMT61">
        <v>1</v>
      </c>
      <c r="DMU61">
        <v>1</v>
      </c>
      <c r="DMV61">
        <v>1</v>
      </c>
      <c r="DMW61">
        <v>1</v>
      </c>
      <c r="DMX61">
        <v>1</v>
      </c>
      <c r="DMY61">
        <v>1</v>
      </c>
      <c r="DMZ61">
        <v>1</v>
      </c>
      <c r="DNA61">
        <v>1</v>
      </c>
      <c r="DNB61">
        <v>1</v>
      </c>
      <c r="DNC61">
        <v>1</v>
      </c>
      <c r="DND61">
        <v>1</v>
      </c>
      <c r="DNE61">
        <v>1</v>
      </c>
      <c r="DNF61">
        <v>1</v>
      </c>
      <c r="DNG61">
        <v>1</v>
      </c>
      <c r="DNH61">
        <v>1</v>
      </c>
      <c r="DNI61">
        <v>1</v>
      </c>
      <c r="DNJ61">
        <v>1</v>
      </c>
      <c r="DNK61">
        <v>1</v>
      </c>
      <c r="DNL61">
        <v>1</v>
      </c>
      <c r="DNM61">
        <v>1</v>
      </c>
      <c r="DNN61">
        <v>1</v>
      </c>
      <c r="DNO61">
        <v>1</v>
      </c>
      <c r="DNP61">
        <v>1</v>
      </c>
      <c r="DNQ61">
        <v>1</v>
      </c>
      <c r="DNR61">
        <v>1</v>
      </c>
      <c r="DNS61">
        <v>1</v>
      </c>
      <c r="DNT61">
        <v>1</v>
      </c>
      <c r="DNU61">
        <v>1</v>
      </c>
      <c r="DNV61">
        <v>1</v>
      </c>
      <c r="DNW61">
        <v>1</v>
      </c>
      <c r="DNX61">
        <v>1</v>
      </c>
      <c r="DNY61">
        <v>1</v>
      </c>
      <c r="DNZ61">
        <v>1</v>
      </c>
      <c r="DOA61">
        <v>1</v>
      </c>
      <c r="DOB61">
        <v>1</v>
      </c>
      <c r="DOC61">
        <v>1</v>
      </c>
      <c r="DOD61">
        <v>1</v>
      </c>
      <c r="DOE61">
        <v>1</v>
      </c>
      <c r="DOF61">
        <v>1</v>
      </c>
      <c r="DOG61">
        <v>1</v>
      </c>
      <c r="DOH61">
        <v>1</v>
      </c>
      <c r="DOI61">
        <v>1</v>
      </c>
      <c r="DOJ61">
        <v>1</v>
      </c>
      <c r="DOK61">
        <v>1</v>
      </c>
      <c r="DOL61">
        <v>1</v>
      </c>
      <c r="DOM61">
        <v>1</v>
      </c>
      <c r="DON61">
        <v>1</v>
      </c>
      <c r="DOO61">
        <v>1</v>
      </c>
      <c r="DOP61">
        <v>1</v>
      </c>
      <c r="DOQ61">
        <v>1</v>
      </c>
      <c r="DOR61">
        <v>1</v>
      </c>
      <c r="DOS61">
        <v>1</v>
      </c>
      <c r="DOT61">
        <v>1</v>
      </c>
      <c r="DOU61">
        <v>1</v>
      </c>
      <c r="DOV61">
        <v>1</v>
      </c>
      <c r="DOW61">
        <v>1</v>
      </c>
      <c r="DOX61">
        <v>1</v>
      </c>
      <c r="DOY61">
        <v>1</v>
      </c>
      <c r="DOZ61">
        <v>1</v>
      </c>
      <c r="DPA61">
        <v>1</v>
      </c>
      <c r="DPB61">
        <v>1</v>
      </c>
      <c r="DPC61">
        <v>1</v>
      </c>
      <c r="DPD61">
        <v>1</v>
      </c>
      <c r="DPE61">
        <v>1</v>
      </c>
      <c r="DPF61">
        <v>1</v>
      </c>
      <c r="DPG61">
        <v>1</v>
      </c>
      <c r="DPH61">
        <v>1</v>
      </c>
      <c r="DPI61">
        <v>1</v>
      </c>
      <c r="DPJ61">
        <v>1</v>
      </c>
      <c r="DPK61">
        <v>1</v>
      </c>
      <c r="DPL61">
        <v>1</v>
      </c>
      <c r="DPM61">
        <v>1</v>
      </c>
      <c r="DPN61">
        <v>1</v>
      </c>
      <c r="DPO61">
        <v>1</v>
      </c>
      <c r="DPP61">
        <v>1</v>
      </c>
      <c r="DPQ61">
        <v>1</v>
      </c>
      <c r="DPR61">
        <v>1</v>
      </c>
      <c r="DPS61">
        <v>1</v>
      </c>
      <c r="DPT61">
        <v>1</v>
      </c>
      <c r="DPU61">
        <v>1</v>
      </c>
      <c r="DPV61">
        <v>1</v>
      </c>
      <c r="DPW61">
        <v>1</v>
      </c>
      <c r="DPX61">
        <v>1</v>
      </c>
      <c r="DPY61">
        <v>1</v>
      </c>
      <c r="DPZ61">
        <v>1</v>
      </c>
      <c r="DQA61">
        <v>1</v>
      </c>
      <c r="DQB61">
        <v>1</v>
      </c>
      <c r="DQC61">
        <v>1</v>
      </c>
      <c r="DQD61">
        <v>1</v>
      </c>
      <c r="DQE61">
        <v>1</v>
      </c>
      <c r="DQF61">
        <v>1</v>
      </c>
      <c r="DQG61">
        <v>1</v>
      </c>
      <c r="DQH61">
        <v>1</v>
      </c>
      <c r="DQI61">
        <v>1</v>
      </c>
      <c r="DQJ61">
        <v>1</v>
      </c>
      <c r="DQK61">
        <v>1</v>
      </c>
      <c r="DQL61">
        <v>1</v>
      </c>
      <c r="DQM61">
        <v>1</v>
      </c>
      <c r="DQN61">
        <v>1</v>
      </c>
      <c r="DQO61">
        <v>1</v>
      </c>
      <c r="DQP61">
        <v>1</v>
      </c>
      <c r="DQQ61">
        <v>1</v>
      </c>
      <c r="DQR61">
        <v>1</v>
      </c>
      <c r="DQS61">
        <v>1</v>
      </c>
      <c r="DQT61">
        <v>1</v>
      </c>
      <c r="DQU61">
        <v>1</v>
      </c>
      <c r="DQV61">
        <v>1</v>
      </c>
      <c r="DQW61">
        <v>1</v>
      </c>
      <c r="DQX61">
        <v>1</v>
      </c>
      <c r="DQY61">
        <v>1</v>
      </c>
      <c r="DQZ61">
        <v>1</v>
      </c>
      <c r="DRA61">
        <v>1</v>
      </c>
      <c r="DRB61">
        <v>1</v>
      </c>
      <c r="DRC61">
        <v>1</v>
      </c>
      <c r="DRD61">
        <v>1</v>
      </c>
      <c r="DRE61">
        <v>1</v>
      </c>
      <c r="DRF61">
        <v>1</v>
      </c>
      <c r="DRG61">
        <v>1</v>
      </c>
      <c r="DRH61">
        <v>1</v>
      </c>
      <c r="DRI61">
        <v>1</v>
      </c>
      <c r="DRJ61">
        <v>1</v>
      </c>
      <c r="DRK61">
        <v>1</v>
      </c>
      <c r="DRL61">
        <v>1</v>
      </c>
      <c r="DRM61">
        <v>1</v>
      </c>
      <c r="DRN61">
        <v>1</v>
      </c>
      <c r="DRO61">
        <v>1</v>
      </c>
      <c r="DRP61">
        <v>1</v>
      </c>
      <c r="DRQ61">
        <v>1</v>
      </c>
      <c r="DRR61">
        <v>1</v>
      </c>
      <c r="DRS61">
        <v>1</v>
      </c>
      <c r="DRT61">
        <v>1</v>
      </c>
      <c r="DRU61">
        <v>1</v>
      </c>
      <c r="DRV61">
        <v>1</v>
      </c>
      <c r="DRW61">
        <v>1</v>
      </c>
      <c r="DRX61">
        <v>1</v>
      </c>
      <c r="DRY61">
        <v>1</v>
      </c>
      <c r="DRZ61">
        <v>1</v>
      </c>
      <c r="DSA61">
        <v>1</v>
      </c>
      <c r="DSB61">
        <v>1</v>
      </c>
      <c r="DSC61">
        <v>1</v>
      </c>
      <c r="DSD61">
        <v>1</v>
      </c>
      <c r="DSE61">
        <v>1</v>
      </c>
      <c r="DSF61">
        <v>1</v>
      </c>
      <c r="DSG61">
        <v>1</v>
      </c>
      <c r="DSH61">
        <v>1</v>
      </c>
      <c r="DSI61">
        <v>1</v>
      </c>
      <c r="DSJ61">
        <v>1</v>
      </c>
      <c r="DSK61">
        <v>1</v>
      </c>
      <c r="DSL61">
        <v>1</v>
      </c>
      <c r="DSM61">
        <v>1</v>
      </c>
      <c r="DSN61">
        <v>1</v>
      </c>
      <c r="DSO61">
        <v>1</v>
      </c>
      <c r="DSP61">
        <v>1</v>
      </c>
      <c r="DSQ61">
        <v>1</v>
      </c>
      <c r="DSR61">
        <v>1</v>
      </c>
      <c r="DSS61">
        <v>1</v>
      </c>
      <c r="DST61">
        <v>1</v>
      </c>
      <c r="DSU61">
        <v>1</v>
      </c>
      <c r="DSV61">
        <v>1</v>
      </c>
      <c r="DSW61">
        <v>1</v>
      </c>
      <c r="DSX61">
        <v>1</v>
      </c>
      <c r="DSY61">
        <v>1</v>
      </c>
      <c r="DSZ61">
        <v>1</v>
      </c>
      <c r="DTA61">
        <v>1</v>
      </c>
      <c r="DTB61">
        <v>1</v>
      </c>
      <c r="DTC61">
        <v>1</v>
      </c>
      <c r="DTD61">
        <v>1</v>
      </c>
      <c r="DTE61">
        <v>1</v>
      </c>
      <c r="DTF61">
        <v>1</v>
      </c>
      <c r="DTG61">
        <v>1</v>
      </c>
      <c r="DTH61">
        <v>1</v>
      </c>
      <c r="DTI61">
        <v>1</v>
      </c>
      <c r="DTJ61">
        <v>1</v>
      </c>
      <c r="DTK61">
        <v>1</v>
      </c>
      <c r="DTL61">
        <v>1</v>
      </c>
      <c r="DTM61">
        <v>1</v>
      </c>
      <c r="DTN61">
        <v>1</v>
      </c>
      <c r="DTO61">
        <v>1</v>
      </c>
      <c r="DTP61">
        <v>1</v>
      </c>
      <c r="DTQ61">
        <v>1</v>
      </c>
      <c r="DTR61">
        <v>1</v>
      </c>
      <c r="DTS61">
        <v>1</v>
      </c>
      <c r="DTT61">
        <v>1</v>
      </c>
      <c r="DTU61">
        <v>1</v>
      </c>
      <c r="DTV61">
        <v>1</v>
      </c>
      <c r="DTW61">
        <v>1</v>
      </c>
      <c r="DTX61">
        <v>1</v>
      </c>
      <c r="DTY61">
        <v>1</v>
      </c>
      <c r="DTZ61">
        <v>1</v>
      </c>
      <c r="DUA61">
        <v>1</v>
      </c>
      <c r="DUB61">
        <v>1</v>
      </c>
      <c r="DUC61">
        <v>1</v>
      </c>
      <c r="DUD61">
        <v>1</v>
      </c>
      <c r="DUE61">
        <v>1</v>
      </c>
      <c r="DUF61">
        <v>1</v>
      </c>
      <c r="DUG61">
        <v>1</v>
      </c>
      <c r="DUH61">
        <v>1</v>
      </c>
      <c r="DUI61">
        <v>1</v>
      </c>
      <c r="DUJ61">
        <v>1</v>
      </c>
      <c r="DUK61">
        <v>1</v>
      </c>
      <c r="DUL61">
        <v>1</v>
      </c>
      <c r="DUM61">
        <v>1</v>
      </c>
      <c r="DUN61">
        <v>1</v>
      </c>
      <c r="DUO61">
        <v>1</v>
      </c>
      <c r="DUP61">
        <v>1</v>
      </c>
      <c r="DUQ61">
        <v>1</v>
      </c>
      <c r="DUR61">
        <v>1</v>
      </c>
      <c r="DUS61">
        <v>1</v>
      </c>
      <c r="DUT61">
        <v>1</v>
      </c>
      <c r="DUU61">
        <v>1</v>
      </c>
      <c r="DUV61">
        <v>1</v>
      </c>
      <c r="DUW61">
        <v>1</v>
      </c>
      <c r="DUX61">
        <v>1</v>
      </c>
      <c r="DUY61">
        <v>1</v>
      </c>
      <c r="DUZ61">
        <v>1</v>
      </c>
      <c r="DVA61">
        <v>1</v>
      </c>
      <c r="DVB61">
        <v>1</v>
      </c>
      <c r="DVC61">
        <v>1</v>
      </c>
      <c r="DVD61">
        <v>1</v>
      </c>
      <c r="DVE61">
        <v>1</v>
      </c>
      <c r="DVF61">
        <v>1</v>
      </c>
      <c r="DVG61">
        <v>1</v>
      </c>
      <c r="DVH61">
        <v>1</v>
      </c>
      <c r="DVI61">
        <v>1</v>
      </c>
      <c r="DVJ61">
        <v>1</v>
      </c>
      <c r="DVK61">
        <v>1</v>
      </c>
      <c r="DVL61">
        <v>1</v>
      </c>
      <c r="DVM61">
        <v>1</v>
      </c>
      <c r="DVN61">
        <v>1</v>
      </c>
      <c r="DVO61">
        <v>1</v>
      </c>
      <c r="DVP61">
        <v>1</v>
      </c>
      <c r="DVQ61">
        <v>1</v>
      </c>
      <c r="DVR61">
        <v>1</v>
      </c>
      <c r="DVS61">
        <v>1</v>
      </c>
      <c r="DVT61">
        <v>1</v>
      </c>
      <c r="DVU61">
        <v>1</v>
      </c>
      <c r="DVV61">
        <v>1</v>
      </c>
      <c r="DVW61">
        <v>1</v>
      </c>
      <c r="DVX61">
        <v>1</v>
      </c>
      <c r="DVY61">
        <v>1</v>
      </c>
      <c r="DVZ61">
        <v>1</v>
      </c>
      <c r="DWA61">
        <v>1</v>
      </c>
      <c r="DWB61">
        <v>1</v>
      </c>
      <c r="DWC61">
        <v>1</v>
      </c>
      <c r="DWD61">
        <v>1</v>
      </c>
      <c r="DWE61">
        <v>1</v>
      </c>
      <c r="DWF61">
        <v>1</v>
      </c>
      <c r="DWG61">
        <v>1</v>
      </c>
      <c r="DWH61">
        <v>1</v>
      </c>
      <c r="DWI61">
        <v>1</v>
      </c>
      <c r="DWJ61">
        <v>1</v>
      </c>
      <c r="DWK61">
        <v>1</v>
      </c>
      <c r="DWL61">
        <v>1</v>
      </c>
      <c r="DWM61">
        <v>1</v>
      </c>
      <c r="DWN61">
        <v>1</v>
      </c>
      <c r="DWO61">
        <v>1</v>
      </c>
      <c r="DWP61">
        <v>1</v>
      </c>
      <c r="DWQ61">
        <v>1</v>
      </c>
      <c r="DWR61">
        <v>1</v>
      </c>
      <c r="DWS61">
        <v>1</v>
      </c>
      <c r="DWT61">
        <v>1</v>
      </c>
      <c r="DWU61">
        <v>1</v>
      </c>
      <c r="DWV61">
        <v>1</v>
      </c>
      <c r="DWW61">
        <v>1</v>
      </c>
      <c r="DWX61">
        <v>1</v>
      </c>
      <c r="DWY61">
        <v>1</v>
      </c>
      <c r="DWZ61">
        <v>1</v>
      </c>
      <c r="DXA61">
        <v>1</v>
      </c>
      <c r="DXB61">
        <v>1</v>
      </c>
      <c r="DXC61">
        <v>1</v>
      </c>
      <c r="DXD61">
        <v>1</v>
      </c>
      <c r="DXE61">
        <v>1</v>
      </c>
      <c r="DXF61">
        <v>1</v>
      </c>
      <c r="DXG61">
        <v>1</v>
      </c>
      <c r="DXH61">
        <v>1</v>
      </c>
      <c r="DXI61">
        <v>1</v>
      </c>
      <c r="DXJ61">
        <v>1</v>
      </c>
      <c r="DXK61">
        <v>1</v>
      </c>
      <c r="DXL61">
        <v>1</v>
      </c>
      <c r="DXM61">
        <v>1</v>
      </c>
      <c r="DXN61">
        <v>1</v>
      </c>
      <c r="DXO61">
        <v>1</v>
      </c>
      <c r="DXP61">
        <v>1</v>
      </c>
      <c r="DXQ61">
        <v>1</v>
      </c>
      <c r="DXR61">
        <v>1</v>
      </c>
      <c r="DXS61">
        <v>1</v>
      </c>
      <c r="DXT61">
        <v>1</v>
      </c>
      <c r="DXU61">
        <v>1</v>
      </c>
      <c r="DXV61">
        <v>1</v>
      </c>
      <c r="DXW61">
        <v>1</v>
      </c>
      <c r="DXX61">
        <v>1</v>
      </c>
      <c r="DXY61">
        <v>1</v>
      </c>
      <c r="DXZ61">
        <v>1</v>
      </c>
      <c r="DYA61">
        <v>1</v>
      </c>
      <c r="DYB61">
        <v>1</v>
      </c>
      <c r="DYC61">
        <v>1</v>
      </c>
      <c r="DYD61">
        <v>1</v>
      </c>
      <c r="DYE61">
        <v>1</v>
      </c>
      <c r="DYF61">
        <v>1</v>
      </c>
      <c r="DYG61">
        <v>1</v>
      </c>
      <c r="DYH61">
        <v>1</v>
      </c>
      <c r="DYI61">
        <v>1</v>
      </c>
      <c r="DYJ61">
        <v>1</v>
      </c>
      <c r="DYK61">
        <v>1</v>
      </c>
      <c r="DYL61">
        <v>1</v>
      </c>
      <c r="DYM61">
        <v>1</v>
      </c>
      <c r="DYN61">
        <v>1</v>
      </c>
      <c r="DYO61">
        <v>1</v>
      </c>
      <c r="DYP61">
        <v>1</v>
      </c>
      <c r="DYQ61">
        <v>1</v>
      </c>
      <c r="DYR61">
        <v>1</v>
      </c>
      <c r="DYS61">
        <v>1</v>
      </c>
      <c r="DYT61">
        <v>1</v>
      </c>
      <c r="DYU61">
        <v>1</v>
      </c>
      <c r="DYV61">
        <v>1</v>
      </c>
      <c r="DYW61">
        <v>1</v>
      </c>
      <c r="DYX61">
        <v>1</v>
      </c>
      <c r="DYY61">
        <v>1</v>
      </c>
      <c r="DYZ61">
        <v>1</v>
      </c>
      <c r="DZA61">
        <v>1</v>
      </c>
      <c r="DZB61">
        <v>1</v>
      </c>
      <c r="DZC61">
        <v>1</v>
      </c>
      <c r="DZD61">
        <v>1</v>
      </c>
      <c r="DZE61">
        <v>1</v>
      </c>
      <c r="DZF61">
        <v>1</v>
      </c>
      <c r="DZG61">
        <v>1</v>
      </c>
      <c r="DZH61">
        <v>1</v>
      </c>
      <c r="DZI61">
        <v>1</v>
      </c>
      <c r="DZJ61">
        <v>1</v>
      </c>
      <c r="DZK61">
        <v>1</v>
      </c>
      <c r="DZL61">
        <v>1</v>
      </c>
      <c r="DZM61">
        <v>1</v>
      </c>
      <c r="DZN61">
        <v>1</v>
      </c>
      <c r="DZO61">
        <v>1</v>
      </c>
      <c r="DZP61">
        <v>1</v>
      </c>
      <c r="DZQ61">
        <v>1</v>
      </c>
      <c r="DZR61">
        <v>1</v>
      </c>
      <c r="DZS61">
        <v>1</v>
      </c>
      <c r="DZT61">
        <v>1</v>
      </c>
      <c r="DZU61">
        <v>1</v>
      </c>
      <c r="DZV61">
        <v>1</v>
      </c>
      <c r="DZW61">
        <v>1</v>
      </c>
      <c r="DZX61">
        <v>1</v>
      </c>
      <c r="DZY61">
        <v>1</v>
      </c>
      <c r="DZZ61">
        <v>1</v>
      </c>
      <c r="EAA61">
        <v>1</v>
      </c>
      <c r="EAB61">
        <v>1</v>
      </c>
      <c r="EAC61">
        <v>1</v>
      </c>
      <c r="EAD61">
        <v>1</v>
      </c>
      <c r="EAE61">
        <v>1</v>
      </c>
      <c r="EAF61">
        <v>1</v>
      </c>
      <c r="EAG61">
        <v>1</v>
      </c>
      <c r="EAH61">
        <v>1</v>
      </c>
      <c r="EAI61">
        <v>1</v>
      </c>
      <c r="EAJ61">
        <v>1</v>
      </c>
      <c r="EAK61">
        <v>1</v>
      </c>
      <c r="EAL61">
        <v>1</v>
      </c>
      <c r="EAM61">
        <v>1</v>
      </c>
      <c r="EAN61">
        <v>1</v>
      </c>
      <c r="EAO61">
        <v>1</v>
      </c>
      <c r="EAP61">
        <v>1</v>
      </c>
      <c r="EAQ61">
        <v>1</v>
      </c>
      <c r="EAR61">
        <v>1</v>
      </c>
      <c r="EAS61">
        <v>1</v>
      </c>
      <c r="EAT61">
        <v>1</v>
      </c>
      <c r="EAU61">
        <v>1</v>
      </c>
      <c r="EAV61">
        <v>1</v>
      </c>
      <c r="EAW61">
        <v>1</v>
      </c>
      <c r="EAX61">
        <v>1</v>
      </c>
      <c r="EAY61">
        <v>1</v>
      </c>
      <c r="EAZ61">
        <v>1</v>
      </c>
      <c r="EBA61">
        <v>1</v>
      </c>
      <c r="EBB61">
        <v>1</v>
      </c>
      <c r="EDG61">
        <f>SUMPRODUCT(Constraint_55,Decision_variables)</f>
        <v>33</v>
      </c>
      <c r="EDH61" t="s">
        <v>5265</v>
      </c>
      <c r="EDI61">
        <v>40</v>
      </c>
    </row>
    <row r="62" spans="2:1023 1027:3493" x14ac:dyDescent="0.3">
      <c r="B62" t="s">
        <v>3547</v>
      </c>
      <c r="C62">
        <v>1</v>
      </c>
      <c r="BNC62">
        <v>1</v>
      </c>
      <c r="EDG62">
        <f>SUMPRODUCT(Constraint_56,Decision_variables)</f>
        <v>0</v>
      </c>
      <c r="EDH62" t="s">
        <v>5265</v>
      </c>
      <c r="EDI62">
        <v>1</v>
      </c>
    </row>
    <row r="63" spans="2:1023 1027:3493" x14ac:dyDescent="0.3">
      <c r="B63" t="s">
        <v>3548</v>
      </c>
      <c r="D63">
        <v>1</v>
      </c>
      <c r="BND63">
        <v>1</v>
      </c>
      <c r="EDG63">
        <f>SUMPRODUCT(Constraint_57,Decision_variables)</f>
        <v>0</v>
      </c>
      <c r="EDH63" t="s">
        <v>5265</v>
      </c>
      <c r="EDI63">
        <v>1</v>
      </c>
    </row>
    <row r="64" spans="2:1023 1027:3493" x14ac:dyDescent="0.3">
      <c r="B64" t="s">
        <v>3549</v>
      </c>
      <c r="E64">
        <v>1</v>
      </c>
      <c r="BNE64">
        <v>1</v>
      </c>
      <c r="EDG64">
        <f>SUMPRODUCT(Constraint_58,Decision_variables)</f>
        <v>0</v>
      </c>
      <c r="EDH64" t="s">
        <v>5265</v>
      </c>
      <c r="EDI64">
        <v>1</v>
      </c>
    </row>
    <row r="65" spans="2:21 1722:1737 3491:3493" x14ac:dyDescent="0.3">
      <c r="B65" t="s">
        <v>3550</v>
      </c>
      <c r="F65">
        <v>1</v>
      </c>
      <c r="BNF65">
        <v>1</v>
      </c>
      <c r="EDG65">
        <f>SUMPRODUCT(Constraint_59,Decision_variables)</f>
        <v>0</v>
      </c>
      <c r="EDH65" t="s">
        <v>5265</v>
      </c>
      <c r="EDI65">
        <v>1</v>
      </c>
    </row>
    <row r="66" spans="2:21 1722:1737 3491:3493" x14ac:dyDescent="0.3">
      <c r="B66" t="s">
        <v>3551</v>
      </c>
      <c r="G66">
        <v>1</v>
      </c>
      <c r="BNG66">
        <v>1</v>
      </c>
      <c r="EDG66">
        <f>SUMPRODUCT(Constraint_60,Decision_variables)</f>
        <v>0</v>
      </c>
      <c r="EDH66" t="s">
        <v>5265</v>
      </c>
      <c r="EDI66">
        <v>1</v>
      </c>
    </row>
    <row r="67" spans="2:21 1722:1737 3491:3493" x14ac:dyDescent="0.3">
      <c r="B67" t="s">
        <v>3552</v>
      </c>
      <c r="H67">
        <v>1</v>
      </c>
      <c r="BNH67">
        <v>1</v>
      </c>
      <c r="EDG67">
        <f>SUMPRODUCT(Constraint_61,Decision_variables)</f>
        <v>0</v>
      </c>
      <c r="EDH67" t="s">
        <v>5265</v>
      </c>
      <c r="EDI67">
        <v>1</v>
      </c>
    </row>
    <row r="68" spans="2:21 1722:1737 3491:3493" x14ac:dyDescent="0.3">
      <c r="B68" t="s">
        <v>3553</v>
      </c>
      <c r="I68">
        <v>1</v>
      </c>
      <c r="BNI68">
        <v>1</v>
      </c>
      <c r="EDG68">
        <f>SUMPRODUCT(Constraint_62,Decision_variables)</f>
        <v>0</v>
      </c>
      <c r="EDH68" t="s">
        <v>5265</v>
      </c>
      <c r="EDI68">
        <v>1</v>
      </c>
    </row>
    <row r="69" spans="2:21 1722:1737 3491:3493" x14ac:dyDescent="0.3">
      <c r="B69" t="s">
        <v>3554</v>
      </c>
      <c r="J69">
        <v>1</v>
      </c>
      <c r="BNJ69">
        <v>1</v>
      </c>
      <c r="EDG69">
        <f>SUMPRODUCT(Constraint_63,Decision_variables)</f>
        <v>0</v>
      </c>
      <c r="EDH69" t="s">
        <v>5265</v>
      </c>
      <c r="EDI69">
        <v>1</v>
      </c>
    </row>
    <row r="70" spans="2:21 1722:1737 3491:3493" x14ac:dyDescent="0.3">
      <c r="B70" t="s">
        <v>3555</v>
      </c>
      <c r="K70">
        <v>1</v>
      </c>
      <c r="BNK70">
        <v>1</v>
      </c>
      <c r="EDG70">
        <f>SUMPRODUCT(Constraint_64,Decision_variables)</f>
        <v>0</v>
      </c>
      <c r="EDH70" t="s">
        <v>5265</v>
      </c>
      <c r="EDI70">
        <v>1</v>
      </c>
    </row>
    <row r="71" spans="2:21 1722:1737 3491:3493" x14ac:dyDescent="0.3">
      <c r="B71" t="s">
        <v>3556</v>
      </c>
      <c r="L71">
        <v>1</v>
      </c>
      <c r="BNL71">
        <v>1</v>
      </c>
      <c r="EDG71">
        <f>SUMPRODUCT(Constraint_65,Decision_variables)</f>
        <v>0</v>
      </c>
      <c r="EDH71" t="s">
        <v>5265</v>
      </c>
      <c r="EDI71">
        <v>1</v>
      </c>
    </row>
    <row r="72" spans="2:21 1722:1737 3491:3493" x14ac:dyDescent="0.3">
      <c r="B72" t="s">
        <v>3557</v>
      </c>
      <c r="M72">
        <v>1</v>
      </c>
      <c r="BNM72">
        <v>1</v>
      </c>
      <c r="EDG72">
        <f>SUMPRODUCT(Constraint_66,Decision_variables)</f>
        <v>0</v>
      </c>
      <c r="EDH72" t="s">
        <v>5265</v>
      </c>
      <c r="EDI72">
        <v>1</v>
      </c>
    </row>
    <row r="73" spans="2:21 1722:1737 3491:3493" x14ac:dyDescent="0.3">
      <c r="B73" t="s">
        <v>3558</v>
      </c>
      <c r="N73">
        <v>1</v>
      </c>
      <c r="BNN73">
        <v>1</v>
      </c>
      <c r="EDG73">
        <f>SUMPRODUCT(Constraint_67,Decision_variables)</f>
        <v>1</v>
      </c>
      <c r="EDH73" t="s">
        <v>5265</v>
      </c>
      <c r="EDI73">
        <v>1</v>
      </c>
    </row>
    <row r="74" spans="2:21 1722:1737 3491:3493" x14ac:dyDescent="0.3">
      <c r="B74" t="s">
        <v>3559</v>
      </c>
      <c r="O74">
        <v>1</v>
      </c>
      <c r="BNO74">
        <v>1</v>
      </c>
      <c r="EDG74">
        <f>SUMPRODUCT(Constraint_68,Decision_variables)</f>
        <v>0</v>
      </c>
      <c r="EDH74" t="s">
        <v>5265</v>
      </c>
      <c r="EDI74">
        <v>1</v>
      </c>
    </row>
    <row r="75" spans="2:21 1722:1737 3491:3493" x14ac:dyDescent="0.3">
      <c r="B75" t="s">
        <v>3560</v>
      </c>
      <c r="P75">
        <v>1</v>
      </c>
      <c r="BNP75">
        <v>1</v>
      </c>
      <c r="EDG75">
        <f>SUMPRODUCT(Constraint_69,Decision_variables)</f>
        <v>0</v>
      </c>
      <c r="EDH75" t="s">
        <v>5265</v>
      </c>
      <c r="EDI75">
        <v>1</v>
      </c>
    </row>
    <row r="76" spans="2:21 1722:1737 3491:3493" x14ac:dyDescent="0.3">
      <c r="B76" t="s">
        <v>3561</v>
      </c>
      <c r="Q76">
        <v>1</v>
      </c>
      <c r="BNQ76">
        <v>1</v>
      </c>
      <c r="EDG76">
        <f>SUMPRODUCT(Constraint_70,Decision_variables)</f>
        <v>1</v>
      </c>
      <c r="EDH76" t="s">
        <v>5265</v>
      </c>
      <c r="EDI76">
        <v>1</v>
      </c>
    </row>
    <row r="77" spans="2:21 1722:1737 3491:3493" x14ac:dyDescent="0.3">
      <c r="B77" t="s">
        <v>3562</v>
      </c>
      <c r="R77">
        <v>1</v>
      </c>
      <c r="BNR77">
        <v>1</v>
      </c>
      <c r="EDG77">
        <f>SUMPRODUCT(Constraint_71,Decision_variables)</f>
        <v>0</v>
      </c>
      <c r="EDH77" t="s">
        <v>5265</v>
      </c>
      <c r="EDI77">
        <v>1</v>
      </c>
    </row>
    <row r="78" spans="2:21 1722:1737 3491:3493" x14ac:dyDescent="0.3">
      <c r="B78" t="s">
        <v>3563</v>
      </c>
      <c r="S78">
        <v>1</v>
      </c>
      <c r="BNS78">
        <v>1</v>
      </c>
      <c r="EDG78">
        <f>SUMPRODUCT(Constraint_72,Decision_variables)</f>
        <v>0</v>
      </c>
      <c r="EDH78" t="s">
        <v>5265</v>
      </c>
      <c r="EDI78">
        <v>1</v>
      </c>
    </row>
    <row r="79" spans="2:21 1722:1737 3491:3493" x14ac:dyDescent="0.3">
      <c r="B79" t="s">
        <v>3564</v>
      </c>
      <c r="T79">
        <v>1</v>
      </c>
      <c r="BNT79">
        <v>1</v>
      </c>
      <c r="EDG79">
        <f>SUMPRODUCT(Constraint_73,Decision_variables)</f>
        <v>1</v>
      </c>
      <c r="EDH79" t="s">
        <v>5265</v>
      </c>
      <c r="EDI79">
        <v>1</v>
      </c>
    </row>
    <row r="80" spans="2:21 1722:1737 3491:3493" x14ac:dyDescent="0.3">
      <c r="B80" t="s">
        <v>3565</v>
      </c>
      <c r="U80">
        <v>1</v>
      </c>
      <c r="BNU80">
        <v>1</v>
      </c>
      <c r="EDG80">
        <f>SUMPRODUCT(Constraint_74,Decision_variables)</f>
        <v>0</v>
      </c>
      <c r="EDH80" t="s">
        <v>5265</v>
      </c>
      <c r="EDI80">
        <v>1</v>
      </c>
    </row>
    <row r="81" spans="2:37 1738:1753 3491:3493" x14ac:dyDescent="0.3">
      <c r="B81" t="s">
        <v>3566</v>
      </c>
      <c r="V81">
        <v>1</v>
      </c>
      <c r="BNV81">
        <v>1</v>
      </c>
      <c r="EDG81">
        <f>SUMPRODUCT(Constraint_75,Decision_variables)</f>
        <v>0</v>
      </c>
      <c r="EDH81" t="s">
        <v>5265</v>
      </c>
      <c r="EDI81">
        <v>1</v>
      </c>
    </row>
    <row r="82" spans="2:37 1738:1753 3491:3493" x14ac:dyDescent="0.3">
      <c r="B82" t="s">
        <v>3567</v>
      </c>
      <c r="W82">
        <v>1</v>
      </c>
      <c r="BNW82">
        <v>1</v>
      </c>
      <c r="EDG82">
        <f>SUMPRODUCT(Constraint_76,Decision_variables)</f>
        <v>1</v>
      </c>
      <c r="EDH82" t="s">
        <v>5265</v>
      </c>
      <c r="EDI82">
        <v>1</v>
      </c>
    </row>
    <row r="83" spans="2:37 1738:1753 3491:3493" x14ac:dyDescent="0.3">
      <c r="B83" t="s">
        <v>3568</v>
      </c>
      <c r="X83">
        <v>1</v>
      </c>
      <c r="BNX83">
        <v>1</v>
      </c>
      <c r="EDG83">
        <f>SUMPRODUCT(Constraint_77,Decision_variables)</f>
        <v>0</v>
      </c>
      <c r="EDH83" t="s">
        <v>5265</v>
      </c>
      <c r="EDI83">
        <v>1</v>
      </c>
    </row>
    <row r="84" spans="2:37 1738:1753 3491:3493" x14ac:dyDescent="0.3">
      <c r="B84" t="s">
        <v>3569</v>
      </c>
      <c r="Y84">
        <v>1</v>
      </c>
      <c r="BNY84">
        <v>1</v>
      </c>
      <c r="EDG84">
        <f>SUMPRODUCT(Constraint_78,Decision_variables)</f>
        <v>1</v>
      </c>
      <c r="EDH84" t="s">
        <v>5265</v>
      </c>
      <c r="EDI84">
        <v>1</v>
      </c>
    </row>
    <row r="85" spans="2:37 1738:1753 3491:3493" x14ac:dyDescent="0.3">
      <c r="B85" t="s">
        <v>3570</v>
      </c>
      <c r="Z85">
        <v>1</v>
      </c>
      <c r="BNZ85">
        <v>1</v>
      </c>
      <c r="EDG85">
        <f>SUMPRODUCT(Constraint_79,Decision_variables)</f>
        <v>0</v>
      </c>
      <c r="EDH85" t="s">
        <v>5265</v>
      </c>
      <c r="EDI85">
        <v>1</v>
      </c>
    </row>
    <row r="86" spans="2:37 1738:1753 3491:3493" x14ac:dyDescent="0.3">
      <c r="B86" t="s">
        <v>3571</v>
      </c>
      <c r="AA86">
        <v>1</v>
      </c>
      <c r="BOA86">
        <v>1</v>
      </c>
      <c r="EDG86">
        <f>SUMPRODUCT(Constraint_80,Decision_variables)</f>
        <v>0</v>
      </c>
      <c r="EDH86" t="s">
        <v>5265</v>
      </c>
      <c r="EDI86">
        <v>1</v>
      </c>
    </row>
    <row r="87" spans="2:37 1738:1753 3491:3493" x14ac:dyDescent="0.3">
      <c r="B87" t="s">
        <v>3572</v>
      </c>
      <c r="AB87">
        <v>1</v>
      </c>
      <c r="BOB87">
        <v>1</v>
      </c>
      <c r="EDG87">
        <f>SUMPRODUCT(Constraint_81,Decision_variables)</f>
        <v>0</v>
      </c>
      <c r="EDH87" t="s">
        <v>5265</v>
      </c>
      <c r="EDI87">
        <v>1</v>
      </c>
    </row>
    <row r="88" spans="2:37 1738:1753 3491:3493" x14ac:dyDescent="0.3">
      <c r="B88" t="s">
        <v>3573</v>
      </c>
      <c r="AC88">
        <v>1</v>
      </c>
      <c r="BOC88">
        <v>1</v>
      </c>
      <c r="EDG88">
        <f>SUMPRODUCT(Constraint_82,Decision_variables)</f>
        <v>0</v>
      </c>
      <c r="EDH88" t="s">
        <v>5265</v>
      </c>
      <c r="EDI88">
        <v>1</v>
      </c>
    </row>
    <row r="89" spans="2:37 1738:1753 3491:3493" x14ac:dyDescent="0.3">
      <c r="B89" t="s">
        <v>3574</v>
      </c>
      <c r="AD89">
        <v>1</v>
      </c>
      <c r="BOD89">
        <v>1</v>
      </c>
      <c r="EDG89">
        <f>SUMPRODUCT(Constraint_83,Decision_variables)</f>
        <v>0</v>
      </c>
      <c r="EDH89" t="s">
        <v>5265</v>
      </c>
      <c r="EDI89">
        <v>1</v>
      </c>
    </row>
    <row r="90" spans="2:37 1738:1753 3491:3493" x14ac:dyDescent="0.3">
      <c r="B90" t="s">
        <v>3575</v>
      </c>
      <c r="AE90">
        <v>1</v>
      </c>
      <c r="BOE90">
        <v>1</v>
      </c>
      <c r="EDG90">
        <f>SUMPRODUCT(Constraint_84,Decision_variables)</f>
        <v>1</v>
      </c>
      <c r="EDH90" t="s">
        <v>5265</v>
      </c>
      <c r="EDI90">
        <v>1</v>
      </c>
    </row>
    <row r="91" spans="2:37 1738:1753 3491:3493" x14ac:dyDescent="0.3">
      <c r="B91" t="s">
        <v>3576</v>
      </c>
      <c r="AF91">
        <v>1</v>
      </c>
      <c r="BOF91">
        <v>1</v>
      </c>
      <c r="EDG91">
        <f>SUMPRODUCT(Constraint_85,Decision_variables)</f>
        <v>0</v>
      </c>
      <c r="EDH91" t="s">
        <v>5265</v>
      </c>
      <c r="EDI91">
        <v>1</v>
      </c>
    </row>
    <row r="92" spans="2:37 1738:1753 3491:3493" x14ac:dyDescent="0.3">
      <c r="B92" t="s">
        <v>3577</v>
      </c>
      <c r="AG92">
        <v>1</v>
      </c>
      <c r="BOG92">
        <v>1</v>
      </c>
      <c r="EDG92">
        <f>SUMPRODUCT(Constraint_86,Decision_variables)</f>
        <v>0</v>
      </c>
      <c r="EDH92" t="s">
        <v>5265</v>
      </c>
      <c r="EDI92">
        <v>1</v>
      </c>
    </row>
    <row r="93" spans="2:37 1738:1753 3491:3493" x14ac:dyDescent="0.3">
      <c r="B93" t="s">
        <v>3578</v>
      </c>
      <c r="AH93">
        <v>1</v>
      </c>
      <c r="BOH93">
        <v>1</v>
      </c>
      <c r="EDG93">
        <f>SUMPRODUCT(Constraint_87,Decision_variables)</f>
        <v>0</v>
      </c>
      <c r="EDH93" t="s">
        <v>5265</v>
      </c>
      <c r="EDI93">
        <v>1</v>
      </c>
    </row>
    <row r="94" spans="2:37 1738:1753 3491:3493" x14ac:dyDescent="0.3">
      <c r="B94" t="s">
        <v>3579</v>
      </c>
      <c r="AI94">
        <v>1</v>
      </c>
      <c r="BOI94">
        <v>1</v>
      </c>
      <c r="EDG94">
        <f>SUMPRODUCT(Constraint_88,Decision_variables)</f>
        <v>0</v>
      </c>
      <c r="EDH94" t="s">
        <v>5265</v>
      </c>
      <c r="EDI94">
        <v>1</v>
      </c>
    </row>
    <row r="95" spans="2:37 1738:1753 3491:3493" x14ac:dyDescent="0.3">
      <c r="B95" t="s">
        <v>3580</v>
      </c>
      <c r="AJ95">
        <v>1</v>
      </c>
      <c r="BOJ95">
        <v>1</v>
      </c>
      <c r="EDG95">
        <f>SUMPRODUCT(Constraint_89,Decision_variables)</f>
        <v>0</v>
      </c>
      <c r="EDH95" t="s">
        <v>5265</v>
      </c>
      <c r="EDI95">
        <v>1</v>
      </c>
    </row>
    <row r="96" spans="2:37 1738:1753 3491:3493" x14ac:dyDescent="0.3">
      <c r="B96" t="s">
        <v>3581</v>
      </c>
      <c r="AK96">
        <v>1</v>
      </c>
      <c r="BOK96">
        <v>1</v>
      </c>
      <c r="EDG96">
        <f>SUMPRODUCT(Constraint_90,Decision_variables)</f>
        <v>0</v>
      </c>
      <c r="EDH96" t="s">
        <v>5265</v>
      </c>
      <c r="EDI96">
        <v>1</v>
      </c>
    </row>
    <row r="97" spans="2:53 1754:1769 3491:3493" x14ac:dyDescent="0.3">
      <c r="B97" t="s">
        <v>3582</v>
      </c>
      <c r="AL97">
        <v>1</v>
      </c>
      <c r="BOL97">
        <v>1</v>
      </c>
      <c r="EDG97">
        <f>SUMPRODUCT(Constraint_91,Decision_variables)</f>
        <v>0</v>
      </c>
      <c r="EDH97" t="s">
        <v>5265</v>
      </c>
      <c r="EDI97">
        <v>1</v>
      </c>
    </row>
    <row r="98" spans="2:53 1754:1769 3491:3493" x14ac:dyDescent="0.3">
      <c r="B98" t="s">
        <v>3583</v>
      </c>
      <c r="AM98">
        <v>1</v>
      </c>
      <c r="BOM98">
        <v>1</v>
      </c>
      <c r="EDG98">
        <f>SUMPRODUCT(Constraint_92,Decision_variables)</f>
        <v>0</v>
      </c>
      <c r="EDH98" t="s">
        <v>5265</v>
      </c>
      <c r="EDI98">
        <v>1</v>
      </c>
    </row>
    <row r="99" spans="2:53 1754:1769 3491:3493" x14ac:dyDescent="0.3">
      <c r="B99" t="s">
        <v>3584</v>
      </c>
      <c r="AN99">
        <v>1</v>
      </c>
      <c r="BON99">
        <v>1</v>
      </c>
      <c r="EDG99">
        <f>SUMPRODUCT(Constraint_93,Decision_variables)</f>
        <v>0</v>
      </c>
      <c r="EDH99" t="s">
        <v>5265</v>
      </c>
      <c r="EDI99">
        <v>1</v>
      </c>
    </row>
    <row r="100" spans="2:53 1754:1769 3491:3493" x14ac:dyDescent="0.3">
      <c r="B100" t="s">
        <v>3585</v>
      </c>
      <c r="AO100">
        <v>1</v>
      </c>
      <c r="BOO100">
        <v>1</v>
      </c>
      <c r="EDG100">
        <f>SUMPRODUCT(Constraint_94,Decision_variables)</f>
        <v>0</v>
      </c>
      <c r="EDH100" t="s">
        <v>5265</v>
      </c>
      <c r="EDI100">
        <v>1</v>
      </c>
    </row>
    <row r="101" spans="2:53 1754:1769 3491:3493" x14ac:dyDescent="0.3">
      <c r="B101" t="s">
        <v>3586</v>
      </c>
      <c r="AP101">
        <v>1</v>
      </c>
      <c r="BOP101">
        <v>1</v>
      </c>
      <c r="EDG101">
        <f>SUMPRODUCT(Constraint_95,Decision_variables)</f>
        <v>0</v>
      </c>
      <c r="EDH101" t="s">
        <v>5265</v>
      </c>
      <c r="EDI101">
        <v>1</v>
      </c>
    </row>
    <row r="102" spans="2:53 1754:1769 3491:3493" x14ac:dyDescent="0.3">
      <c r="B102" t="s">
        <v>3587</v>
      </c>
      <c r="AQ102">
        <v>1</v>
      </c>
      <c r="BOQ102">
        <v>1</v>
      </c>
      <c r="EDG102">
        <f>SUMPRODUCT(Constraint_96,Decision_variables)</f>
        <v>1</v>
      </c>
      <c r="EDH102" t="s">
        <v>5265</v>
      </c>
      <c r="EDI102">
        <v>1</v>
      </c>
    </row>
    <row r="103" spans="2:53 1754:1769 3491:3493" x14ac:dyDescent="0.3">
      <c r="B103" t="s">
        <v>3588</v>
      </c>
      <c r="AR103">
        <v>1</v>
      </c>
      <c r="BOR103">
        <v>1</v>
      </c>
      <c r="EDG103">
        <f>SUMPRODUCT(Constraint_97,Decision_variables)</f>
        <v>0</v>
      </c>
      <c r="EDH103" t="s">
        <v>5265</v>
      </c>
      <c r="EDI103">
        <v>1</v>
      </c>
    </row>
    <row r="104" spans="2:53 1754:1769 3491:3493" x14ac:dyDescent="0.3">
      <c r="B104" t="s">
        <v>3589</v>
      </c>
      <c r="AS104">
        <v>1</v>
      </c>
      <c r="BOS104">
        <v>1</v>
      </c>
      <c r="EDG104">
        <f>SUMPRODUCT(Constraint_98,Decision_variables)</f>
        <v>0</v>
      </c>
      <c r="EDH104" t="s">
        <v>5265</v>
      </c>
      <c r="EDI104">
        <v>1</v>
      </c>
    </row>
    <row r="105" spans="2:53 1754:1769 3491:3493" x14ac:dyDescent="0.3">
      <c r="B105" t="s">
        <v>3590</v>
      </c>
      <c r="AT105">
        <v>1</v>
      </c>
      <c r="BOT105">
        <v>1</v>
      </c>
      <c r="EDG105">
        <f>SUMPRODUCT(Constraint_99,Decision_variables)</f>
        <v>1</v>
      </c>
      <c r="EDH105" t="s">
        <v>5265</v>
      </c>
      <c r="EDI105">
        <v>1</v>
      </c>
    </row>
    <row r="106" spans="2:53 1754:1769 3491:3493" x14ac:dyDescent="0.3">
      <c r="B106" t="s">
        <v>3591</v>
      </c>
      <c r="AU106">
        <v>1</v>
      </c>
      <c r="BOU106">
        <v>1</v>
      </c>
      <c r="EDG106">
        <f>SUMPRODUCT(Constraint_100,Decision_variables)</f>
        <v>0</v>
      </c>
      <c r="EDH106" t="s">
        <v>5265</v>
      </c>
      <c r="EDI106">
        <v>1</v>
      </c>
    </row>
    <row r="107" spans="2:53 1754:1769 3491:3493" x14ac:dyDescent="0.3">
      <c r="B107" t="s">
        <v>3592</v>
      </c>
      <c r="AV107">
        <v>1</v>
      </c>
      <c r="BOV107">
        <v>1</v>
      </c>
      <c r="EDG107">
        <f>SUMPRODUCT(Constraint_101,Decision_variables)</f>
        <v>0</v>
      </c>
      <c r="EDH107" t="s">
        <v>5265</v>
      </c>
      <c r="EDI107">
        <v>1</v>
      </c>
    </row>
    <row r="108" spans="2:53 1754:1769 3491:3493" x14ac:dyDescent="0.3">
      <c r="B108" t="s">
        <v>3593</v>
      </c>
      <c r="AW108">
        <v>1</v>
      </c>
      <c r="BOW108">
        <v>1</v>
      </c>
      <c r="EDG108">
        <f>SUMPRODUCT(Constraint_102,Decision_variables)</f>
        <v>0</v>
      </c>
      <c r="EDH108" t="s">
        <v>5265</v>
      </c>
      <c r="EDI108">
        <v>1</v>
      </c>
    </row>
    <row r="109" spans="2:53 1754:1769 3491:3493" x14ac:dyDescent="0.3">
      <c r="B109" t="s">
        <v>3594</v>
      </c>
      <c r="AX109">
        <v>1</v>
      </c>
      <c r="BOX109">
        <v>1</v>
      </c>
      <c r="EDG109">
        <f>SUMPRODUCT(Constraint_103,Decision_variables)</f>
        <v>0</v>
      </c>
      <c r="EDH109" t="s">
        <v>5265</v>
      </c>
      <c r="EDI109">
        <v>1</v>
      </c>
    </row>
    <row r="110" spans="2:53 1754:1769 3491:3493" x14ac:dyDescent="0.3">
      <c r="B110" t="s">
        <v>3595</v>
      </c>
      <c r="AY110">
        <v>1</v>
      </c>
      <c r="BOY110">
        <v>1</v>
      </c>
      <c r="EDG110">
        <f>SUMPRODUCT(Constraint_104,Decision_variables)</f>
        <v>1</v>
      </c>
      <c r="EDH110" t="s">
        <v>5265</v>
      </c>
      <c r="EDI110">
        <v>1</v>
      </c>
    </row>
    <row r="111" spans="2:53 1754:1769 3491:3493" x14ac:dyDescent="0.3">
      <c r="B111" t="s">
        <v>3596</v>
      </c>
      <c r="AZ111">
        <v>1</v>
      </c>
      <c r="BOZ111">
        <v>1</v>
      </c>
      <c r="EDG111">
        <f>SUMPRODUCT(Constraint_105,Decision_variables)</f>
        <v>0</v>
      </c>
      <c r="EDH111" t="s">
        <v>5265</v>
      </c>
      <c r="EDI111">
        <v>1</v>
      </c>
    </row>
    <row r="112" spans="2:53 1754:1769 3491:3493" x14ac:dyDescent="0.3">
      <c r="B112" t="s">
        <v>3597</v>
      </c>
      <c r="BA112">
        <v>1</v>
      </c>
      <c r="BPA112">
        <v>1</v>
      </c>
      <c r="EDG112">
        <f>SUMPRODUCT(Constraint_106,Decision_variables)</f>
        <v>0</v>
      </c>
      <c r="EDH112" t="s">
        <v>5265</v>
      </c>
      <c r="EDI112">
        <v>1</v>
      </c>
    </row>
    <row r="113" spans="2:69 1770:1785 3491:3493" x14ac:dyDescent="0.3">
      <c r="B113" t="s">
        <v>3598</v>
      </c>
      <c r="BB113">
        <v>1</v>
      </c>
      <c r="BPB113">
        <v>1</v>
      </c>
      <c r="EDG113">
        <f>SUMPRODUCT(Constraint_107,Decision_variables)</f>
        <v>1</v>
      </c>
      <c r="EDH113" t="s">
        <v>5265</v>
      </c>
      <c r="EDI113">
        <v>1</v>
      </c>
    </row>
    <row r="114" spans="2:69 1770:1785 3491:3493" x14ac:dyDescent="0.3">
      <c r="B114" t="s">
        <v>3599</v>
      </c>
      <c r="BC114">
        <v>1</v>
      </c>
      <c r="BPC114">
        <v>1</v>
      </c>
      <c r="EDG114">
        <f>SUMPRODUCT(Constraint_108,Decision_variables)</f>
        <v>1</v>
      </c>
      <c r="EDH114" t="s">
        <v>5265</v>
      </c>
      <c r="EDI114">
        <v>1</v>
      </c>
    </row>
    <row r="115" spans="2:69 1770:1785 3491:3493" x14ac:dyDescent="0.3">
      <c r="B115" t="s">
        <v>3600</v>
      </c>
      <c r="BD115">
        <v>1</v>
      </c>
      <c r="BPD115">
        <v>1</v>
      </c>
      <c r="EDG115">
        <f>SUMPRODUCT(Constraint_109,Decision_variables)</f>
        <v>0</v>
      </c>
      <c r="EDH115" t="s">
        <v>5265</v>
      </c>
      <c r="EDI115">
        <v>1</v>
      </c>
    </row>
    <row r="116" spans="2:69 1770:1785 3491:3493" x14ac:dyDescent="0.3">
      <c r="B116" t="s">
        <v>3601</v>
      </c>
      <c r="BE116">
        <v>1</v>
      </c>
      <c r="BPE116">
        <v>1</v>
      </c>
      <c r="EDG116">
        <f>SUMPRODUCT(Constraint_110,Decision_variables)</f>
        <v>0</v>
      </c>
      <c r="EDH116" t="s">
        <v>5265</v>
      </c>
      <c r="EDI116">
        <v>1</v>
      </c>
    </row>
    <row r="117" spans="2:69 1770:1785 3491:3493" x14ac:dyDescent="0.3">
      <c r="B117" t="s">
        <v>3602</v>
      </c>
      <c r="BF117">
        <v>1</v>
      </c>
      <c r="BPF117">
        <v>1</v>
      </c>
      <c r="EDG117">
        <f>SUMPRODUCT(Constraint_111,Decision_variables)</f>
        <v>0</v>
      </c>
      <c r="EDH117" t="s">
        <v>5265</v>
      </c>
      <c r="EDI117">
        <v>1</v>
      </c>
    </row>
    <row r="118" spans="2:69 1770:1785 3491:3493" x14ac:dyDescent="0.3">
      <c r="B118" t="s">
        <v>3603</v>
      </c>
      <c r="BG118">
        <v>1</v>
      </c>
      <c r="BPG118">
        <v>1</v>
      </c>
      <c r="EDG118">
        <f>SUMPRODUCT(Constraint_112,Decision_variables)</f>
        <v>0</v>
      </c>
      <c r="EDH118" t="s">
        <v>5265</v>
      </c>
      <c r="EDI118">
        <v>1</v>
      </c>
    </row>
    <row r="119" spans="2:69 1770:1785 3491:3493" x14ac:dyDescent="0.3">
      <c r="B119" t="s">
        <v>3604</v>
      </c>
      <c r="BH119">
        <v>1</v>
      </c>
      <c r="BPH119">
        <v>1</v>
      </c>
      <c r="EDG119">
        <f>SUMPRODUCT(Constraint_113,Decision_variables)</f>
        <v>0</v>
      </c>
      <c r="EDH119" t="s">
        <v>5265</v>
      </c>
      <c r="EDI119">
        <v>1</v>
      </c>
    </row>
    <row r="120" spans="2:69 1770:1785 3491:3493" x14ac:dyDescent="0.3">
      <c r="B120" t="s">
        <v>3605</v>
      </c>
      <c r="BI120">
        <v>1</v>
      </c>
      <c r="BPI120">
        <v>1</v>
      </c>
      <c r="EDG120">
        <f>SUMPRODUCT(Constraint_114,Decision_variables)</f>
        <v>0</v>
      </c>
      <c r="EDH120" t="s">
        <v>5265</v>
      </c>
      <c r="EDI120">
        <v>1</v>
      </c>
    </row>
    <row r="121" spans="2:69 1770:1785 3491:3493" x14ac:dyDescent="0.3">
      <c r="B121" t="s">
        <v>3606</v>
      </c>
      <c r="BJ121">
        <v>1</v>
      </c>
      <c r="BPJ121">
        <v>1</v>
      </c>
      <c r="EDG121">
        <f>SUMPRODUCT(Constraint_115,Decision_variables)</f>
        <v>0</v>
      </c>
      <c r="EDH121" t="s">
        <v>5265</v>
      </c>
      <c r="EDI121">
        <v>1</v>
      </c>
    </row>
    <row r="122" spans="2:69 1770:1785 3491:3493" x14ac:dyDescent="0.3">
      <c r="B122" t="s">
        <v>3607</v>
      </c>
      <c r="BK122">
        <v>1</v>
      </c>
      <c r="BPK122">
        <v>1</v>
      </c>
      <c r="EDG122">
        <f>SUMPRODUCT(Constraint_116,Decision_variables)</f>
        <v>0</v>
      </c>
      <c r="EDH122" t="s">
        <v>5265</v>
      </c>
      <c r="EDI122">
        <v>1</v>
      </c>
    </row>
    <row r="123" spans="2:69 1770:1785 3491:3493" x14ac:dyDescent="0.3">
      <c r="B123" t="s">
        <v>3608</v>
      </c>
      <c r="BL123">
        <v>1</v>
      </c>
      <c r="BPL123">
        <v>1</v>
      </c>
      <c r="EDG123">
        <f>SUMPRODUCT(Constraint_117,Decision_variables)</f>
        <v>1</v>
      </c>
      <c r="EDH123" t="s">
        <v>5265</v>
      </c>
      <c r="EDI123">
        <v>1</v>
      </c>
    </row>
    <row r="124" spans="2:69 1770:1785 3491:3493" x14ac:dyDescent="0.3">
      <c r="B124" t="s">
        <v>3609</v>
      </c>
      <c r="BM124">
        <v>1</v>
      </c>
      <c r="BPM124">
        <v>1</v>
      </c>
      <c r="EDG124">
        <f>SUMPRODUCT(Constraint_118,Decision_variables)</f>
        <v>0</v>
      </c>
      <c r="EDH124" t="s">
        <v>5265</v>
      </c>
      <c r="EDI124">
        <v>1</v>
      </c>
    </row>
    <row r="125" spans="2:69 1770:1785 3491:3493" x14ac:dyDescent="0.3">
      <c r="B125" t="s">
        <v>3610</v>
      </c>
      <c r="BN125">
        <v>1</v>
      </c>
      <c r="BPN125">
        <v>1</v>
      </c>
      <c r="EDG125">
        <f>SUMPRODUCT(Constraint_119,Decision_variables)</f>
        <v>0</v>
      </c>
      <c r="EDH125" t="s">
        <v>5265</v>
      </c>
      <c r="EDI125">
        <v>1</v>
      </c>
    </row>
    <row r="126" spans="2:69 1770:1785 3491:3493" x14ac:dyDescent="0.3">
      <c r="B126" t="s">
        <v>3611</v>
      </c>
      <c r="BO126">
        <v>1</v>
      </c>
      <c r="BPO126">
        <v>1</v>
      </c>
      <c r="EDG126">
        <f>SUMPRODUCT(Constraint_120,Decision_variables)</f>
        <v>0</v>
      </c>
      <c r="EDH126" t="s">
        <v>5265</v>
      </c>
      <c r="EDI126">
        <v>1</v>
      </c>
    </row>
    <row r="127" spans="2:69 1770:1785 3491:3493" x14ac:dyDescent="0.3">
      <c r="B127" t="s">
        <v>3612</v>
      </c>
      <c r="BP127">
        <v>1</v>
      </c>
      <c r="BPP127">
        <v>1</v>
      </c>
      <c r="EDG127">
        <f>SUMPRODUCT(Constraint_121,Decision_variables)</f>
        <v>0</v>
      </c>
      <c r="EDH127" t="s">
        <v>5265</v>
      </c>
      <c r="EDI127">
        <v>1</v>
      </c>
    </row>
    <row r="128" spans="2:69 1770:1785 3491:3493" x14ac:dyDescent="0.3">
      <c r="B128" t="s">
        <v>3613</v>
      </c>
      <c r="BQ128">
        <v>1</v>
      </c>
      <c r="BPQ128">
        <v>1</v>
      </c>
      <c r="EDG128">
        <f>SUMPRODUCT(Constraint_122,Decision_variables)</f>
        <v>0</v>
      </c>
      <c r="EDH128" t="s">
        <v>5265</v>
      </c>
      <c r="EDI128">
        <v>1</v>
      </c>
    </row>
    <row r="129" spans="2:85 1786:1801 3491:3493" x14ac:dyDescent="0.3">
      <c r="B129" t="s">
        <v>3614</v>
      </c>
      <c r="BR129">
        <v>1</v>
      </c>
      <c r="BPR129">
        <v>1</v>
      </c>
      <c r="EDG129">
        <f>SUMPRODUCT(Constraint_123,Decision_variables)</f>
        <v>0</v>
      </c>
      <c r="EDH129" t="s">
        <v>5265</v>
      </c>
      <c r="EDI129">
        <v>1</v>
      </c>
    </row>
    <row r="130" spans="2:85 1786:1801 3491:3493" x14ac:dyDescent="0.3">
      <c r="B130" t="s">
        <v>3615</v>
      </c>
      <c r="BS130">
        <v>1</v>
      </c>
      <c r="BPS130">
        <v>1</v>
      </c>
      <c r="EDG130">
        <f>SUMPRODUCT(Constraint_124,Decision_variables)</f>
        <v>0</v>
      </c>
      <c r="EDH130" t="s">
        <v>5265</v>
      </c>
      <c r="EDI130">
        <v>1</v>
      </c>
    </row>
    <row r="131" spans="2:85 1786:1801 3491:3493" x14ac:dyDescent="0.3">
      <c r="B131" t="s">
        <v>3616</v>
      </c>
      <c r="BT131">
        <v>1</v>
      </c>
      <c r="BPT131">
        <v>1</v>
      </c>
      <c r="EDG131">
        <f>SUMPRODUCT(Constraint_125,Decision_variables)</f>
        <v>0</v>
      </c>
      <c r="EDH131" t="s">
        <v>5265</v>
      </c>
      <c r="EDI131">
        <v>1</v>
      </c>
    </row>
    <row r="132" spans="2:85 1786:1801 3491:3493" x14ac:dyDescent="0.3">
      <c r="B132" t="s">
        <v>3617</v>
      </c>
      <c r="BU132">
        <v>1</v>
      </c>
      <c r="BPU132">
        <v>1</v>
      </c>
      <c r="EDG132">
        <f>SUMPRODUCT(Constraint_126,Decision_variables)</f>
        <v>0</v>
      </c>
      <c r="EDH132" t="s">
        <v>5265</v>
      </c>
      <c r="EDI132">
        <v>1</v>
      </c>
    </row>
    <row r="133" spans="2:85 1786:1801 3491:3493" x14ac:dyDescent="0.3">
      <c r="B133" t="s">
        <v>3618</v>
      </c>
      <c r="BV133">
        <v>1</v>
      </c>
      <c r="BPV133">
        <v>1</v>
      </c>
      <c r="EDG133">
        <f>SUMPRODUCT(Constraint_127,Decision_variables)</f>
        <v>0</v>
      </c>
      <c r="EDH133" t="s">
        <v>5265</v>
      </c>
      <c r="EDI133">
        <v>1</v>
      </c>
    </row>
    <row r="134" spans="2:85 1786:1801 3491:3493" x14ac:dyDescent="0.3">
      <c r="B134" t="s">
        <v>3619</v>
      </c>
      <c r="BW134">
        <v>1</v>
      </c>
      <c r="BPW134">
        <v>1</v>
      </c>
      <c r="EDG134">
        <f>SUMPRODUCT(Constraint_128,Decision_variables)</f>
        <v>0</v>
      </c>
      <c r="EDH134" t="s">
        <v>5265</v>
      </c>
      <c r="EDI134">
        <v>1</v>
      </c>
    </row>
    <row r="135" spans="2:85 1786:1801 3491:3493" x14ac:dyDescent="0.3">
      <c r="B135" t="s">
        <v>3620</v>
      </c>
      <c r="BX135">
        <v>1</v>
      </c>
      <c r="BPX135">
        <v>1</v>
      </c>
      <c r="EDG135">
        <f>SUMPRODUCT(Constraint_129,Decision_variables)</f>
        <v>0</v>
      </c>
      <c r="EDH135" t="s">
        <v>5265</v>
      </c>
      <c r="EDI135">
        <v>1</v>
      </c>
    </row>
    <row r="136" spans="2:85 1786:1801 3491:3493" x14ac:dyDescent="0.3">
      <c r="B136" t="s">
        <v>3621</v>
      </c>
      <c r="BY136">
        <v>1</v>
      </c>
      <c r="BPY136">
        <v>1</v>
      </c>
      <c r="EDG136">
        <f>SUMPRODUCT(Constraint_130,Decision_variables)</f>
        <v>0</v>
      </c>
      <c r="EDH136" t="s">
        <v>5265</v>
      </c>
      <c r="EDI136">
        <v>1</v>
      </c>
    </row>
    <row r="137" spans="2:85 1786:1801 3491:3493" x14ac:dyDescent="0.3">
      <c r="B137" t="s">
        <v>3622</v>
      </c>
      <c r="BZ137">
        <v>1</v>
      </c>
      <c r="BPZ137">
        <v>1</v>
      </c>
      <c r="EDG137">
        <f>SUMPRODUCT(Constraint_131,Decision_variables)</f>
        <v>0</v>
      </c>
      <c r="EDH137" t="s">
        <v>5265</v>
      </c>
      <c r="EDI137">
        <v>1</v>
      </c>
    </row>
    <row r="138" spans="2:85 1786:1801 3491:3493" x14ac:dyDescent="0.3">
      <c r="B138" t="s">
        <v>3623</v>
      </c>
      <c r="CA138">
        <v>1</v>
      </c>
      <c r="BQA138">
        <v>1</v>
      </c>
      <c r="EDG138">
        <f>SUMPRODUCT(Constraint_132,Decision_variables)</f>
        <v>0</v>
      </c>
      <c r="EDH138" t="s">
        <v>5265</v>
      </c>
      <c r="EDI138">
        <v>1</v>
      </c>
    </row>
    <row r="139" spans="2:85 1786:1801 3491:3493" x14ac:dyDescent="0.3">
      <c r="B139" t="s">
        <v>3624</v>
      </c>
      <c r="CB139">
        <v>1</v>
      </c>
      <c r="BQB139">
        <v>1</v>
      </c>
      <c r="EDG139">
        <f>SUMPRODUCT(Constraint_133,Decision_variables)</f>
        <v>0</v>
      </c>
      <c r="EDH139" t="s">
        <v>5265</v>
      </c>
      <c r="EDI139">
        <v>1</v>
      </c>
    </row>
    <row r="140" spans="2:85 1786:1801 3491:3493" x14ac:dyDescent="0.3">
      <c r="B140" t="s">
        <v>3625</v>
      </c>
      <c r="CC140">
        <v>1</v>
      </c>
      <c r="BQC140">
        <v>1</v>
      </c>
      <c r="EDG140">
        <f>SUMPRODUCT(Constraint_134,Decision_variables)</f>
        <v>0</v>
      </c>
      <c r="EDH140" t="s">
        <v>5265</v>
      </c>
      <c r="EDI140">
        <v>1</v>
      </c>
    </row>
    <row r="141" spans="2:85 1786:1801 3491:3493" x14ac:dyDescent="0.3">
      <c r="B141" t="s">
        <v>3626</v>
      </c>
      <c r="CD141">
        <v>1</v>
      </c>
      <c r="BQD141">
        <v>1</v>
      </c>
      <c r="EDG141">
        <f>SUMPRODUCT(Constraint_135,Decision_variables)</f>
        <v>0</v>
      </c>
      <c r="EDH141" t="s">
        <v>5265</v>
      </c>
      <c r="EDI141">
        <v>1</v>
      </c>
    </row>
    <row r="142" spans="2:85 1786:1801 3491:3493" x14ac:dyDescent="0.3">
      <c r="B142" t="s">
        <v>3627</v>
      </c>
      <c r="CE142">
        <v>1</v>
      </c>
      <c r="BQE142">
        <v>1</v>
      </c>
      <c r="EDG142">
        <f>SUMPRODUCT(Constraint_136,Decision_variables)</f>
        <v>0</v>
      </c>
      <c r="EDH142" t="s">
        <v>5265</v>
      </c>
      <c r="EDI142">
        <v>1</v>
      </c>
    </row>
    <row r="143" spans="2:85 1786:1801 3491:3493" x14ac:dyDescent="0.3">
      <c r="B143" t="s">
        <v>3628</v>
      </c>
      <c r="CF143">
        <v>1</v>
      </c>
      <c r="BQF143">
        <v>1</v>
      </c>
      <c r="EDG143">
        <f>SUMPRODUCT(Constraint_137,Decision_variables)</f>
        <v>1</v>
      </c>
      <c r="EDH143" t="s">
        <v>5265</v>
      </c>
      <c r="EDI143">
        <v>1</v>
      </c>
    </row>
    <row r="144" spans="2:85 1786:1801 3491:3493" x14ac:dyDescent="0.3">
      <c r="B144" t="s">
        <v>3629</v>
      </c>
      <c r="CG144">
        <v>1</v>
      </c>
      <c r="BQG144">
        <v>1</v>
      </c>
      <c r="EDG144">
        <f>SUMPRODUCT(Constraint_138,Decision_variables)</f>
        <v>1</v>
      </c>
      <c r="EDH144" t="s">
        <v>5265</v>
      </c>
      <c r="EDI144">
        <v>1</v>
      </c>
    </row>
    <row r="145" spans="2:101 1802:1817 3491:3493" x14ac:dyDescent="0.3">
      <c r="B145" t="s">
        <v>3630</v>
      </c>
      <c r="CH145">
        <v>1</v>
      </c>
      <c r="BQH145">
        <v>1</v>
      </c>
      <c r="EDG145">
        <f>SUMPRODUCT(Constraint_139,Decision_variables)</f>
        <v>0</v>
      </c>
      <c r="EDH145" t="s">
        <v>5265</v>
      </c>
      <c r="EDI145">
        <v>1</v>
      </c>
    </row>
    <row r="146" spans="2:101 1802:1817 3491:3493" x14ac:dyDescent="0.3">
      <c r="B146" t="s">
        <v>3631</v>
      </c>
      <c r="CI146">
        <v>1</v>
      </c>
      <c r="BQI146">
        <v>1</v>
      </c>
      <c r="EDG146">
        <f>SUMPRODUCT(Constraint_140,Decision_variables)</f>
        <v>0</v>
      </c>
      <c r="EDH146" t="s">
        <v>5265</v>
      </c>
      <c r="EDI146">
        <v>1</v>
      </c>
    </row>
    <row r="147" spans="2:101 1802:1817 3491:3493" x14ac:dyDescent="0.3">
      <c r="B147" t="s">
        <v>3632</v>
      </c>
      <c r="CJ147">
        <v>1</v>
      </c>
      <c r="BQJ147">
        <v>1</v>
      </c>
      <c r="EDG147">
        <f>SUMPRODUCT(Constraint_141,Decision_variables)</f>
        <v>0</v>
      </c>
      <c r="EDH147" t="s">
        <v>5265</v>
      </c>
      <c r="EDI147">
        <v>1</v>
      </c>
    </row>
    <row r="148" spans="2:101 1802:1817 3491:3493" x14ac:dyDescent="0.3">
      <c r="B148" t="s">
        <v>3633</v>
      </c>
      <c r="CK148">
        <v>1</v>
      </c>
      <c r="BQK148">
        <v>1</v>
      </c>
      <c r="EDG148">
        <f>SUMPRODUCT(Constraint_142,Decision_variables)</f>
        <v>0</v>
      </c>
      <c r="EDH148" t="s">
        <v>5265</v>
      </c>
      <c r="EDI148">
        <v>1</v>
      </c>
    </row>
    <row r="149" spans="2:101 1802:1817 3491:3493" x14ac:dyDescent="0.3">
      <c r="B149" t="s">
        <v>3634</v>
      </c>
      <c r="CL149">
        <v>1</v>
      </c>
      <c r="BQL149">
        <v>1</v>
      </c>
      <c r="EDG149">
        <f>SUMPRODUCT(Constraint_143,Decision_variables)</f>
        <v>0</v>
      </c>
      <c r="EDH149" t="s">
        <v>5265</v>
      </c>
      <c r="EDI149">
        <v>1</v>
      </c>
    </row>
    <row r="150" spans="2:101 1802:1817 3491:3493" x14ac:dyDescent="0.3">
      <c r="B150" t="s">
        <v>3635</v>
      </c>
      <c r="CM150">
        <v>1</v>
      </c>
      <c r="BQM150">
        <v>1</v>
      </c>
      <c r="EDG150">
        <f>SUMPRODUCT(Constraint_144,Decision_variables)</f>
        <v>1</v>
      </c>
      <c r="EDH150" t="s">
        <v>5265</v>
      </c>
      <c r="EDI150">
        <v>1</v>
      </c>
    </row>
    <row r="151" spans="2:101 1802:1817 3491:3493" x14ac:dyDescent="0.3">
      <c r="B151" t="s">
        <v>3636</v>
      </c>
      <c r="CN151">
        <v>1</v>
      </c>
      <c r="BQN151">
        <v>1</v>
      </c>
      <c r="EDG151">
        <f>SUMPRODUCT(Constraint_145,Decision_variables)</f>
        <v>0</v>
      </c>
      <c r="EDH151" t="s">
        <v>5265</v>
      </c>
      <c r="EDI151">
        <v>1</v>
      </c>
    </row>
    <row r="152" spans="2:101 1802:1817 3491:3493" x14ac:dyDescent="0.3">
      <c r="B152" t="s">
        <v>3637</v>
      </c>
      <c r="CO152">
        <v>1</v>
      </c>
      <c r="BQO152">
        <v>1</v>
      </c>
      <c r="EDG152">
        <f>SUMPRODUCT(Constraint_146,Decision_variables)</f>
        <v>1</v>
      </c>
      <c r="EDH152" t="s">
        <v>5265</v>
      </c>
      <c r="EDI152">
        <v>1</v>
      </c>
    </row>
    <row r="153" spans="2:101 1802:1817 3491:3493" x14ac:dyDescent="0.3">
      <c r="B153" t="s">
        <v>3638</v>
      </c>
      <c r="CP153">
        <v>1</v>
      </c>
      <c r="BQP153">
        <v>1</v>
      </c>
      <c r="EDG153">
        <f>SUMPRODUCT(Constraint_147,Decision_variables)</f>
        <v>0</v>
      </c>
      <c r="EDH153" t="s">
        <v>5265</v>
      </c>
      <c r="EDI153">
        <v>1</v>
      </c>
    </row>
    <row r="154" spans="2:101 1802:1817 3491:3493" x14ac:dyDescent="0.3">
      <c r="B154" t="s">
        <v>3639</v>
      </c>
      <c r="CQ154">
        <v>1</v>
      </c>
      <c r="BQQ154">
        <v>1</v>
      </c>
      <c r="EDG154">
        <f>SUMPRODUCT(Constraint_148,Decision_variables)</f>
        <v>0</v>
      </c>
      <c r="EDH154" t="s">
        <v>5265</v>
      </c>
      <c r="EDI154">
        <v>1</v>
      </c>
    </row>
    <row r="155" spans="2:101 1802:1817 3491:3493" x14ac:dyDescent="0.3">
      <c r="B155" t="s">
        <v>3640</v>
      </c>
      <c r="CR155">
        <v>1</v>
      </c>
      <c r="BQR155">
        <v>1</v>
      </c>
      <c r="EDG155">
        <f>SUMPRODUCT(Constraint_149,Decision_variables)</f>
        <v>0</v>
      </c>
      <c r="EDH155" t="s">
        <v>5265</v>
      </c>
      <c r="EDI155">
        <v>1</v>
      </c>
    </row>
    <row r="156" spans="2:101 1802:1817 3491:3493" x14ac:dyDescent="0.3">
      <c r="B156" t="s">
        <v>3641</v>
      </c>
      <c r="CS156">
        <v>1</v>
      </c>
      <c r="BQS156">
        <v>1</v>
      </c>
      <c r="EDG156">
        <f>SUMPRODUCT(Constraint_150,Decision_variables)</f>
        <v>0</v>
      </c>
      <c r="EDH156" t="s">
        <v>5265</v>
      </c>
      <c r="EDI156">
        <v>1</v>
      </c>
    </row>
    <row r="157" spans="2:101 1802:1817 3491:3493" x14ac:dyDescent="0.3">
      <c r="B157" t="s">
        <v>3642</v>
      </c>
      <c r="CT157">
        <v>1</v>
      </c>
      <c r="BQT157">
        <v>1</v>
      </c>
      <c r="EDG157">
        <f>SUMPRODUCT(Constraint_151,Decision_variables)</f>
        <v>0</v>
      </c>
      <c r="EDH157" t="s">
        <v>5265</v>
      </c>
      <c r="EDI157">
        <v>1</v>
      </c>
    </row>
    <row r="158" spans="2:101 1802:1817 3491:3493" x14ac:dyDescent="0.3">
      <c r="B158" t="s">
        <v>3643</v>
      </c>
      <c r="CU158">
        <v>1</v>
      </c>
      <c r="BQU158">
        <v>1</v>
      </c>
      <c r="EDG158">
        <f>SUMPRODUCT(Constraint_152,Decision_variables)</f>
        <v>0</v>
      </c>
      <c r="EDH158" t="s">
        <v>5265</v>
      </c>
      <c r="EDI158">
        <v>1</v>
      </c>
    </row>
    <row r="159" spans="2:101 1802:1817 3491:3493" x14ac:dyDescent="0.3">
      <c r="B159" t="s">
        <v>3644</v>
      </c>
      <c r="CV159">
        <v>1</v>
      </c>
      <c r="BQV159">
        <v>1</v>
      </c>
      <c r="EDG159">
        <f>SUMPRODUCT(Constraint_153,Decision_variables)</f>
        <v>0</v>
      </c>
      <c r="EDH159" t="s">
        <v>5265</v>
      </c>
      <c r="EDI159">
        <v>1</v>
      </c>
    </row>
    <row r="160" spans="2:101 1802:1817 3491:3493" x14ac:dyDescent="0.3">
      <c r="B160" t="s">
        <v>3645</v>
      </c>
      <c r="CW160">
        <v>1</v>
      </c>
      <c r="BQW160">
        <v>1</v>
      </c>
      <c r="EDG160">
        <f>SUMPRODUCT(Constraint_154,Decision_variables)</f>
        <v>0</v>
      </c>
      <c r="EDH160" t="s">
        <v>5265</v>
      </c>
      <c r="EDI160">
        <v>1</v>
      </c>
    </row>
    <row r="161" spans="2:117 1818:1833 3491:3493" x14ac:dyDescent="0.3">
      <c r="B161" t="s">
        <v>3646</v>
      </c>
      <c r="CX161">
        <v>1</v>
      </c>
      <c r="BQX161">
        <v>1</v>
      </c>
      <c r="EDG161">
        <f>SUMPRODUCT(Constraint_155,Decision_variables)</f>
        <v>0</v>
      </c>
      <c r="EDH161" t="s">
        <v>5265</v>
      </c>
      <c r="EDI161">
        <v>1</v>
      </c>
    </row>
    <row r="162" spans="2:117 1818:1833 3491:3493" x14ac:dyDescent="0.3">
      <c r="B162" t="s">
        <v>3647</v>
      </c>
      <c r="CY162">
        <v>1</v>
      </c>
      <c r="BQY162">
        <v>1</v>
      </c>
      <c r="EDG162">
        <f>SUMPRODUCT(Constraint_156,Decision_variables)</f>
        <v>0</v>
      </c>
      <c r="EDH162" t="s">
        <v>5265</v>
      </c>
      <c r="EDI162">
        <v>1</v>
      </c>
    </row>
    <row r="163" spans="2:117 1818:1833 3491:3493" x14ac:dyDescent="0.3">
      <c r="B163" t="s">
        <v>3648</v>
      </c>
      <c r="CZ163">
        <v>1</v>
      </c>
      <c r="BQZ163">
        <v>1</v>
      </c>
      <c r="EDG163">
        <f>SUMPRODUCT(Constraint_157,Decision_variables)</f>
        <v>0</v>
      </c>
      <c r="EDH163" t="s">
        <v>5265</v>
      </c>
      <c r="EDI163">
        <v>1</v>
      </c>
    </row>
    <row r="164" spans="2:117 1818:1833 3491:3493" x14ac:dyDescent="0.3">
      <c r="B164" t="s">
        <v>3649</v>
      </c>
      <c r="DA164">
        <v>1</v>
      </c>
      <c r="BRA164">
        <v>1</v>
      </c>
      <c r="EDG164">
        <f>SUMPRODUCT(Constraint_158,Decision_variables)</f>
        <v>0</v>
      </c>
      <c r="EDH164" t="s">
        <v>5265</v>
      </c>
      <c r="EDI164">
        <v>1</v>
      </c>
    </row>
    <row r="165" spans="2:117 1818:1833 3491:3493" x14ac:dyDescent="0.3">
      <c r="B165" t="s">
        <v>3650</v>
      </c>
      <c r="DB165">
        <v>1</v>
      </c>
      <c r="BRB165">
        <v>1</v>
      </c>
      <c r="EDG165">
        <f>SUMPRODUCT(Constraint_159,Decision_variables)</f>
        <v>1</v>
      </c>
      <c r="EDH165" t="s">
        <v>5265</v>
      </c>
      <c r="EDI165">
        <v>1</v>
      </c>
    </row>
    <row r="166" spans="2:117 1818:1833 3491:3493" x14ac:dyDescent="0.3">
      <c r="B166" t="s">
        <v>3651</v>
      </c>
      <c r="DC166">
        <v>1</v>
      </c>
      <c r="BRC166">
        <v>1</v>
      </c>
      <c r="EDG166">
        <f>SUMPRODUCT(Constraint_160,Decision_variables)</f>
        <v>0</v>
      </c>
      <c r="EDH166" t="s">
        <v>5265</v>
      </c>
      <c r="EDI166">
        <v>1</v>
      </c>
    </row>
    <row r="167" spans="2:117 1818:1833 3491:3493" x14ac:dyDescent="0.3">
      <c r="B167" t="s">
        <v>3652</v>
      </c>
      <c r="DD167">
        <v>1</v>
      </c>
      <c r="BRD167">
        <v>1</v>
      </c>
      <c r="EDG167">
        <f>SUMPRODUCT(Constraint_161,Decision_variables)</f>
        <v>0</v>
      </c>
      <c r="EDH167" t="s">
        <v>5265</v>
      </c>
      <c r="EDI167">
        <v>1</v>
      </c>
    </row>
    <row r="168" spans="2:117 1818:1833 3491:3493" x14ac:dyDescent="0.3">
      <c r="B168" t="s">
        <v>3653</v>
      </c>
      <c r="DE168">
        <v>1</v>
      </c>
      <c r="BRE168">
        <v>1</v>
      </c>
      <c r="EDG168">
        <f>SUMPRODUCT(Constraint_162,Decision_variables)</f>
        <v>1</v>
      </c>
      <c r="EDH168" t="s">
        <v>5265</v>
      </c>
      <c r="EDI168">
        <v>1</v>
      </c>
    </row>
    <row r="169" spans="2:117 1818:1833 3491:3493" x14ac:dyDescent="0.3">
      <c r="B169" t="s">
        <v>3654</v>
      </c>
      <c r="DF169">
        <v>1</v>
      </c>
      <c r="BRF169">
        <v>1</v>
      </c>
      <c r="EDG169">
        <f>SUMPRODUCT(Constraint_163,Decision_variables)</f>
        <v>1</v>
      </c>
      <c r="EDH169" t="s">
        <v>5265</v>
      </c>
      <c r="EDI169">
        <v>1</v>
      </c>
    </row>
    <row r="170" spans="2:117 1818:1833 3491:3493" x14ac:dyDescent="0.3">
      <c r="B170" t="s">
        <v>3655</v>
      </c>
      <c r="DG170">
        <v>1</v>
      </c>
      <c r="BRG170">
        <v>1</v>
      </c>
      <c r="EDG170">
        <f>SUMPRODUCT(Constraint_164,Decision_variables)</f>
        <v>0</v>
      </c>
      <c r="EDH170" t="s">
        <v>5265</v>
      </c>
      <c r="EDI170">
        <v>1</v>
      </c>
    </row>
    <row r="171" spans="2:117 1818:1833 3491:3493" x14ac:dyDescent="0.3">
      <c r="B171" t="s">
        <v>3656</v>
      </c>
      <c r="DH171">
        <v>1</v>
      </c>
      <c r="BRH171">
        <v>1</v>
      </c>
      <c r="EDG171">
        <f>SUMPRODUCT(Constraint_165,Decision_variables)</f>
        <v>0</v>
      </c>
      <c r="EDH171" t="s">
        <v>5265</v>
      </c>
      <c r="EDI171">
        <v>1</v>
      </c>
    </row>
    <row r="172" spans="2:117 1818:1833 3491:3493" x14ac:dyDescent="0.3">
      <c r="B172" t="s">
        <v>3657</v>
      </c>
      <c r="DI172">
        <v>1</v>
      </c>
      <c r="BRI172">
        <v>1</v>
      </c>
      <c r="EDG172">
        <f>SUMPRODUCT(Constraint_166,Decision_variables)</f>
        <v>0</v>
      </c>
      <c r="EDH172" t="s">
        <v>5265</v>
      </c>
      <c r="EDI172">
        <v>1</v>
      </c>
    </row>
    <row r="173" spans="2:117 1818:1833 3491:3493" x14ac:dyDescent="0.3">
      <c r="B173" t="s">
        <v>3658</v>
      </c>
      <c r="DJ173">
        <v>1</v>
      </c>
      <c r="BRJ173">
        <v>1</v>
      </c>
      <c r="EDG173">
        <f>SUMPRODUCT(Constraint_167,Decision_variables)</f>
        <v>1</v>
      </c>
      <c r="EDH173" t="s">
        <v>5265</v>
      </c>
      <c r="EDI173">
        <v>1</v>
      </c>
    </row>
    <row r="174" spans="2:117 1818:1833 3491:3493" x14ac:dyDescent="0.3">
      <c r="B174" t="s">
        <v>3659</v>
      </c>
      <c r="DK174">
        <v>1</v>
      </c>
      <c r="BRK174">
        <v>1</v>
      </c>
      <c r="EDG174">
        <f>SUMPRODUCT(Constraint_168,Decision_variables)</f>
        <v>0</v>
      </c>
      <c r="EDH174" t="s">
        <v>5265</v>
      </c>
      <c r="EDI174">
        <v>1</v>
      </c>
    </row>
    <row r="175" spans="2:117 1818:1833 3491:3493" x14ac:dyDescent="0.3">
      <c r="B175" t="s">
        <v>3660</v>
      </c>
      <c r="DL175">
        <v>1</v>
      </c>
      <c r="BRL175">
        <v>1</v>
      </c>
      <c r="EDG175">
        <f>SUMPRODUCT(Constraint_169,Decision_variables)</f>
        <v>0</v>
      </c>
      <c r="EDH175" t="s">
        <v>5265</v>
      </c>
      <c r="EDI175">
        <v>1</v>
      </c>
    </row>
    <row r="176" spans="2:117 1818:1833 3491:3493" x14ac:dyDescent="0.3">
      <c r="B176" t="s">
        <v>3661</v>
      </c>
      <c r="DM176">
        <v>1</v>
      </c>
      <c r="BRM176">
        <v>1</v>
      </c>
      <c r="EDG176">
        <f>SUMPRODUCT(Constraint_170,Decision_variables)</f>
        <v>0</v>
      </c>
      <c r="EDH176" t="s">
        <v>5265</v>
      </c>
      <c r="EDI176">
        <v>1</v>
      </c>
    </row>
    <row r="177" spans="2:133 1834:1849 3491:3493" x14ac:dyDescent="0.3">
      <c r="B177" t="s">
        <v>3662</v>
      </c>
      <c r="DN177">
        <v>1</v>
      </c>
      <c r="BRN177">
        <v>1</v>
      </c>
      <c r="EDG177">
        <f>SUMPRODUCT(Constraint_171,Decision_variables)</f>
        <v>0</v>
      </c>
      <c r="EDH177" t="s">
        <v>5265</v>
      </c>
      <c r="EDI177">
        <v>1</v>
      </c>
    </row>
    <row r="178" spans="2:133 1834:1849 3491:3493" x14ac:dyDescent="0.3">
      <c r="B178" t="s">
        <v>3663</v>
      </c>
      <c r="DO178">
        <v>1</v>
      </c>
      <c r="BRO178">
        <v>1</v>
      </c>
      <c r="EDG178">
        <f>SUMPRODUCT(Constraint_172,Decision_variables)</f>
        <v>0</v>
      </c>
      <c r="EDH178" t="s">
        <v>5265</v>
      </c>
      <c r="EDI178">
        <v>1</v>
      </c>
    </row>
    <row r="179" spans="2:133 1834:1849 3491:3493" x14ac:dyDescent="0.3">
      <c r="B179" t="s">
        <v>3664</v>
      </c>
      <c r="DP179">
        <v>1</v>
      </c>
      <c r="BRP179">
        <v>1</v>
      </c>
      <c r="EDG179">
        <f>SUMPRODUCT(Constraint_173,Decision_variables)</f>
        <v>1</v>
      </c>
      <c r="EDH179" t="s">
        <v>5265</v>
      </c>
      <c r="EDI179">
        <v>1</v>
      </c>
    </row>
    <row r="180" spans="2:133 1834:1849 3491:3493" x14ac:dyDescent="0.3">
      <c r="B180" t="s">
        <v>3665</v>
      </c>
      <c r="DQ180">
        <v>1</v>
      </c>
      <c r="BRQ180">
        <v>1</v>
      </c>
      <c r="EDG180">
        <f>SUMPRODUCT(Constraint_174,Decision_variables)</f>
        <v>0</v>
      </c>
      <c r="EDH180" t="s">
        <v>5265</v>
      </c>
      <c r="EDI180">
        <v>1</v>
      </c>
    </row>
    <row r="181" spans="2:133 1834:1849 3491:3493" x14ac:dyDescent="0.3">
      <c r="B181" t="s">
        <v>3666</v>
      </c>
      <c r="DR181">
        <v>1</v>
      </c>
      <c r="BRR181">
        <v>1</v>
      </c>
      <c r="EDG181">
        <f>SUMPRODUCT(Constraint_175,Decision_variables)</f>
        <v>0</v>
      </c>
      <c r="EDH181" t="s">
        <v>5265</v>
      </c>
      <c r="EDI181">
        <v>1</v>
      </c>
    </row>
    <row r="182" spans="2:133 1834:1849 3491:3493" x14ac:dyDescent="0.3">
      <c r="B182" t="s">
        <v>3667</v>
      </c>
      <c r="DS182">
        <v>1</v>
      </c>
      <c r="BRS182">
        <v>1</v>
      </c>
      <c r="EDG182">
        <f>SUMPRODUCT(Constraint_176,Decision_variables)</f>
        <v>0</v>
      </c>
      <c r="EDH182" t="s">
        <v>5265</v>
      </c>
      <c r="EDI182">
        <v>1</v>
      </c>
    </row>
    <row r="183" spans="2:133 1834:1849 3491:3493" x14ac:dyDescent="0.3">
      <c r="B183" t="s">
        <v>3668</v>
      </c>
      <c r="DT183">
        <v>1</v>
      </c>
      <c r="BRT183">
        <v>1</v>
      </c>
      <c r="EDG183">
        <f>SUMPRODUCT(Constraint_177,Decision_variables)</f>
        <v>1</v>
      </c>
      <c r="EDH183" t="s">
        <v>5265</v>
      </c>
      <c r="EDI183">
        <v>1</v>
      </c>
    </row>
    <row r="184" spans="2:133 1834:1849 3491:3493" x14ac:dyDescent="0.3">
      <c r="B184" t="s">
        <v>3669</v>
      </c>
      <c r="DU184">
        <v>1</v>
      </c>
      <c r="BRU184">
        <v>1</v>
      </c>
      <c r="EDG184">
        <f>SUMPRODUCT(Constraint_178,Decision_variables)</f>
        <v>0</v>
      </c>
      <c r="EDH184" t="s">
        <v>5265</v>
      </c>
      <c r="EDI184">
        <v>1</v>
      </c>
    </row>
    <row r="185" spans="2:133 1834:1849 3491:3493" x14ac:dyDescent="0.3">
      <c r="B185" t="s">
        <v>3670</v>
      </c>
      <c r="DV185">
        <v>1</v>
      </c>
      <c r="BRV185">
        <v>1</v>
      </c>
      <c r="EDG185">
        <f>SUMPRODUCT(Constraint_179,Decision_variables)</f>
        <v>1</v>
      </c>
      <c r="EDH185" t="s">
        <v>5265</v>
      </c>
      <c r="EDI185">
        <v>1</v>
      </c>
    </row>
    <row r="186" spans="2:133 1834:1849 3491:3493" x14ac:dyDescent="0.3">
      <c r="B186" t="s">
        <v>3671</v>
      </c>
      <c r="DW186">
        <v>1</v>
      </c>
      <c r="BRW186">
        <v>1</v>
      </c>
      <c r="EDG186">
        <f>SUMPRODUCT(Constraint_180,Decision_variables)</f>
        <v>0</v>
      </c>
      <c r="EDH186" t="s">
        <v>5265</v>
      </c>
      <c r="EDI186">
        <v>1</v>
      </c>
    </row>
    <row r="187" spans="2:133 1834:1849 3491:3493" x14ac:dyDescent="0.3">
      <c r="B187" t="s">
        <v>3672</v>
      </c>
      <c r="DX187">
        <v>1</v>
      </c>
      <c r="BRX187">
        <v>1</v>
      </c>
      <c r="EDG187">
        <f>SUMPRODUCT(Constraint_181,Decision_variables)</f>
        <v>0</v>
      </c>
      <c r="EDH187" t="s">
        <v>5265</v>
      </c>
      <c r="EDI187">
        <v>1</v>
      </c>
    </row>
    <row r="188" spans="2:133 1834:1849 3491:3493" x14ac:dyDescent="0.3">
      <c r="B188" t="s">
        <v>3673</v>
      </c>
      <c r="DY188">
        <v>1</v>
      </c>
      <c r="BRY188">
        <v>1</v>
      </c>
      <c r="EDG188">
        <f>SUMPRODUCT(Constraint_182,Decision_variables)</f>
        <v>0</v>
      </c>
      <c r="EDH188" t="s">
        <v>5265</v>
      </c>
      <c r="EDI188">
        <v>1</v>
      </c>
    </row>
    <row r="189" spans="2:133 1834:1849 3491:3493" x14ac:dyDescent="0.3">
      <c r="B189" t="s">
        <v>3674</v>
      </c>
      <c r="DZ189">
        <v>1</v>
      </c>
      <c r="BRZ189">
        <v>1</v>
      </c>
      <c r="EDG189">
        <f>SUMPRODUCT(Constraint_183,Decision_variables)</f>
        <v>1</v>
      </c>
      <c r="EDH189" t="s">
        <v>5265</v>
      </c>
      <c r="EDI189">
        <v>1</v>
      </c>
    </row>
    <row r="190" spans="2:133 1834:1849 3491:3493" x14ac:dyDescent="0.3">
      <c r="B190" t="s">
        <v>3675</v>
      </c>
      <c r="EA190">
        <v>1</v>
      </c>
      <c r="BSA190">
        <v>1</v>
      </c>
      <c r="EDG190">
        <f>SUMPRODUCT(Constraint_184,Decision_variables)</f>
        <v>0</v>
      </c>
      <c r="EDH190" t="s">
        <v>5265</v>
      </c>
      <c r="EDI190">
        <v>1</v>
      </c>
    </row>
    <row r="191" spans="2:133 1834:1849 3491:3493" x14ac:dyDescent="0.3">
      <c r="B191" t="s">
        <v>3676</v>
      </c>
      <c r="EB191">
        <v>1</v>
      </c>
      <c r="BSB191">
        <v>1</v>
      </c>
      <c r="EDG191">
        <f>SUMPRODUCT(Constraint_185,Decision_variables)</f>
        <v>0</v>
      </c>
      <c r="EDH191" t="s">
        <v>5265</v>
      </c>
      <c r="EDI191">
        <v>1</v>
      </c>
    </row>
    <row r="192" spans="2:133 1834:1849 3491:3493" x14ac:dyDescent="0.3">
      <c r="B192" t="s">
        <v>3677</v>
      </c>
      <c r="EC192">
        <v>1</v>
      </c>
      <c r="BSC192">
        <v>1</v>
      </c>
      <c r="EDG192">
        <f>SUMPRODUCT(Constraint_186,Decision_variables)</f>
        <v>0</v>
      </c>
      <c r="EDH192" t="s">
        <v>5265</v>
      </c>
      <c r="EDI192">
        <v>1</v>
      </c>
    </row>
    <row r="193" spans="2:149 1850:1865 3491:3493" x14ac:dyDescent="0.3">
      <c r="B193" t="s">
        <v>3678</v>
      </c>
      <c r="ED193">
        <v>1</v>
      </c>
      <c r="BSD193">
        <v>1</v>
      </c>
      <c r="EDG193">
        <f>SUMPRODUCT(Constraint_187,Decision_variables)</f>
        <v>0</v>
      </c>
      <c r="EDH193" t="s">
        <v>5265</v>
      </c>
      <c r="EDI193">
        <v>1</v>
      </c>
    </row>
    <row r="194" spans="2:149 1850:1865 3491:3493" x14ac:dyDescent="0.3">
      <c r="B194" t="s">
        <v>3679</v>
      </c>
      <c r="EE194">
        <v>1</v>
      </c>
      <c r="BSE194">
        <v>1</v>
      </c>
      <c r="EDG194">
        <f>SUMPRODUCT(Constraint_188,Decision_variables)</f>
        <v>0</v>
      </c>
      <c r="EDH194" t="s">
        <v>5265</v>
      </c>
      <c r="EDI194">
        <v>1</v>
      </c>
    </row>
    <row r="195" spans="2:149 1850:1865 3491:3493" x14ac:dyDescent="0.3">
      <c r="B195" t="s">
        <v>3680</v>
      </c>
      <c r="EF195">
        <v>1</v>
      </c>
      <c r="BSF195">
        <v>1</v>
      </c>
      <c r="EDG195">
        <f>SUMPRODUCT(Constraint_189,Decision_variables)</f>
        <v>1</v>
      </c>
      <c r="EDH195" t="s">
        <v>5265</v>
      </c>
      <c r="EDI195">
        <v>1</v>
      </c>
    </row>
    <row r="196" spans="2:149 1850:1865 3491:3493" x14ac:dyDescent="0.3">
      <c r="B196" t="s">
        <v>3681</v>
      </c>
      <c r="EG196">
        <v>1</v>
      </c>
      <c r="BSG196">
        <v>1</v>
      </c>
      <c r="EDG196">
        <f>SUMPRODUCT(Constraint_190,Decision_variables)</f>
        <v>0</v>
      </c>
      <c r="EDH196" t="s">
        <v>5265</v>
      </c>
      <c r="EDI196">
        <v>1</v>
      </c>
    </row>
    <row r="197" spans="2:149 1850:1865 3491:3493" x14ac:dyDescent="0.3">
      <c r="B197" t="s">
        <v>3682</v>
      </c>
      <c r="EH197">
        <v>1</v>
      </c>
      <c r="BSH197">
        <v>1</v>
      </c>
      <c r="EDG197">
        <f>SUMPRODUCT(Constraint_191,Decision_variables)</f>
        <v>1</v>
      </c>
      <c r="EDH197" t="s">
        <v>5265</v>
      </c>
      <c r="EDI197">
        <v>1</v>
      </c>
    </row>
    <row r="198" spans="2:149 1850:1865 3491:3493" x14ac:dyDescent="0.3">
      <c r="B198" t="s">
        <v>3683</v>
      </c>
      <c r="EI198">
        <v>1</v>
      </c>
      <c r="BSI198">
        <v>1</v>
      </c>
      <c r="EDG198">
        <f>SUMPRODUCT(Constraint_192,Decision_variables)</f>
        <v>0</v>
      </c>
      <c r="EDH198" t="s">
        <v>5265</v>
      </c>
      <c r="EDI198">
        <v>1</v>
      </c>
    </row>
    <row r="199" spans="2:149 1850:1865 3491:3493" x14ac:dyDescent="0.3">
      <c r="B199" t="s">
        <v>3684</v>
      </c>
      <c r="EJ199">
        <v>1</v>
      </c>
      <c r="BSJ199">
        <v>1</v>
      </c>
      <c r="EDG199">
        <f>SUMPRODUCT(Constraint_193,Decision_variables)</f>
        <v>0</v>
      </c>
      <c r="EDH199" t="s">
        <v>5265</v>
      </c>
      <c r="EDI199">
        <v>1</v>
      </c>
    </row>
    <row r="200" spans="2:149 1850:1865 3491:3493" x14ac:dyDescent="0.3">
      <c r="B200" t="s">
        <v>3685</v>
      </c>
      <c r="EK200">
        <v>1</v>
      </c>
      <c r="BSK200">
        <v>1</v>
      </c>
      <c r="EDG200">
        <f>SUMPRODUCT(Constraint_194,Decision_variables)</f>
        <v>0</v>
      </c>
      <c r="EDH200" t="s">
        <v>5265</v>
      </c>
      <c r="EDI200">
        <v>1</v>
      </c>
    </row>
    <row r="201" spans="2:149 1850:1865 3491:3493" x14ac:dyDescent="0.3">
      <c r="B201" t="s">
        <v>3686</v>
      </c>
      <c r="EL201">
        <v>1</v>
      </c>
      <c r="BSL201">
        <v>1</v>
      </c>
      <c r="EDG201">
        <f>SUMPRODUCT(Constraint_195,Decision_variables)</f>
        <v>0</v>
      </c>
      <c r="EDH201" t="s">
        <v>5265</v>
      </c>
      <c r="EDI201">
        <v>1</v>
      </c>
    </row>
    <row r="202" spans="2:149 1850:1865 3491:3493" x14ac:dyDescent="0.3">
      <c r="B202" t="s">
        <v>3687</v>
      </c>
      <c r="EM202">
        <v>1</v>
      </c>
      <c r="BSM202">
        <v>1</v>
      </c>
      <c r="EDG202">
        <f>SUMPRODUCT(Constraint_196,Decision_variables)</f>
        <v>0</v>
      </c>
      <c r="EDH202" t="s">
        <v>5265</v>
      </c>
      <c r="EDI202">
        <v>1</v>
      </c>
    </row>
    <row r="203" spans="2:149 1850:1865 3491:3493" x14ac:dyDescent="0.3">
      <c r="B203" t="s">
        <v>3688</v>
      </c>
      <c r="EN203">
        <v>1</v>
      </c>
      <c r="BSN203">
        <v>1</v>
      </c>
      <c r="EDG203">
        <f>SUMPRODUCT(Constraint_197,Decision_variables)</f>
        <v>0</v>
      </c>
      <c r="EDH203" t="s">
        <v>5265</v>
      </c>
      <c r="EDI203">
        <v>1</v>
      </c>
    </row>
    <row r="204" spans="2:149 1850:1865 3491:3493" x14ac:dyDescent="0.3">
      <c r="B204" t="s">
        <v>3689</v>
      </c>
      <c r="EO204">
        <v>1</v>
      </c>
      <c r="BSO204">
        <v>1</v>
      </c>
      <c r="EDG204">
        <f>SUMPRODUCT(Constraint_198,Decision_variables)</f>
        <v>0</v>
      </c>
      <c r="EDH204" t="s">
        <v>5265</v>
      </c>
      <c r="EDI204">
        <v>1</v>
      </c>
    </row>
    <row r="205" spans="2:149 1850:1865 3491:3493" x14ac:dyDescent="0.3">
      <c r="B205" t="s">
        <v>3690</v>
      </c>
      <c r="EP205">
        <v>1</v>
      </c>
      <c r="BSP205">
        <v>1</v>
      </c>
      <c r="EDG205">
        <f>SUMPRODUCT(Constraint_199,Decision_variables)</f>
        <v>0</v>
      </c>
      <c r="EDH205" t="s">
        <v>5265</v>
      </c>
      <c r="EDI205">
        <v>1</v>
      </c>
    </row>
    <row r="206" spans="2:149 1850:1865 3491:3493" x14ac:dyDescent="0.3">
      <c r="B206" t="s">
        <v>3691</v>
      </c>
      <c r="EQ206">
        <v>1</v>
      </c>
      <c r="BSQ206">
        <v>1</v>
      </c>
      <c r="EDG206">
        <f>SUMPRODUCT(Constraint_200,Decision_variables)</f>
        <v>0</v>
      </c>
      <c r="EDH206" t="s">
        <v>5265</v>
      </c>
      <c r="EDI206">
        <v>1</v>
      </c>
    </row>
    <row r="207" spans="2:149 1850:1865 3491:3493" x14ac:dyDescent="0.3">
      <c r="B207" t="s">
        <v>3692</v>
      </c>
      <c r="ER207">
        <v>1</v>
      </c>
      <c r="BSR207">
        <v>1</v>
      </c>
      <c r="EDG207">
        <f>SUMPRODUCT(Constraint_201,Decision_variables)</f>
        <v>0</v>
      </c>
      <c r="EDH207" t="s">
        <v>5265</v>
      </c>
      <c r="EDI207">
        <v>1</v>
      </c>
    </row>
    <row r="208" spans="2:149 1850:1865 3491:3493" x14ac:dyDescent="0.3">
      <c r="B208" t="s">
        <v>3693</v>
      </c>
      <c r="ES208">
        <v>1</v>
      </c>
      <c r="BSS208">
        <v>1</v>
      </c>
      <c r="EDG208">
        <f>SUMPRODUCT(Constraint_202,Decision_variables)</f>
        <v>0</v>
      </c>
      <c r="EDH208" t="s">
        <v>5265</v>
      </c>
      <c r="EDI208">
        <v>1</v>
      </c>
    </row>
    <row r="209" spans="2:165 1866:1881 3491:3493" x14ac:dyDescent="0.3">
      <c r="B209" t="s">
        <v>3694</v>
      </c>
      <c r="ET209">
        <v>1</v>
      </c>
      <c r="BST209">
        <v>1</v>
      </c>
      <c r="EDG209">
        <f>SUMPRODUCT(Constraint_203,Decision_variables)</f>
        <v>0</v>
      </c>
      <c r="EDH209" t="s">
        <v>5265</v>
      </c>
      <c r="EDI209">
        <v>1</v>
      </c>
    </row>
    <row r="210" spans="2:165 1866:1881 3491:3493" x14ac:dyDescent="0.3">
      <c r="B210" t="s">
        <v>3695</v>
      </c>
      <c r="EU210">
        <v>1</v>
      </c>
      <c r="BSU210">
        <v>1</v>
      </c>
      <c r="EDG210">
        <f>SUMPRODUCT(Constraint_204,Decision_variables)</f>
        <v>0</v>
      </c>
      <c r="EDH210" t="s">
        <v>5265</v>
      </c>
      <c r="EDI210">
        <v>1</v>
      </c>
    </row>
    <row r="211" spans="2:165 1866:1881 3491:3493" x14ac:dyDescent="0.3">
      <c r="B211" t="s">
        <v>3696</v>
      </c>
      <c r="EV211">
        <v>1</v>
      </c>
      <c r="BSV211">
        <v>1</v>
      </c>
      <c r="EDG211">
        <f>SUMPRODUCT(Constraint_205,Decision_variables)</f>
        <v>0</v>
      </c>
      <c r="EDH211" t="s">
        <v>5265</v>
      </c>
      <c r="EDI211">
        <v>1</v>
      </c>
    </row>
    <row r="212" spans="2:165 1866:1881 3491:3493" x14ac:dyDescent="0.3">
      <c r="B212" t="s">
        <v>3697</v>
      </c>
      <c r="EW212">
        <v>1</v>
      </c>
      <c r="BSW212">
        <v>1</v>
      </c>
      <c r="EDG212">
        <f>SUMPRODUCT(Constraint_206,Decision_variables)</f>
        <v>0</v>
      </c>
      <c r="EDH212" t="s">
        <v>5265</v>
      </c>
      <c r="EDI212">
        <v>1</v>
      </c>
    </row>
    <row r="213" spans="2:165 1866:1881 3491:3493" x14ac:dyDescent="0.3">
      <c r="B213" t="s">
        <v>3698</v>
      </c>
      <c r="EX213">
        <v>1</v>
      </c>
      <c r="BSX213">
        <v>1</v>
      </c>
      <c r="EDG213">
        <f>SUMPRODUCT(Constraint_207,Decision_variables)</f>
        <v>0</v>
      </c>
      <c r="EDH213" t="s">
        <v>5265</v>
      </c>
      <c r="EDI213">
        <v>1</v>
      </c>
    </row>
    <row r="214" spans="2:165 1866:1881 3491:3493" x14ac:dyDescent="0.3">
      <c r="B214" t="s">
        <v>3699</v>
      </c>
      <c r="EY214">
        <v>1</v>
      </c>
      <c r="BSY214">
        <v>1</v>
      </c>
      <c r="EDG214">
        <f>SUMPRODUCT(Constraint_208,Decision_variables)</f>
        <v>0</v>
      </c>
      <c r="EDH214" t="s">
        <v>5265</v>
      </c>
      <c r="EDI214">
        <v>1</v>
      </c>
    </row>
    <row r="215" spans="2:165 1866:1881 3491:3493" x14ac:dyDescent="0.3">
      <c r="B215" t="s">
        <v>3700</v>
      </c>
      <c r="EZ215">
        <v>1</v>
      </c>
      <c r="BSZ215">
        <v>1</v>
      </c>
      <c r="EDG215">
        <f>SUMPRODUCT(Constraint_209,Decision_variables)</f>
        <v>0</v>
      </c>
      <c r="EDH215" t="s">
        <v>5265</v>
      </c>
      <c r="EDI215">
        <v>1</v>
      </c>
    </row>
    <row r="216" spans="2:165 1866:1881 3491:3493" x14ac:dyDescent="0.3">
      <c r="B216" t="s">
        <v>3701</v>
      </c>
      <c r="FA216">
        <v>1</v>
      </c>
      <c r="BTA216">
        <v>1</v>
      </c>
      <c r="EDG216">
        <f>SUMPRODUCT(Constraint_210,Decision_variables)</f>
        <v>0</v>
      </c>
      <c r="EDH216" t="s">
        <v>5265</v>
      </c>
      <c r="EDI216">
        <v>1</v>
      </c>
    </row>
    <row r="217" spans="2:165 1866:1881 3491:3493" x14ac:dyDescent="0.3">
      <c r="B217" t="s">
        <v>3702</v>
      </c>
      <c r="FB217">
        <v>1</v>
      </c>
      <c r="BTB217">
        <v>1</v>
      </c>
      <c r="EDG217">
        <f>SUMPRODUCT(Constraint_211,Decision_variables)</f>
        <v>0</v>
      </c>
      <c r="EDH217" t="s">
        <v>5265</v>
      </c>
      <c r="EDI217">
        <v>1</v>
      </c>
    </row>
    <row r="218" spans="2:165 1866:1881 3491:3493" x14ac:dyDescent="0.3">
      <c r="B218" t="s">
        <v>3703</v>
      </c>
      <c r="FC218">
        <v>1</v>
      </c>
      <c r="BTC218">
        <v>1</v>
      </c>
      <c r="EDG218">
        <f>SUMPRODUCT(Constraint_212,Decision_variables)</f>
        <v>0</v>
      </c>
      <c r="EDH218" t="s">
        <v>5265</v>
      </c>
      <c r="EDI218">
        <v>1</v>
      </c>
    </row>
    <row r="219" spans="2:165 1866:1881 3491:3493" x14ac:dyDescent="0.3">
      <c r="B219" t="s">
        <v>3704</v>
      </c>
      <c r="FD219">
        <v>1</v>
      </c>
      <c r="BTD219">
        <v>1</v>
      </c>
      <c r="EDG219">
        <f>SUMPRODUCT(Constraint_213,Decision_variables)</f>
        <v>0</v>
      </c>
      <c r="EDH219" t="s">
        <v>5265</v>
      </c>
      <c r="EDI219">
        <v>1</v>
      </c>
    </row>
    <row r="220" spans="2:165 1866:1881 3491:3493" x14ac:dyDescent="0.3">
      <c r="B220" t="s">
        <v>3705</v>
      </c>
      <c r="FE220">
        <v>1</v>
      </c>
      <c r="BTE220">
        <v>1</v>
      </c>
      <c r="EDG220">
        <f>SUMPRODUCT(Constraint_214,Decision_variables)</f>
        <v>0</v>
      </c>
      <c r="EDH220" t="s">
        <v>5265</v>
      </c>
      <c r="EDI220">
        <v>1</v>
      </c>
    </row>
    <row r="221" spans="2:165 1866:1881 3491:3493" x14ac:dyDescent="0.3">
      <c r="B221" t="s">
        <v>3706</v>
      </c>
      <c r="FF221">
        <v>1</v>
      </c>
      <c r="BTF221">
        <v>1</v>
      </c>
      <c r="EDG221">
        <f>SUMPRODUCT(Constraint_215,Decision_variables)</f>
        <v>1</v>
      </c>
      <c r="EDH221" t="s">
        <v>5265</v>
      </c>
      <c r="EDI221">
        <v>1</v>
      </c>
    </row>
    <row r="222" spans="2:165 1866:1881 3491:3493" x14ac:dyDescent="0.3">
      <c r="B222" t="s">
        <v>3707</v>
      </c>
      <c r="FG222">
        <v>1</v>
      </c>
      <c r="BTG222">
        <v>1</v>
      </c>
      <c r="EDG222">
        <f>SUMPRODUCT(Constraint_216,Decision_variables)</f>
        <v>0</v>
      </c>
      <c r="EDH222" t="s">
        <v>5265</v>
      </c>
      <c r="EDI222">
        <v>1</v>
      </c>
    </row>
    <row r="223" spans="2:165 1866:1881 3491:3493" x14ac:dyDescent="0.3">
      <c r="B223" t="s">
        <v>3708</v>
      </c>
      <c r="FH223">
        <v>1</v>
      </c>
      <c r="BTH223">
        <v>1</v>
      </c>
      <c r="EDG223">
        <f>SUMPRODUCT(Constraint_217,Decision_variables)</f>
        <v>0</v>
      </c>
      <c r="EDH223" t="s">
        <v>5265</v>
      </c>
      <c r="EDI223">
        <v>1</v>
      </c>
    </row>
    <row r="224" spans="2:165 1866:1881 3491:3493" x14ac:dyDescent="0.3">
      <c r="B224" t="s">
        <v>3709</v>
      </c>
      <c r="FI224">
        <v>1</v>
      </c>
      <c r="BTI224">
        <v>1</v>
      </c>
      <c r="EDG224">
        <f>SUMPRODUCT(Constraint_218,Decision_variables)</f>
        <v>0</v>
      </c>
      <c r="EDH224" t="s">
        <v>5265</v>
      </c>
      <c r="EDI224">
        <v>1</v>
      </c>
    </row>
    <row r="225" spans="2:181 1882:1897 3491:3493" x14ac:dyDescent="0.3">
      <c r="B225" t="s">
        <v>3710</v>
      </c>
      <c r="FJ225">
        <v>1</v>
      </c>
      <c r="BTJ225">
        <v>1</v>
      </c>
      <c r="EDG225">
        <f>SUMPRODUCT(Constraint_219,Decision_variables)</f>
        <v>0</v>
      </c>
      <c r="EDH225" t="s">
        <v>5265</v>
      </c>
      <c r="EDI225">
        <v>1</v>
      </c>
    </row>
    <row r="226" spans="2:181 1882:1897 3491:3493" x14ac:dyDescent="0.3">
      <c r="B226" t="s">
        <v>3711</v>
      </c>
      <c r="FK226">
        <v>1</v>
      </c>
      <c r="BTK226">
        <v>1</v>
      </c>
      <c r="EDG226">
        <f>SUMPRODUCT(Constraint_220,Decision_variables)</f>
        <v>0</v>
      </c>
      <c r="EDH226" t="s">
        <v>5265</v>
      </c>
      <c r="EDI226">
        <v>1</v>
      </c>
    </row>
    <row r="227" spans="2:181 1882:1897 3491:3493" x14ac:dyDescent="0.3">
      <c r="B227" t="s">
        <v>3712</v>
      </c>
      <c r="FL227">
        <v>1</v>
      </c>
      <c r="BTL227">
        <v>1</v>
      </c>
      <c r="EDG227">
        <f>SUMPRODUCT(Constraint_221,Decision_variables)</f>
        <v>0</v>
      </c>
      <c r="EDH227" t="s">
        <v>5265</v>
      </c>
      <c r="EDI227">
        <v>1</v>
      </c>
    </row>
    <row r="228" spans="2:181 1882:1897 3491:3493" x14ac:dyDescent="0.3">
      <c r="B228" t="s">
        <v>3713</v>
      </c>
      <c r="FM228">
        <v>1</v>
      </c>
      <c r="BTM228">
        <v>1</v>
      </c>
      <c r="EDG228">
        <f>SUMPRODUCT(Constraint_222,Decision_variables)</f>
        <v>0</v>
      </c>
      <c r="EDH228" t="s">
        <v>5265</v>
      </c>
      <c r="EDI228">
        <v>1</v>
      </c>
    </row>
    <row r="229" spans="2:181 1882:1897 3491:3493" x14ac:dyDescent="0.3">
      <c r="B229" t="s">
        <v>3714</v>
      </c>
      <c r="FN229">
        <v>1</v>
      </c>
      <c r="BTN229">
        <v>1</v>
      </c>
      <c r="EDG229">
        <f>SUMPRODUCT(Constraint_223,Decision_variables)</f>
        <v>0</v>
      </c>
      <c r="EDH229" t="s">
        <v>5265</v>
      </c>
      <c r="EDI229">
        <v>1</v>
      </c>
    </row>
    <row r="230" spans="2:181 1882:1897 3491:3493" x14ac:dyDescent="0.3">
      <c r="B230" t="s">
        <v>3715</v>
      </c>
      <c r="FO230">
        <v>1</v>
      </c>
      <c r="BTO230">
        <v>1</v>
      </c>
      <c r="EDG230">
        <f>SUMPRODUCT(Constraint_224,Decision_variables)</f>
        <v>0</v>
      </c>
      <c r="EDH230" t="s">
        <v>5265</v>
      </c>
      <c r="EDI230">
        <v>1</v>
      </c>
    </row>
    <row r="231" spans="2:181 1882:1897 3491:3493" x14ac:dyDescent="0.3">
      <c r="B231" t="s">
        <v>3716</v>
      </c>
      <c r="FP231">
        <v>1</v>
      </c>
      <c r="BTP231">
        <v>1</v>
      </c>
      <c r="EDG231">
        <f>SUMPRODUCT(Constraint_225,Decision_variables)</f>
        <v>0</v>
      </c>
      <c r="EDH231" t="s">
        <v>5265</v>
      </c>
      <c r="EDI231">
        <v>1</v>
      </c>
    </row>
    <row r="232" spans="2:181 1882:1897 3491:3493" x14ac:dyDescent="0.3">
      <c r="B232" t="s">
        <v>3717</v>
      </c>
      <c r="FQ232">
        <v>1</v>
      </c>
      <c r="BTQ232">
        <v>1</v>
      </c>
      <c r="EDG232">
        <f>SUMPRODUCT(Constraint_226,Decision_variables)</f>
        <v>0</v>
      </c>
      <c r="EDH232" t="s">
        <v>5265</v>
      </c>
      <c r="EDI232">
        <v>1</v>
      </c>
    </row>
    <row r="233" spans="2:181 1882:1897 3491:3493" x14ac:dyDescent="0.3">
      <c r="B233" t="s">
        <v>3718</v>
      </c>
      <c r="FR233">
        <v>1</v>
      </c>
      <c r="BTR233">
        <v>1</v>
      </c>
      <c r="EDG233">
        <f>SUMPRODUCT(Constraint_227,Decision_variables)</f>
        <v>0</v>
      </c>
      <c r="EDH233" t="s">
        <v>5265</v>
      </c>
      <c r="EDI233">
        <v>1</v>
      </c>
    </row>
    <row r="234" spans="2:181 1882:1897 3491:3493" x14ac:dyDescent="0.3">
      <c r="B234" t="s">
        <v>3719</v>
      </c>
      <c r="FS234">
        <v>1</v>
      </c>
      <c r="BTS234">
        <v>1</v>
      </c>
      <c r="EDG234">
        <f>SUMPRODUCT(Constraint_228,Decision_variables)</f>
        <v>0</v>
      </c>
      <c r="EDH234" t="s">
        <v>5265</v>
      </c>
      <c r="EDI234">
        <v>1</v>
      </c>
    </row>
    <row r="235" spans="2:181 1882:1897 3491:3493" x14ac:dyDescent="0.3">
      <c r="B235" t="s">
        <v>3720</v>
      </c>
      <c r="FT235">
        <v>1</v>
      </c>
      <c r="BTT235">
        <v>1</v>
      </c>
      <c r="EDG235">
        <f>SUMPRODUCT(Constraint_229,Decision_variables)</f>
        <v>0</v>
      </c>
      <c r="EDH235" t="s">
        <v>5265</v>
      </c>
      <c r="EDI235">
        <v>1</v>
      </c>
    </row>
    <row r="236" spans="2:181 1882:1897 3491:3493" x14ac:dyDescent="0.3">
      <c r="B236" t="s">
        <v>3721</v>
      </c>
      <c r="FU236">
        <v>1</v>
      </c>
      <c r="BTU236">
        <v>1</v>
      </c>
      <c r="EDG236">
        <f>SUMPRODUCT(Constraint_230,Decision_variables)</f>
        <v>0</v>
      </c>
      <c r="EDH236" t="s">
        <v>5265</v>
      </c>
      <c r="EDI236">
        <v>1</v>
      </c>
    </row>
    <row r="237" spans="2:181 1882:1897 3491:3493" x14ac:dyDescent="0.3">
      <c r="B237" t="s">
        <v>3722</v>
      </c>
      <c r="FV237">
        <v>1</v>
      </c>
      <c r="BTV237">
        <v>1</v>
      </c>
      <c r="EDG237">
        <f>SUMPRODUCT(Constraint_231,Decision_variables)</f>
        <v>0</v>
      </c>
      <c r="EDH237" t="s">
        <v>5265</v>
      </c>
      <c r="EDI237">
        <v>1</v>
      </c>
    </row>
    <row r="238" spans="2:181 1882:1897 3491:3493" x14ac:dyDescent="0.3">
      <c r="B238" t="s">
        <v>3723</v>
      </c>
      <c r="FW238">
        <v>1</v>
      </c>
      <c r="BTW238">
        <v>1</v>
      </c>
      <c r="EDG238">
        <f>SUMPRODUCT(Constraint_232,Decision_variables)</f>
        <v>0</v>
      </c>
      <c r="EDH238" t="s">
        <v>5265</v>
      </c>
      <c r="EDI238">
        <v>1</v>
      </c>
    </row>
    <row r="239" spans="2:181 1882:1897 3491:3493" x14ac:dyDescent="0.3">
      <c r="B239" t="s">
        <v>3724</v>
      </c>
      <c r="FX239">
        <v>1</v>
      </c>
      <c r="BTX239">
        <v>1</v>
      </c>
      <c r="EDG239">
        <f>SUMPRODUCT(Constraint_233,Decision_variables)</f>
        <v>0</v>
      </c>
      <c r="EDH239" t="s">
        <v>5265</v>
      </c>
      <c r="EDI239">
        <v>1</v>
      </c>
    </row>
    <row r="240" spans="2:181 1882:1897 3491:3493" x14ac:dyDescent="0.3">
      <c r="B240" t="s">
        <v>3725</v>
      </c>
      <c r="FY240">
        <v>1</v>
      </c>
      <c r="BTY240">
        <v>1</v>
      </c>
      <c r="EDG240">
        <f>SUMPRODUCT(Constraint_234,Decision_variables)</f>
        <v>0</v>
      </c>
      <c r="EDH240" t="s">
        <v>5265</v>
      </c>
      <c r="EDI240">
        <v>1</v>
      </c>
    </row>
    <row r="241" spans="2:197 1898:1913 3491:3493" x14ac:dyDescent="0.3">
      <c r="B241" t="s">
        <v>3726</v>
      </c>
      <c r="FZ241">
        <v>1</v>
      </c>
      <c r="BTZ241">
        <v>1</v>
      </c>
      <c r="EDG241">
        <f>SUMPRODUCT(Constraint_235,Decision_variables)</f>
        <v>0</v>
      </c>
      <c r="EDH241" t="s">
        <v>5265</v>
      </c>
      <c r="EDI241">
        <v>1</v>
      </c>
    </row>
    <row r="242" spans="2:197 1898:1913 3491:3493" x14ac:dyDescent="0.3">
      <c r="B242" t="s">
        <v>3727</v>
      </c>
      <c r="GA242">
        <v>1</v>
      </c>
      <c r="BUA242">
        <v>1</v>
      </c>
      <c r="EDG242">
        <f>SUMPRODUCT(Constraint_236,Decision_variables)</f>
        <v>0</v>
      </c>
      <c r="EDH242" t="s">
        <v>5265</v>
      </c>
      <c r="EDI242">
        <v>1</v>
      </c>
    </row>
    <row r="243" spans="2:197 1898:1913 3491:3493" x14ac:dyDescent="0.3">
      <c r="B243" t="s">
        <v>3728</v>
      </c>
      <c r="GB243">
        <v>1</v>
      </c>
      <c r="BUB243">
        <v>1</v>
      </c>
      <c r="EDG243">
        <f>SUMPRODUCT(Constraint_237,Decision_variables)</f>
        <v>0</v>
      </c>
      <c r="EDH243" t="s">
        <v>5265</v>
      </c>
      <c r="EDI243">
        <v>1</v>
      </c>
    </row>
    <row r="244" spans="2:197 1898:1913 3491:3493" x14ac:dyDescent="0.3">
      <c r="B244" t="s">
        <v>3729</v>
      </c>
      <c r="GC244">
        <v>1</v>
      </c>
      <c r="BUC244">
        <v>1</v>
      </c>
      <c r="EDG244">
        <f>SUMPRODUCT(Constraint_238,Decision_variables)</f>
        <v>0</v>
      </c>
      <c r="EDH244" t="s">
        <v>5265</v>
      </c>
      <c r="EDI244">
        <v>1</v>
      </c>
    </row>
    <row r="245" spans="2:197 1898:1913 3491:3493" x14ac:dyDescent="0.3">
      <c r="B245" t="s">
        <v>3730</v>
      </c>
      <c r="GD245">
        <v>1</v>
      </c>
      <c r="BUD245">
        <v>1</v>
      </c>
      <c r="EDG245">
        <f>SUMPRODUCT(Constraint_239,Decision_variables)</f>
        <v>0</v>
      </c>
      <c r="EDH245" t="s">
        <v>5265</v>
      </c>
      <c r="EDI245">
        <v>1</v>
      </c>
    </row>
    <row r="246" spans="2:197 1898:1913 3491:3493" x14ac:dyDescent="0.3">
      <c r="B246" t="s">
        <v>3731</v>
      </c>
      <c r="GE246">
        <v>1</v>
      </c>
      <c r="BUE246">
        <v>1</v>
      </c>
      <c r="EDG246">
        <f>SUMPRODUCT(Constraint_240,Decision_variables)</f>
        <v>0</v>
      </c>
      <c r="EDH246" t="s">
        <v>5265</v>
      </c>
      <c r="EDI246">
        <v>1</v>
      </c>
    </row>
    <row r="247" spans="2:197 1898:1913 3491:3493" x14ac:dyDescent="0.3">
      <c r="B247" t="s">
        <v>3732</v>
      </c>
      <c r="GF247">
        <v>1</v>
      </c>
      <c r="BUF247">
        <v>1</v>
      </c>
      <c r="EDG247">
        <f>SUMPRODUCT(Constraint_241,Decision_variables)</f>
        <v>0</v>
      </c>
      <c r="EDH247" t="s">
        <v>5265</v>
      </c>
      <c r="EDI247">
        <v>1</v>
      </c>
    </row>
    <row r="248" spans="2:197 1898:1913 3491:3493" x14ac:dyDescent="0.3">
      <c r="B248" t="s">
        <v>3733</v>
      </c>
      <c r="GG248">
        <v>1</v>
      </c>
      <c r="BUG248">
        <v>1</v>
      </c>
      <c r="EDG248">
        <f>SUMPRODUCT(Constraint_242,Decision_variables)</f>
        <v>1</v>
      </c>
      <c r="EDH248" t="s">
        <v>5265</v>
      </c>
      <c r="EDI248">
        <v>1</v>
      </c>
    </row>
    <row r="249" spans="2:197 1898:1913 3491:3493" x14ac:dyDescent="0.3">
      <c r="B249" t="s">
        <v>3734</v>
      </c>
      <c r="GH249">
        <v>1</v>
      </c>
      <c r="BUH249">
        <v>1</v>
      </c>
      <c r="EDG249">
        <f>SUMPRODUCT(Constraint_243,Decision_variables)</f>
        <v>0</v>
      </c>
      <c r="EDH249" t="s">
        <v>5265</v>
      </c>
      <c r="EDI249">
        <v>1</v>
      </c>
    </row>
    <row r="250" spans="2:197 1898:1913 3491:3493" x14ac:dyDescent="0.3">
      <c r="B250" t="s">
        <v>3735</v>
      </c>
      <c r="GI250">
        <v>1</v>
      </c>
      <c r="BUI250">
        <v>1</v>
      </c>
      <c r="EDG250">
        <f>SUMPRODUCT(Constraint_244,Decision_variables)</f>
        <v>0</v>
      </c>
      <c r="EDH250" t="s">
        <v>5265</v>
      </c>
      <c r="EDI250">
        <v>1</v>
      </c>
    </row>
    <row r="251" spans="2:197 1898:1913 3491:3493" x14ac:dyDescent="0.3">
      <c r="B251" t="s">
        <v>3736</v>
      </c>
      <c r="GJ251">
        <v>1</v>
      </c>
      <c r="BUJ251">
        <v>1</v>
      </c>
      <c r="EDG251">
        <f>SUMPRODUCT(Constraint_245,Decision_variables)</f>
        <v>0</v>
      </c>
      <c r="EDH251" t="s">
        <v>5265</v>
      </c>
      <c r="EDI251">
        <v>1</v>
      </c>
    </row>
    <row r="252" spans="2:197 1898:1913 3491:3493" x14ac:dyDescent="0.3">
      <c r="B252" t="s">
        <v>3737</v>
      </c>
      <c r="GK252">
        <v>1</v>
      </c>
      <c r="BUK252">
        <v>1</v>
      </c>
      <c r="EDG252">
        <f>SUMPRODUCT(Constraint_246,Decision_variables)</f>
        <v>0</v>
      </c>
      <c r="EDH252" t="s">
        <v>5265</v>
      </c>
      <c r="EDI252">
        <v>1</v>
      </c>
    </row>
    <row r="253" spans="2:197 1898:1913 3491:3493" x14ac:dyDescent="0.3">
      <c r="B253" t="s">
        <v>3738</v>
      </c>
      <c r="GL253">
        <v>1</v>
      </c>
      <c r="BUL253">
        <v>1</v>
      </c>
      <c r="EDG253">
        <f>SUMPRODUCT(Constraint_247,Decision_variables)</f>
        <v>0</v>
      </c>
      <c r="EDH253" t="s">
        <v>5265</v>
      </c>
      <c r="EDI253">
        <v>1</v>
      </c>
    </row>
    <row r="254" spans="2:197 1898:1913 3491:3493" x14ac:dyDescent="0.3">
      <c r="B254" t="s">
        <v>3739</v>
      </c>
      <c r="GM254">
        <v>1</v>
      </c>
      <c r="BUM254">
        <v>1</v>
      </c>
      <c r="EDG254">
        <f>SUMPRODUCT(Constraint_248,Decision_variables)</f>
        <v>0</v>
      </c>
      <c r="EDH254" t="s">
        <v>5265</v>
      </c>
      <c r="EDI254">
        <v>1</v>
      </c>
    </row>
    <row r="255" spans="2:197 1898:1913 3491:3493" x14ac:dyDescent="0.3">
      <c r="B255" t="s">
        <v>3740</v>
      </c>
      <c r="GN255">
        <v>1</v>
      </c>
      <c r="BUN255">
        <v>1</v>
      </c>
      <c r="EDG255">
        <f>SUMPRODUCT(Constraint_249,Decision_variables)</f>
        <v>0</v>
      </c>
      <c r="EDH255" t="s">
        <v>5265</v>
      </c>
      <c r="EDI255">
        <v>1</v>
      </c>
    </row>
    <row r="256" spans="2:197 1898:1913 3491:3493" x14ac:dyDescent="0.3">
      <c r="B256" t="s">
        <v>3741</v>
      </c>
      <c r="GO256">
        <v>1</v>
      </c>
      <c r="BUO256">
        <v>1</v>
      </c>
      <c r="EDG256">
        <f>SUMPRODUCT(Constraint_250,Decision_variables)</f>
        <v>0</v>
      </c>
      <c r="EDH256" t="s">
        <v>5265</v>
      </c>
      <c r="EDI256">
        <v>1</v>
      </c>
    </row>
    <row r="257" spans="2:213 1914:1929 3491:3493" x14ac:dyDescent="0.3">
      <c r="B257" t="s">
        <v>3742</v>
      </c>
      <c r="GP257">
        <v>1</v>
      </c>
      <c r="BUP257">
        <v>1</v>
      </c>
      <c r="EDG257">
        <f>SUMPRODUCT(Constraint_251,Decision_variables)</f>
        <v>0</v>
      </c>
      <c r="EDH257" t="s">
        <v>5265</v>
      </c>
      <c r="EDI257">
        <v>1</v>
      </c>
    </row>
    <row r="258" spans="2:213 1914:1929 3491:3493" x14ac:dyDescent="0.3">
      <c r="B258" t="s">
        <v>3743</v>
      </c>
      <c r="GQ258">
        <v>1</v>
      </c>
      <c r="BUQ258">
        <v>1</v>
      </c>
      <c r="EDG258">
        <f>SUMPRODUCT(Constraint_252,Decision_variables)</f>
        <v>0</v>
      </c>
      <c r="EDH258" t="s">
        <v>5265</v>
      </c>
      <c r="EDI258">
        <v>1</v>
      </c>
    </row>
    <row r="259" spans="2:213 1914:1929 3491:3493" x14ac:dyDescent="0.3">
      <c r="B259" t="s">
        <v>3744</v>
      </c>
      <c r="GR259">
        <v>1</v>
      </c>
      <c r="BUR259">
        <v>1</v>
      </c>
      <c r="EDG259">
        <f>SUMPRODUCT(Constraint_253,Decision_variables)</f>
        <v>0</v>
      </c>
      <c r="EDH259" t="s">
        <v>5265</v>
      </c>
      <c r="EDI259">
        <v>1</v>
      </c>
    </row>
    <row r="260" spans="2:213 1914:1929 3491:3493" x14ac:dyDescent="0.3">
      <c r="B260" t="s">
        <v>3745</v>
      </c>
      <c r="GS260">
        <v>1</v>
      </c>
      <c r="BUS260">
        <v>1</v>
      </c>
      <c r="EDG260">
        <f>SUMPRODUCT(Constraint_254,Decision_variables)</f>
        <v>0</v>
      </c>
      <c r="EDH260" t="s">
        <v>5265</v>
      </c>
      <c r="EDI260">
        <v>1</v>
      </c>
    </row>
    <row r="261" spans="2:213 1914:1929 3491:3493" x14ac:dyDescent="0.3">
      <c r="B261" t="s">
        <v>3746</v>
      </c>
      <c r="GT261">
        <v>1</v>
      </c>
      <c r="BUT261">
        <v>1</v>
      </c>
      <c r="EDG261">
        <f>SUMPRODUCT(Constraint_255,Decision_variables)</f>
        <v>0</v>
      </c>
      <c r="EDH261" t="s">
        <v>5265</v>
      </c>
      <c r="EDI261">
        <v>1</v>
      </c>
    </row>
    <row r="262" spans="2:213 1914:1929 3491:3493" x14ac:dyDescent="0.3">
      <c r="B262" t="s">
        <v>3747</v>
      </c>
      <c r="GU262">
        <v>1</v>
      </c>
      <c r="BUU262">
        <v>1</v>
      </c>
      <c r="EDG262">
        <f>SUMPRODUCT(Constraint_256,Decision_variables)</f>
        <v>0</v>
      </c>
      <c r="EDH262" t="s">
        <v>5265</v>
      </c>
      <c r="EDI262">
        <v>1</v>
      </c>
    </row>
    <row r="263" spans="2:213 1914:1929 3491:3493" x14ac:dyDescent="0.3">
      <c r="B263" t="s">
        <v>3748</v>
      </c>
      <c r="GV263">
        <v>1</v>
      </c>
      <c r="BUV263">
        <v>1</v>
      </c>
      <c r="EDG263">
        <f>SUMPRODUCT(Constraint_257,Decision_variables)</f>
        <v>0</v>
      </c>
      <c r="EDH263" t="s">
        <v>5265</v>
      </c>
      <c r="EDI263">
        <v>1</v>
      </c>
    </row>
    <row r="264" spans="2:213 1914:1929 3491:3493" x14ac:dyDescent="0.3">
      <c r="B264" t="s">
        <v>3749</v>
      </c>
      <c r="GW264">
        <v>1</v>
      </c>
      <c r="BUW264">
        <v>1</v>
      </c>
      <c r="EDG264">
        <f>SUMPRODUCT(Constraint_258,Decision_variables)</f>
        <v>0</v>
      </c>
      <c r="EDH264" t="s">
        <v>5265</v>
      </c>
      <c r="EDI264">
        <v>1</v>
      </c>
    </row>
    <row r="265" spans="2:213 1914:1929 3491:3493" x14ac:dyDescent="0.3">
      <c r="B265" t="s">
        <v>3750</v>
      </c>
      <c r="GX265">
        <v>1</v>
      </c>
      <c r="BUX265">
        <v>1</v>
      </c>
      <c r="EDG265">
        <f>SUMPRODUCT(Constraint_259,Decision_variables)</f>
        <v>0</v>
      </c>
      <c r="EDH265" t="s">
        <v>5265</v>
      </c>
      <c r="EDI265">
        <v>1</v>
      </c>
    </row>
    <row r="266" spans="2:213 1914:1929 3491:3493" x14ac:dyDescent="0.3">
      <c r="B266" t="s">
        <v>3751</v>
      </c>
      <c r="GY266">
        <v>1</v>
      </c>
      <c r="BUY266">
        <v>1</v>
      </c>
      <c r="EDG266">
        <f>SUMPRODUCT(Constraint_260,Decision_variables)</f>
        <v>0</v>
      </c>
      <c r="EDH266" t="s">
        <v>5265</v>
      </c>
      <c r="EDI266">
        <v>1</v>
      </c>
    </row>
    <row r="267" spans="2:213 1914:1929 3491:3493" x14ac:dyDescent="0.3">
      <c r="B267" t="s">
        <v>3752</v>
      </c>
      <c r="GZ267">
        <v>1</v>
      </c>
      <c r="BUZ267">
        <v>1</v>
      </c>
      <c r="EDG267">
        <f>SUMPRODUCT(Constraint_261,Decision_variables)</f>
        <v>0</v>
      </c>
      <c r="EDH267" t="s">
        <v>5265</v>
      </c>
      <c r="EDI267">
        <v>1</v>
      </c>
    </row>
    <row r="268" spans="2:213 1914:1929 3491:3493" x14ac:dyDescent="0.3">
      <c r="B268" t="s">
        <v>3753</v>
      </c>
      <c r="HA268">
        <v>1</v>
      </c>
      <c r="BVA268">
        <v>1</v>
      </c>
      <c r="EDG268">
        <f>SUMPRODUCT(Constraint_262,Decision_variables)</f>
        <v>0</v>
      </c>
      <c r="EDH268" t="s">
        <v>5265</v>
      </c>
      <c r="EDI268">
        <v>1</v>
      </c>
    </row>
    <row r="269" spans="2:213 1914:1929 3491:3493" x14ac:dyDescent="0.3">
      <c r="B269" t="s">
        <v>3754</v>
      </c>
      <c r="HB269">
        <v>1</v>
      </c>
      <c r="BVB269">
        <v>1</v>
      </c>
      <c r="EDG269">
        <f>SUMPRODUCT(Constraint_263,Decision_variables)</f>
        <v>0</v>
      </c>
      <c r="EDH269" t="s">
        <v>5265</v>
      </c>
      <c r="EDI269">
        <v>1</v>
      </c>
    </row>
    <row r="270" spans="2:213 1914:1929 3491:3493" x14ac:dyDescent="0.3">
      <c r="B270" t="s">
        <v>3755</v>
      </c>
      <c r="HC270">
        <v>1</v>
      </c>
      <c r="BVC270">
        <v>1</v>
      </c>
      <c r="EDG270">
        <f>SUMPRODUCT(Constraint_264,Decision_variables)</f>
        <v>0</v>
      </c>
      <c r="EDH270" t="s">
        <v>5265</v>
      </c>
      <c r="EDI270">
        <v>1</v>
      </c>
    </row>
    <row r="271" spans="2:213 1914:1929 3491:3493" x14ac:dyDescent="0.3">
      <c r="B271" t="s">
        <v>3756</v>
      </c>
      <c r="HD271">
        <v>1</v>
      </c>
      <c r="BVD271">
        <v>1</v>
      </c>
      <c r="EDG271">
        <f>SUMPRODUCT(Constraint_265,Decision_variables)</f>
        <v>1</v>
      </c>
      <c r="EDH271" t="s">
        <v>5265</v>
      </c>
      <c r="EDI271">
        <v>1</v>
      </c>
    </row>
    <row r="272" spans="2:213 1914:1929 3491:3493" x14ac:dyDescent="0.3">
      <c r="B272" t="s">
        <v>3757</v>
      </c>
      <c r="HE272">
        <v>1</v>
      </c>
      <c r="BVE272">
        <v>1</v>
      </c>
      <c r="EDG272">
        <f>SUMPRODUCT(Constraint_266,Decision_variables)</f>
        <v>0</v>
      </c>
      <c r="EDH272" t="s">
        <v>5265</v>
      </c>
      <c r="EDI272">
        <v>1</v>
      </c>
    </row>
    <row r="273" spans="2:229 1930:1945 3491:3493" x14ac:dyDescent="0.3">
      <c r="B273" t="s">
        <v>3758</v>
      </c>
      <c r="HF273">
        <v>1</v>
      </c>
      <c r="BVF273">
        <v>1</v>
      </c>
      <c r="EDG273">
        <f>SUMPRODUCT(Constraint_267,Decision_variables)</f>
        <v>0</v>
      </c>
      <c r="EDH273" t="s">
        <v>5265</v>
      </c>
      <c r="EDI273">
        <v>1</v>
      </c>
    </row>
    <row r="274" spans="2:229 1930:1945 3491:3493" x14ac:dyDescent="0.3">
      <c r="B274" t="s">
        <v>3759</v>
      </c>
      <c r="HG274">
        <v>1</v>
      </c>
      <c r="BVG274">
        <v>1</v>
      </c>
      <c r="EDG274">
        <f>SUMPRODUCT(Constraint_268,Decision_variables)</f>
        <v>0</v>
      </c>
      <c r="EDH274" t="s">
        <v>5265</v>
      </c>
      <c r="EDI274">
        <v>1</v>
      </c>
    </row>
    <row r="275" spans="2:229 1930:1945 3491:3493" x14ac:dyDescent="0.3">
      <c r="B275" t="s">
        <v>3760</v>
      </c>
      <c r="HH275">
        <v>1</v>
      </c>
      <c r="BVH275">
        <v>1</v>
      </c>
      <c r="EDG275">
        <f>SUMPRODUCT(Constraint_269,Decision_variables)</f>
        <v>0</v>
      </c>
      <c r="EDH275" t="s">
        <v>5265</v>
      </c>
      <c r="EDI275">
        <v>1</v>
      </c>
    </row>
    <row r="276" spans="2:229 1930:1945 3491:3493" x14ac:dyDescent="0.3">
      <c r="B276" t="s">
        <v>3761</v>
      </c>
      <c r="HI276">
        <v>1</v>
      </c>
      <c r="BVI276">
        <v>1</v>
      </c>
      <c r="EDG276">
        <f>SUMPRODUCT(Constraint_270,Decision_variables)</f>
        <v>0</v>
      </c>
      <c r="EDH276" t="s">
        <v>5265</v>
      </c>
      <c r="EDI276">
        <v>1</v>
      </c>
    </row>
    <row r="277" spans="2:229 1930:1945 3491:3493" x14ac:dyDescent="0.3">
      <c r="B277" t="s">
        <v>3762</v>
      </c>
      <c r="HJ277">
        <v>1</v>
      </c>
      <c r="BVJ277">
        <v>1</v>
      </c>
      <c r="EDG277">
        <f>SUMPRODUCT(Constraint_271,Decision_variables)</f>
        <v>0</v>
      </c>
      <c r="EDH277" t="s">
        <v>5265</v>
      </c>
      <c r="EDI277">
        <v>1</v>
      </c>
    </row>
    <row r="278" spans="2:229 1930:1945 3491:3493" x14ac:dyDescent="0.3">
      <c r="B278" t="s">
        <v>3763</v>
      </c>
      <c r="HK278">
        <v>1</v>
      </c>
      <c r="BVK278">
        <v>1</v>
      </c>
      <c r="EDG278">
        <f>SUMPRODUCT(Constraint_272,Decision_variables)</f>
        <v>0</v>
      </c>
      <c r="EDH278" t="s">
        <v>5265</v>
      </c>
      <c r="EDI278">
        <v>1</v>
      </c>
    </row>
    <row r="279" spans="2:229 1930:1945 3491:3493" x14ac:dyDescent="0.3">
      <c r="B279" t="s">
        <v>3764</v>
      </c>
      <c r="HL279">
        <v>1</v>
      </c>
      <c r="BVL279">
        <v>1</v>
      </c>
      <c r="EDG279">
        <f>SUMPRODUCT(Constraint_273,Decision_variables)</f>
        <v>0</v>
      </c>
      <c r="EDH279" t="s">
        <v>5265</v>
      </c>
      <c r="EDI279">
        <v>1</v>
      </c>
    </row>
    <row r="280" spans="2:229 1930:1945 3491:3493" x14ac:dyDescent="0.3">
      <c r="B280" t="s">
        <v>3765</v>
      </c>
      <c r="HM280">
        <v>1</v>
      </c>
      <c r="BVM280">
        <v>1</v>
      </c>
      <c r="EDG280">
        <f>SUMPRODUCT(Constraint_274,Decision_variables)</f>
        <v>0</v>
      </c>
      <c r="EDH280" t="s">
        <v>5265</v>
      </c>
      <c r="EDI280">
        <v>1</v>
      </c>
    </row>
    <row r="281" spans="2:229 1930:1945 3491:3493" x14ac:dyDescent="0.3">
      <c r="B281" t="s">
        <v>3766</v>
      </c>
      <c r="HN281">
        <v>1</v>
      </c>
      <c r="BVN281">
        <v>1</v>
      </c>
      <c r="EDG281">
        <f>SUMPRODUCT(Constraint_275,Decision_variables)</f>
        <v>0</v>
      </c>
      <c r="EDH281" t="s">
        <v>5265</v>
      </c>
      <c r="EDI281">
        <v>1</v>
      </c>
    </row>
    <row r="282" spans="2:229 1930:1945 3491:3493" x14ac:dyDescent="0.3">
      <c r="B282" t="s">
        <v>3767</v>
      </c>
      <c r="HO282">
        <v>1</v>
      </c>
      <c r="BVO282">
        <v>1</v>
      </c>
      <c r="EDG282">
        <f>SUMPRODUCT(Constraint_276,Decision_variables)</f>
        <v>0</v>
      </c>
      <c r="EDH282" t="s">
        <v>5265</v>
      </c>
      <c r="EDI282">
        <v>1</v>
      </c>
    </row>
    <row r="283" spans="2:229 1930:1945 3491:3493" x14ac:dyDescent="0.3">
      <c r="B283" t="s">
        <v>3768</v>
      </c>
      <c r="HP283">
        <v>1</v>
      </c>
      <c r="BVP283">
        <v>1</v>
      </c>
      <c r="EDG283">
        <f>SUMPRODUCT(Constraint_277,Decision_variables)</f>
        <v>0</v>
      </c>
      <c r="EDH283" t="s">
        <v>5265</v>
      </c>
      <c r="EDI283">
        <v>1</v>
      </c>
    </row>
    <row r="284" spans="2:229 1930:1945 3491:3493" x14ac:dyDescent="0.3">
      <c r="B284" t="s">
        <v>3769</v>
      </c>
      <c r="HQ284">
        <v>1</v>
      </c>
      <c r="BVQ284">
        <v>1</v>
      </c>
      <c r="EDG284">
        <f>SUMPRODUCT(Constraint_278,Decision_variables)</f>
        <v>0</v>
      </c>
      <c r="EDH284" t="s">
        <v>5265</v>
      </c>
      <c r="EDI284">
        <v>1</v>
      </c>
    </row>
    <row r="285" spans="2:229 1930:1945 3491:3493" x14ac:dyDescent="0.3">
      <c r="B285" t="s">
        <v>3770</v>
      </c>
      <c r="HR285">
        <v>1</v>
      </c>
      <c r="BVR285">
        <v>1</v>
      </c>
      <c r="EDG285">
        <f>SUMPRODUCT(Constraint_279,Decision_variables)</f>
        <v>0</v>
      </c>
      <c r="EDH285" t="s">
        <v>5265</v>
      </c>
      <c r="EDI285">
        <v>1</v>
      </c>
    </row>
    <row r="286" spans="2:229 1930:1945 3491:3493" x14ac:dyDescent="0.3">
      <c r="B286" t="s">
        <v>3771</v>
      </c>
      <c r="HS286">
        <v>1</v>
      </c>
      <c r="BVS286">
        <v>1</v>
      </c>
      <c r="EDG286">
        <f>SUMPRODUCT(Constraint_280,Decision_variables)</f>
        <v>0</v>
      </c>
      <c r="EDH286" t="s">
        <v>5265</v>
      </c>
      <c r="EDI286">
        <v>1</v>
      </c>
    </row>
    <row r="287" spans="2:229 1930:1945 3491:3493" x14ac:dyDescent="0.3">
      <c r="B287" t="s">
        <v>3772</v>
      </c>
      <c r="HT287">
        <v>1</v>
      </c>
      <c r="BVT287">
        <v>1</v>
      </c>
      <c r="EDG287">
        <f>SUMPRODUCT(Constraint_281,Decision_variables)</f>
        <v>0</v>
      </c>
      <c r="EDH287" t="s">
        <v>5265</v>
      </c>
      <c r="EDI287">
        <v>1</v>
      </c>
    </row>
    <row r="288" spans="2:229 1930:1945 3491:3493" x14ac:dyDescent="0.3">
      <c r="B288" t="s">
        <v>3773</v>
      </c>
      <c r="HU288">
        <v>1</v>
      </c>
      <c r="BVU288">
        <v>1</v>
      </c>
      <c r="EDG288">
        <f>SUMPRODUCT(Constraint_282,Decision_variables)</f>
        <v>0</v>
      </c>
      <c r="EDH288" t="s">
        <v>5265</v>
      </c>
      <c r="EDI288">
        <v>1</v>
      </c>
    </row>
    <row r="289" spans="2:245 1946:1961 3491:3493" x14ac:dyDescent="0.3">
      <c r="B289" t="s">
        <v>3774</v>
      </c>
      <c r="HV289">
        <v>1</v>
      </c>
      <c r="BVV289">
        <v>1</v>
      </c>
      <c r="EDG289">
        <f>SUMPRODUCT(Constraint_283,Decision_variables)</f>
        <v>0</v>
      </c>
      <c r="EDH289" t="s">
        <v>5265</v>
      </c>
      <c r="EDI289">
        <v>1</v>
      </c>
    </row>
    <row r="290" spans="2:245 1946:1961 3491:3493" x14ac:dyDescent="0.3">
      <c r="B290" t="s">
        <v>3775</v>
      </c>
      <c r="HW290">
        <v>1</v>
      </c>
      <c r="BVW290">
        <v>1</v>
      </c>
      <c r="EDG290">
        <f>SUMPRODUCT(Constraint_284,Decision_variables)</f>
        <v>0</v>
      </c>
      <c r="EDH290" t="s">
        <v>5265</v>
      </c>
      <c r="EDI290">
        <v>1</v>
      </c>
    </row>
    <row r="291" spans="2:245 1946:1961 3491:3493" x14ac:dyDescent="0.3">
      <c r="B291" t="s">
        <v>3776</v>
      </c>
      <c r="HX291">
        <v>1</v>
      </c>
      <c r="BVX291">
        <v>1</v>
      </c>
      <c r="EDG291">
        <f>SUMPRODUCT(Constraint_285,Decision_variables)</f>
        <v>0</v>
      </c>
      <c r="EDH291" t="s">
        <v>5265</v>
      </c>
      <c r="EDI291">
        <v>1</v>
      </c>
    </row>
    <row r="292" spans="2:245 1946:1961 3491:3493" x14ac:dyDescent="0.3">
      <c r="B292" t="s">
        <v>3777</v>
      </c>
      <c r="HY292">
        <v>1</v>
      </c>
      <c r="BVY292">
        <v>1</v>
      </c>
      <c r="EDG292">
        <f>SUMPRODUCT(Constraint_286,Decision_variables)</f>
        <v>0</v>
      </c>
      <c r="EDH292" t="s">
        <v>5265</v>
      </c>
      <c r="EDI292">
        <v>1</v>
      </c>
    </row>
    <row r="293" spans="2:245 1946:1961 3491:3493" x14ac:dyDescent="0.3">
      <c r="B293" t="s">
        <v>3778</v>
      </c>
      <c r="HZ293">
        <v>1</v>
      </c>
      <c r="BVZ293">
        <v>1</v>
      </c>
      <c r="EDG293">
        <f>SUMPRODUCT(Constraint_287,Decision_variables)</f>
        <v>0</v>
      </c>
      <c r="EDH293" t="s">
        <v>5265</v>
      </c>
      <c r="EDI293">
        <v>1</v>
      </c>
    </row>
    <row r="294" spans="2:245 1946:1961 3491:3493" x14ac:dyDescent="0.3">
      <c r="B294" t="s">
        <v>3779</v>
      </c>
      <c r="IA294">
        <v>1</v>
      </c>
      <c r="BWA294">
        <v>1</v>
      </c>
      <c r="EDG294">
        <f>SUMPRODUCT(Constraint_288,Decision_variables)</f>
        <v>0</v>
      </c>
      <c r="EDH294" t="s">
        <v>5265</v>
      </c>
      <c r="EDI294">
        <v>1</v>
      </c>
    </row>
    <row r="295" spans="2:245 1946:1961 3491:3493" x14ac:dyDescent="0.3">
      <c r="B295" t="s">
        <v>3780</v>
      </c>
      <c r="IB295">
        <v>1</v>
      </c>
      <c r="BWB295">
        <v>1</v>
      </c>
      <c r="EDG295">
        <f>SUMPRODUCT(Constraint_289,Decision_variables)</f>
        <v>0</v>
      </c>
      <c r="EDH295" t="s">
        <v>5265</v>
      </c>
      <c r="EDI295">
        <v>1</v>
      </c>
    </row>
    <row r="296" spans="2:245 1946:1961 3491:3493" x14ac:dyDescent="0.3">
      <c r="B296" t="s">
        <v>3781</v>
      </c>
      <c r="IC296">
        <v>1</v>
      </c>
      <c r="BWC296">
        <v>1</v>
      </c>
      <c r="EDG296">
        <f>SUMPRODUCT(Constraint_290,Decision_variables)</f>
        <v>0</v>
      </c>
      <c r="EDH296" t="s">
        <v>5265</v>
      </c>
      <c r="EDI296">
        <v>1</v>
      </c>
    </row>
    <row r="297" spans="2:245 1946:1961 3491:3493" x14ac:dyDescent="0.3">
      <c r="B297" t="s">
        <v>3782</v>
      </c>
      <c r="ID297">
        <v>1</v>
      </c>
      <c r="BWD297">
        <v>1</v>
      </c>
      <c r="EDG297">
        <f>SUMPRODUCT(Constraint_291,Decision_variables)</f>
        <v>0</v>
      </c>
      <c r="EDH297" t="s">
        <v>5265</v>
      </c>
      <c r="EDI297">
        <v>1</v>
      </c>
    </row>
    <row r="298" spans="2:245 1946:1961 3491:3493" x14ac:dyDescent="0.3">
      <c r="B298" t="s">
        <v>3783</v>
      </c>
      <c r="IE298">
        <v>1</v>
      </c>
      <c r="BWE298">
        <v>1</v>
      </c>
      <c r="EDG298">
        <f>SUMPRODUCT(Constraint_292,Decision_variables)</f>
        <v>0</v>
      </c>
      <c r="EDH298" t="s">
        <v>5265</v>
      </c>
      <c r="EDI298">
        <v>1</v>
      </c>
    </row>
    <row r="299" spans="2:245 1946:1961 3491:3493" x14ac:dyDescent="0.3">
      <c r="B299" t="s">
        <v>3784</v>
      </c>
      <c r="IF299">
        <v>1</v>
      </c>
      <c r="BWF299">
        <v>1</v>
      </c>
      <c r="EDG299">
        <f>SUMPRODUCT(Constraint_293,Decision_variables)</f>
        <v>0</v>
      </c>
      <c r="EDH299" t="s">
        <v>5265</v>
      </c>
      <c r="EDI299">
        <v>1</v>
      </c>
    </row>
    <row r="300" spans="2:245 1946:1961 3491:3493" x14ac:dyDescent="0.3">
      <c r="B300" t="s">
        <v>3785</v>
      </c>
      <c r="IG300">
        <v>1</v>
      </c>
      <c r="BWG300">
        <v>1</v>
      </c>
      <c r="EDG300">
        <f>SUMPRODUCT(Constraint_294,Decision_variables)</f>
        <v>0</v>
      </c>
      <c r="EDH300" t="s">
        <v>5265</v>
      </c>
      <c r="EDI300">
        <v>1</v>
      </c>
    </row>
    <row r="301" spans="2:245 1946:1961 3491:3493" x14ac:dyDescent="0.3">
      <c r="B301" t="s">
        <v>3786</v>
      </c>
      <c r="IH301">
        <v>1</v>
      </c>
      <c r="BWH301">
        <v>1</v>
      </c>
      <c r="EDG301">
        <f>SUMPRODUCT(Constraint_295,Decision_variables)</f>
        <v>0</v>
      </c>
      <c r="EDH301" t="s">
        <v>5265</v>
      </c>
      <c r="EDI301">
        <v>1</v>
      </c>
    </row>
    <row r="302" spans="2:245 1946:1961 3491:3493" x14ac:dyDescent="0.3">
      <c r="B302" t="s">
        <v>3787</v>
      </c>
      <c r="II302">
        <v>1</v>
      </c>
      <c r="BWI302">
        <v>1</v>
      </c>
      <c r="EDG302">
        <f>SUMPRODUCT(Constraint_296,Decision_variables)</f>
        <v>0</v>
      </c>
      <c r="EDH302" t="s">
        <v>5265</v>
      </c>
      <c r="EDI302">
        <v>1</v>
      </c>
    </row>
    <row r="303" spans="2:245 1946:1961 3491:3493" x14ac:dyDescent="0.3">
      <c r="B303" t="s">
        <v>3788</v>
      </c>
      <c r="IJ303">
        <v>1</v>
      </c>
      <c r="BWJ303">
        <v>1</v>
      </c>
      <c r="EDG303">
        <f>SUMPRODUCT(Constraint_297,Decision_variables)</f>
        <v>0</v>
      </c>
      <c r="EDH303" t="s">
        <v>5265</v>
      </c>
      <c r="EDI303">
        <v>1</v>
      </c>
    </row>
    <row r="304" spans="2:245 1946:1961 3491:3493" x14ac:dyDescent="0.3">
      <c r="B304" t="s">
        <v>3789</v>
      </c>
      <c r="IK304">
        <v>1</v>
      </c>
      <c r="BWK304">
        <v>1</v>
      </c>
      <c r="EDG304">
        <f>SUMPRODUCT(Constraint_298,Decision_variables)</f>
        <v>0</v>
      </c>
      <c r="EDH304" t="s">
        <v>5265</v>
      </c>
      <c r="EDI304">
        <v>1</v>
      </c>
    </row>
    <row r="305" spans="2:261 1962:1977 3491:3493" x14ac:dyDescent="0.3">
      <c r="B305" t="s">
        <v>3790</v>
      </c>
      <c r="IL305">
        <v>1</v>
      </c>
      <c r="BWL305">
        <v>1</v>
      </c>
      <c r="EDG305">
        <f>SUMPRODUCT(Constraint_299,Decision_variables)</f>
        <v>0</v>
      </c>
      <c r="EDH305" t="s">
        <v>5265</v>
      </c>
      <c r="EDI305">
        <v>1</v>
      </c>
    </row>
    <row r="306" spans="2:261 1962:1977 3491:3493" x14ac:dyDescent="0.3">
      <c r="B306" t="s">
        <v>3791</v>
      </c>
      <c r="IM306">
        <v>1</v>
      </c>
      <c r="BWM306">
        <v>1</v>
      </c>
      <c r="EDG306">
        <f>SUMPRODUCT(Constraint_300,Decision_variables)</f>
        <v>0</v>
      </c>
      <c r="EDH306" t="s">
        <v>5265</v>
      </c>
      <c r="EDI306">
        <v>1</v>
      </c>
    </row>
    <row r="307" spans="2:261 1962:1977 3491:3493" x14ac:dyDescent="0.3">
      <c r="B307" t="s">
        <v>3792</v>
      </c>
      <c r="IN307">
        <v>1</v>
      </c>
      <c r="BWN307">
        <v>1</v>
      </c>
      <c r="EDG307">
        <f>SUMPRODUCT(Constraint_301,Decision_variables)</f>
        <v>0</v>
      </c>
      <c r="EDH307" t="s">
        <v>5265</v>
      </c>
      <c r="EDI307">
        <v>1</v>
      </c>
    </row>
    <row r="308" spans="2:261 1962:1977 3491:3493" x14ac:dyDescent="0.3">
      <c r="B308" t="s">
        <v>3793</v>
      </c>
      <c r="IO308">
        <v>1</v>
      </c>
      <c r="BWO308">
        <v>1</v>
      </c>
      <c r="EDG308">
        <f>SUMPRODUCT(Constraint_302,Decision_variables)</f>
        <v>0</v>
      </c>
      <c r="EDH308" t="s">
        <v>5265</v>
      </c>
      <c r="EDI308">
        <v>1</v>
      </c>
    </row>
    <row r="309" spans="2:261 1962:1977 3491:3493" x14ac:dyDescent="0.3">
      <c r="B309" t="s">
        <v>3794</v>
      </c>
      <c r="IP309">
        <v>1</v>
      </c>
      <c r="BWP309">
        <v>1</v>
      </c>
      <c r="EDG309">
        <f>SUMPRODUCT(Constraint_303,Decision_variables)</f>
        <v>0</v>
      </c>
      <c r="EDH309" t="s">
        <v>5265</v>
      </c>
      <c r="EDI309">
        <v>1</v>
      </c>
    </row>
    <row r="310" spans="2:261 1962:1977 3491:3493" x14ac:dyDescent="0.3">
      <c r="B310" t="s">
        <v>3795</v>
      </c>
      <c r="IQ310">
        <v>1</v>
      </c>
      <c r="BWQ310">
        <v>1</v>
      </c>
      <c r="EDG310">
        <f>SUMPRODUCT(Constraint_304,Decision_variables)</f>
        <v>0</v>
      </c>
      <c r="EDH310" t="s">
        <v>5265</v>
      </c>
      <c r="EDI310">
        <v>1</v>
      </c>
    </row>
    <row r="311" spans="2:261 1962:1977 3491:3493" x14ac:dyDescent="0.3">
      <c r="B311" t="s">
        <v>3796</v>
      </c>
      <c r="IR311">
        <v>1</v>
      </c>
      <c r="BWR311">
        <v>1</v>
      </c>
      <c r="EDG311">
        <f>SUMPRODUCT(Constraint_305,Decision_variables)</f>
        <v>0</v>
      </c>
      <c r="EDH311" t="s">
        <v>5265</v>
      </c>
      <c r="EDI311">
        <v>1</v>
      </c>
    </row>
    <row r="312" spans="2:261 1962:1977 3491:3493" x14ac:dyDescent="0.3">
      <c r="B312" t="s">
        <v>3797</v>
      </c>
      <c r="IS312">
        <v>1</v>
      </c>
      <c r="BWS312">
        <v>1</v>
      </c>
      <c r="EDG312">
        <f>SUMPRODUCT(Constraint_306,Decision_variables)</f>
        <v>0</v>
      </c>
      <c r="EDH312" t="s">
        <v>5265</v>
      </c>
      <c r="EDI312">
        <v>1</v>
      </c>
    </row>
    <row r="313" spans="2:261 1962:1977 3491:3493" x14ac:dyDescent="0.3">
      <c r="B313" t="s">
        <v>3798</v>
      </c>
      <c r="IT313">
        <v>1</v>
      </c>
      <c r="BWT313">
        <v>1</v>
      </c>
      <c r="EDG313">
        <f>SUMPRODUCT(Constraint_307,Decision_variables)</f>
        <v>0</v>
      </c>
      <c r="EDH313" t="s">
        <v>5265</v>
      </c>
      <c r="EDI313">
        <v>1</v>
      </c>
    </row>
    <row r="314" spans="2:261 1962:1977 3491:3493" x14ac:dyDescent="0.3">
      <c r="B314" t="s">
        <v>3799</v>
      </c>
      <c r="IU314">
        <v>1</v>
      </c>
      <c r="BWU314">
        <v>1</v>
      </c>
      <c r="EDG314">
        <f>SUMPRODUCT(Constraint_308,Decision_variables)</f>
        <v>0</v>
      </c>
      <c r="EDH314" t="s">
        <v>5265</v>
      </c>
      <c r="EDI314">
        <v>1</v>
      </c>
    </row>
    <row r="315" spans="2:261 1962:1977 3491:3493" x14ac:dyDescent="0.3">
      <c r="B315" t="s">
        <v>3800</v>
      </c>
      <c r="IV315">
        <v>1</v>
      </c>
      <c r="BWV315">
        <v>1</v>
      </c>
      <c r="EDG315">
        <f>SUMPRODUCT(Constraint_309,Decision_variables)</f>
        <v>0</v>
      </c>
      <c r="EDH315" t="s">
        <v>5265</v>
      </c>
      <c r="EDI315">
        <v>1</v>
      </c>
    </row>
    <row r="316" spans="2:261 1962:1977 3491:3493" x14ac:dyDescent="0.3">
      <c r="B316" t="s">
        <v>3801</v>
      </c>
      <c r="IW316">
        <v>1</v>
      </c>
      <c r="BWW316">
        <v>1</v>
      </c>
      <c r="EDG316">
        <f>SUMPRODUCT(Constraint_310,Decision_variables)</f>
        <v>0</v>
      </c>
      <c r="EDH316" t="s">
        <v>5265</v>
      </c>
      <c r="EDI316">
        <v>1</v>
      </c>
    </row>
    <row r="317" spans="2:261 1962:1977 3491:3493" x14ac:dyDescent="0.3">
      <c r="B317" t="s">
        <v>3802</v>
      </c>
      <c r="IX317">
        <v>1</v>
      </c>
      <c r="BWX317">
        <v>1</v>
      </c>
      <c r="EDG317">
        <f>SUMPRODUCT(Constraint_311,Decision_variables)</f>
        <v>0</v>
      </c>
      <c r="EDH317" t="s">
        <v>5265</v>
      </c>
      <c r="EDI317">
        <v>1</v>
      </c>
    </row>
    <row r="318" spans="2:261 1962:1977 3491:3493" x14ac:dyDescent="0.3">
      <c r="B318" t="s">
        <v>3803</v>
      </c>
      <c r="IY318">
        <v>1</v>
      </c>
      <c r="BWY318">
        <v>1</v>
      </c>
      <c r="EDG318">
        <f>SUMPRODUCT(Constraint_312,Decision_variables)</f>
        <v>0</v>
      </c>
      <c r="EDH318" t="s">
        <v>5265</v>
      </c>
      <c r="EDI318">
        <v>1</v>
      </c>
    </row>
    <row r="319" spans="2:261 1962:1977 3491:3493" x14ac:dyDescent="0.3">
      <c r="B319" t="s">
        <v>3804</v>
      </c>
      <c r="IZ319">
        <v>1</v>
      </c>
      <c r="BWZ319">
        <v>1</v>
      </c>
      <c r="EDG319">
        <f>SUMPRODUCT(Constraint_313,Decision_variables)</f>
        <v>0</v>
      </c>
      <c r="EDH319" t="s">
        <v>5265</v>
      </c>
      <c r="EDI319">
        <v>1</v>
      </c>
    </row>
    <row r="320" spans="2:261 1962:1977 3491:3493" x14ac:dyDescent="0.3">
      <c r="B320" t="s">
        <v>3805</v>
      </c>
      <c r="JA320">
        <v>1</v>
      </c>
      <c r="BXA320">
        <v>1</v>
      </c>
      <c r="EDG320">
        <f>SUMPRODUCT(Constraint_314,Decision_variables)</f>
        <v>0</v>
      </c>
      <c r="EDH320" t="s">
        <v>5265</v>
      </c>
      <c r="EDI320">
        <v>1</v>
      </c>
    </row>
    <row r="321" spans="2:277 1978:1993 3491:3493" x14ac:dyDescent="0.3">
      <c r="B321" t="s">
        <v>3806</v>
      </c>
      <c r="JB321">
        <v>1</v>
      </c>
      <c r="BXB321">
        <v>1</v>
      </c>
      <c r="EDG321">
        <f>SUMPRODUCT(Constraint_315,Decision_variables)</f>
        <v>0</v>
      </c>
      <c r="EDH321" t="s">
        <v>5265</v>
      </c>
      <c r="EDI321">
        <v>1</v>
      </c>
    </row>
    <row r="322" spans="2:277 1978:1993 3491:3493" x14ac:dyDescent="0.3">
      <c r="B322" t="s">
        <v>3807</v>
      </c>
      <c r="JC322">
        <v>1</v>
      </c>
      <c r="BXC322">
        <v>1</v>
      </c>
      <c r="EDG322">
        <f>SUMPRODUCT(Constraint_316,Decision_variables)</f>
        <v>0</v>
      </c>
      <c r="EDH322" t="s">
        <v>5265</v>
      </c>
      <c r="EDI322">
        <v>1</v>
      </c>
    </row>
    <row r="323" spans="2:277 1978:1993 3491:3493" x14ac:dyDescent="0.3">
      <c r="B323" t="s">
        <v>3808</v>
      </c>
      <c r="JD323">
        <v>1</v>
      </c>
      <c r="BXD323">
        <v>1</v>
      </c>
      <c r="EDG323">
        <f>SUMPRODUCT(Constraint_317,Decision_variables)</f>
        <v>0</v>
      </c>
      <c r="EDH323" t="s">
        <v>5265</v>
      </c>
      <c r="EDI323">
        <v>1</v>
      </c>
    </row>
    <row r="324" spans="2:277 1978:1993 3491:3493" x14ac:dyDescent="0.3">
      <c r="B324" t="s">
        <v>3809</v>
      </c>
      <c r="JE324">
        <v>1</v>
      </c>
      <c r="BXE324">
        <v>1</v>
      </c>
      <c r="EDG324">
        <f>SUMPRODUCT(Constraint_318,Decision_variables)</f>
        <v>0</v>
      </c>
      <c r="EDH324" t="s">
        <v>5265</v>
      </c>
      <c r="EDI324">
        <v>1</v>
      </c>
    </row>
    <row r="325" spans="2:277 1978:1993 3491:3493" x14ac:dyDescent="0.3">
      <c r="B325" t="s">
        <v>3810</v>
      </c>
      <c r="JF325">
        <v>1</v>
      </c>
      <c r="BXF325">
        <v>1</v>
      </c>
      <c r="EDG325">
        <f>SUMPRODUCT(Constraint_319,Decision_variables)</f>
        <v>0</v>
      </c>
      <c r="EDH325" t="s">
        <v>5265</v>
      </c>
      <c r="EDI325">
        <v>1</v>
      </c>
    </row>
    <row r="326" spans="2:277 1978:1993 3491:3493" x14ac:dyDescent="0.3">
      <c r="B326" t="s">
        <v>3811</v>
      </c>
      <c r="JG326">
        <v>1</v>
      </c>
      <c r="BXG326">
        <v>1</v>
      </c>
      <c r="EDG326">
        <f>SUMPRODUCT(Constraint_320,Decision_variables)</f>
        <v>0</v>
      </c>
      <c r="EDH326" t="s">
        <v>5265</v>
      </c>
      <c r="EDI326">
        <v>1</v>
      </c>
    </row>
    <row r="327" spans="2:277 1978:1993 3491:3493" x14ac:dyDescent="0.3">
      <c r="B327" t="s">
        <v>3812</v>
      </c>
      <c r="JH327">
        <v>1</v>
      </c>
      <c r="BXH327">
        <v>1</v>
      </c>
      <c r="EDG327">
        <f>SUMPRODUCT(Constraint_321,Decision_variables)</f>
        <v>0</v>
      </c>
      <c r="EDH327" t="s">
        <v>5265</v>
      </c>
      <c r="EDI327">
        <v>1</v>
      </c>
    </row>
    <row r="328" spans="2:277 1978:1993 3491:3493" x14ac:dyDescent="0.3">
      <c r="B328" t="s">
        <v>3813</v>
      </c>
      <c r="JI328">
        <v>1</v>
      </c>
      <c r="BXI328">
        <v>1</v>
      </c>
      <c r="EDG328">
        <f>SUMPRODUCT(Constraint_322,Decision_variables)</f>
        <v>0</v>
      </c>
      <c r="EDH328" t="s">
        <v>5265</v>
      </c>
      <c r="EDI328">
        <v>1</v>
      </c>
    </row>
    <row r="329" spans="2:277 1978:1993 3491:3493" x14ac:dyDescent="0.3">
      <c r="B329" t="s">
        <v>3814</v>
      </c>
      <c r="JJ329">
        <v>1</v>
      </c>
      <c r="BXJ329">
        <v>1</v>
      </c>
      <c r="EDG329">
        <f>SUMPRODUCT(Constraint_323,Decision_variables)</f>
        <v>0</v>
      </c>
      <c r="EDH329" t="s">
        <v>5265</v>
      </c>
      <c r="EDI329">
        <v>1</v>
      </c>
    </row>
    <row r="330" spans="2:277 1978:1993 3491:3493" x14ac:dyDescent="0.3">
      <c r="B330" t="s">
        <v>3815</v>
      </c>
      <c r="JK330">
        <v>1</v>
      </c>
      <c r="BXK330">
        <v>1</v>
      </c>
      <c r="EDG330">
        <f>SUMPRODUCT(Constraint_324,Decision_variables)</f>
        <v>0</v>
      </c>
      <c r="EDH330" t="s">
        <v>5265</v>
      </c>
      <c r="EDI330">
        <v>1</v>
      </c>
    </row>
    <row r="331" spans="2:277 1978:1993 3491:3493" x14ac:dyDescent="0.3">
      <c r="B331" t="s">
        <v>3816</v>
      </c>
      <c r="JL331">
        <v>1</v>
      </c>
      <c r="BXL331">
        <v>1</v>
      </c>
      <c r="EDG331">
        <f>SUMPRODUCT(Constraint_325,Decision_variables)</f>
        <v>0</v>
      </c>
      <c r="EDH331" t="s">
        <v>5265</v>
      </c>
      <c r="EDI331">
        <v>1</v>
      </c>
    </row>
    <row r="332" spans="2:277 1978:1993 3491:3493" x14ac:dyDescent="0.3">
      <c r="B332" t="s">
        <v>3817</v>
      </c>
      <c r="JM332">
        <v>1</v>
      </c>
      <c r="BXM332">
        <v>1</v>
      </c>
      <c r="EDG332">
        <f>SUMPRODUCT(Constraint_326,Decision_variables)</f>
        <v>0</v>
      </c>
      <c r="EDH332" t="s">
        <v>5265</v>
      </c>
      <c r="EDI332">
        <v>1</v>
      </c>
    </row>
    <row r="333" spans="2:277 1978:1993 3491:3493" x14ac:dyDescent="0.3">
      <c r="B333" t="s">
        <v>3818</v>
      </c>
      <c r="JN333">
        <v>1</v>
      </c>
      <c r="BXN333">
        <v>1</v>
      </c>
      <c r="EDG333">
        <f>SUMPRODUCT(Constraint_327,Decision_variables)</f>
        <v>0</v>
      </c>
      <c r="EDH333" t="s">
        <v>5265</v>
      </c>
      <c r="EDI333">
        <v>1</v>
      </c>
    </row>
    <row r="334" spans="2:277 1978:1993 3491:3493" x14ac:dyDescent="0.3">
      <c r="B334" t="s">
        <v>3819</v>
      </c>
      <c r="JO334">
        <v>1</v>
      </c>
      <c r="BXO334">
        <v>1</v>
      </c>
      <c r="EDG334">
        <f>SUMPRODUCT(Constraint_328,Decision_variables)</f>
        <v>0</v>
      </c>
      <c r="EDH334" t="s">
        <v>5265</v>
      </c>
      <c r="EDI334">
        <v>1</v>
      </c>
    </row>
    <row r="335" spans="2:277 1978:1993 3491:3493" x14ac:dyDescent="0.3">
      <c r="B335" t="s">
        <v>3820</v>
      </c>
      <c r="JP335">
        <v>1</v>
      </c>
      <c r="BXP335">
        <v>1</v>
      </c>
      <c r="EDG335">
        <f>SUMPRODUCT(Constraint_329,Decision_variables)</f>
        <v>0</v>
      </c>
      <c r="EDH335" t="s">
        <v>5265</v>
      </c>
      <c r="EDI335">
        <v>1</v>
      </c>
    </row>
    <row r="336" spans="2:277 1978:1993 3491:3493" x14ac:dyDescent="0.3">
      <c r="B336" t="s">
        <v>3821</v>
      </c>
      <c r="JQ336">
        <v>1</v>
      </c>
      <c r="BXQ336">
        <v>1</v>
      </c>
      <c r="EDG336">
        <f>SUMPRODUCT(Constraint_330,Decision_variables)</f>
        <v>0</v>
      </c>
      <c r="EDH336" t="s">
        <v>5265</v>
      </c>
      <c r="EDI336">
        <v>1</v>
      </c>
    </row>
    <row r="337" spans="2:293 1994:2009 3491:3493" x14ac:dyDescent="0.3">
      <c r="B337" t="s">
        <v>3822</v>
      </c>
      <c r="JR337">
        <v>1</v>
      </c>
      <c r="BXR337">
        <v>1</v>
      </c>
      <c r="EDG337">
        <f>SUMPRODUCT(Constraint_331,Decision_variables)</f>
        <v>0</v>
      </c>
      <c r="EDH337" t="s">
        <v>5265</v>
      </c>
      <c r="EDI337">
        <v>1</v>
      </c>
    </row>
    <row r="338" spans="2:293 1994:2009 3491:3493" x14ac:dyDescent="0.3">
      <c r="B338" t="s">
        <v>3823</v>
      </c>
      <c r="JS338">
        <v>1</v>
      </c>
      <c r="BXS338">
        <v>1</v>
      </c>
      <c r="EDG338">
        <f>SUMPRODUCT(Constraint_332,Decision_variables)</f>
        <v>0</v>
      </c>
      <c r="EDH338" t="s">
        <v>5265</v>
      </c>
      <c r="EDI338">
        <v>1</v>
      </c>
    </row>
    <row r="339" spans="2:293 1994:2009 3491:3493" x14ac:dyDescent="0.3">
      <c r="B339" t="s">
        <v>3824</v>
      </c>
      <c r="JT339">
        <v>1</v>
      </c>
      <c r="BXT339">
        <v>1</v>
      </c>
      <c r="EDG339">
        <f>SUMPRODUCT(Constraint_333,Decision_variables)</f>
        <v>0</v>
      </c>
      <c r="EDH339" t="s">
        <v>5265</v>
      </c>
      <c r="EDI339">
        <v>1</v>
      </c>
    </row>
    <row r="340" spans="2:293 1994:2009 3491:3493" x14ac:dyDescent="0.3">
      <c r="B340" t="s">
        <v>3825</v>
      </c>
      <c r="JU340">
        <v>1</v>
      </c>
      <c r="BXU340">
        <v>1</v>
      </c>
      <c r="EDG340">
        <f>SUMPRODUCT(Constraint_334,Decision_variables)</f>
        <v>0</v>
      </c>
      <c r="EDH340" t="s">
        <v>5265</v>
      </c>
      <c r="EDI340">
        <v>1</v>
      </c>
    </row>
    <row r="341" spans="2:293 1994:2009 3491:3493" x14ac:dyDescent="0.3">
      <c r="B341" t="s">
        <v>3826</v>
      </c>
      <c r="JV341">
        <v>1</v>
      </c>
      <c r="BXV341">
        <v>1</v>
      </c>
      <c r="EDG341">
        <f>SUMPRODUCT(Constraint_335,Decision_variables)</f>
        <v>0</v>
      </c>
      <c r="EDH341" t="s">
        <v>5265</v>
      </c>
      <c r="EDI341">
        <v>1</v>
      </c>
    </row>
    <row r="342" spans="2:293 1994:2009 3491:3493" x14ac:dyDescent="0.3">
      <c r="B342" t="s">
        <v>3827</v>
      </c>
      <c r="JW342">
        <v>1</v>
      </c>
      <c r="BXW342">
        <v>1</v>
      </c>
      <c r="EDG342">
        <f>SUMPRODUCT(Constraint_336,Decision_variables)</f>
        <v>0</v>
      </c>
      <c r="EDH342" t="s">
        <v>5265</v>
      </c>
      <c r="EDI342">
        <v>1</v>
      </c>
    </row>
    <row r="343" spans="2:293 1994:2009 3491:3493" x14ac:dyDescent="0.3">
      <c r="B343" t="s">
        <v>3828</v>
      </c>
      <c r="JX343">
        <v>1</v>
      </c>
      <c r="BXX343">
        <v>1</v>
      </c>
      <c r="EDG343">
        <f>SUMPRODUCT(Constraint_337,Decision_variables)</f>
        <v>0</v>
      </c>
      <c r="EDH343" t="s">
        <v>5265</v>
      </c>
      <c r="EDI343">
        <v>1</v>
      </c>
    </row>
    <row r="344" spans="2:293 1994:2009 3491:3493" x14ac:dyDescent="0.3">
      <c r="B344" t="s">
        <v>3829</v>
      </c>
      <c r="JY344">
        <v>1</v>
      </c>
      <c r="BXY344">
        <v>1</v>
      </c>
      <c r="EDG344">
        <f>SUMPRODUCT(Constraint_338,Decision_variables)</f>
        <v>0</v>
      </c>
      <c r="EDH344" t="s">
        <v>5265</v>
      </c>
      <c r="EDI344">
        <v>1</v>
      </c>
    </row>
    <row r="345" spans="2:293 1994:2009 3491:3493" x14ac:dyDescent="0.3">
      <c r="B345" t="s">
        <v>3830</v>
      </c>
      <c r="JZ345">
        <v>1</v>
      </c>
      <c r="BXZ345">
        <v>1</v>
      </c>
      <c r="EDG345">
        <f>SUMPRODUCT(Constraint_339,Decision_variables)</f>
        <v>0</v>
      </c>
      <c r="EDH345" t="s">
        <v>5265</v>
      </c>
      <c r="EDI345">
        <v>1</v>
      </c>
    </row>
    <row r="346" spans="2:293 1994:2009 3491:3493" x14ac:dyDescent="0.3">
      <c r="B346" t="s">
        <v>3831</v>
      </c>
      <c r="KA346">
        <v>1</v>
      </c>
      <c r="BYA346">
        <v>1</v>
      </c>
      <c r="EDG346">
        <f>SUMPRODUCT(Constraint_340,Decision_variables)</f>
        <v>0</v>
      </c>
      <c r="EDH346" t="s">
        <v>5265</v>
      </c>
      <c r="EDI346">
        <v>1</v>
      </c>
    </row>
    <row r="347" spans="2:293 1994:2009 3491:3493" x14ac:dyDescent="0.3">
      <c r="B347" t="s">
        <v>3832</v>
      </c>
      <c r="KB347">
        <v>1</v>
      </c>
      <c r="BYB347">
        <v>1</v>
      </c>
      <c r="EDG347">
        <f>SUMPRODUCT(Constraint_341,Decision_variables)</f>
        <v>0</v>
      </c>
      <c r="EDH347" t="s">
        <v>5265</v>
      </c>
      <c r="EDI347">
        <v>1</v>
      </c>
    </row>
    <row r="348" spans="2:293 1994:2009 3491:3493" x14ac:dyDescent="0.3">
      <c r="B348" t="s">
        <v>3833</v>
      </c>
      <c r="KC348">
        <v>1</v>
      </c>
      <c r="BYC348">
        <v>1</v>
      </c>
      <c r="EDG348">
        <f>SUMPRODUCT(Constraint_342,Decision_variables)</f>
        <v>0</v>
      </c>
      <c r="EDH348" t="s">
        <v>5265</v>
      </c>
      <c r="EDI348">
        <v>1</v>
      </c>
    </row>
    <row r="349" spans="2:293 1994:2009 3491:3493" x14ac:dyDescent="0.3">
      <c r="B349" t="s">
        <v>3834</v>
      </c>
      <c r="KD349">
        <v>1</v>
      </c>
      <c r="BYD349">
        <v>1</v>
      </c>
      <c r="EDG349">
        <f>SUMPRODUCT(Constraint_343,Decision_variables)</f>
        <v>0</v>
      </c>
      <c r="EDH349" t="s">
        <v>5265</v>
      </c>
      <c r="EDI349">
        <v>1</v>
      </c>
    </row>
    <row r="350" spans="2:293 1994:2009 3491:3493" x14ac:dyDescent="0.3">
      <c r="B350" t="s">
        <v>3835</v>
      </c>
      <c r="KE350">
        <v>1</v>
      </c>
      <c r="BYE350">
        <v>1</v>
      </c>
      <c r="EDG350">
        <f>SUMPRODUCT(Constraint_344,Decision_variables)</f>
        <v>0</v>
      </c>
      <c r="EDH350" t="s">
        <v>5265</v>
      </c>
      <c r="EDI350">
        <v>1</v>
      </c>
    </row>
    <row r="351" spans="2:293 1994:2009 3491:3493" x14ac:dyDescent="0.3">
      <c r="B351" t="s">
        <v>3836</v>
      </c>
      <c r="KF351">
        <v>1</v>
      </c>
      <c r="BYF351">
        <v>1</v>
      </c>
      <c r="EDG351">
        <f>SUMPRODUCT(Constraint_345,Decision_variables)</f>
        <v>0</v>
      </c>
      <c r="EDH351" t="s">
        <v>5265</v>
      </c>
      <c r="EDI351">
        <v>1</v>
      </c>
    </row>
    <row r="352" spans="2:293 1994:2009 3491:3493" x14ac:dyDescent="0.3">
      <c r="B352" t="s">
        <v>3837</v>
      </c>
      <c r="KG352">
        <v>1</v>
      </c>
      <c r="BYG352">
        <v>1</v>
      </c>
      <c r="EDG352">
        <f>SUMPRODUCT(Constraint_346,Decision_variables)</f>
        <v>0</v>
      </c>
      <c r="EDH352" t="s">
        <v>5265</v>
      </c>
      <c r="EDI352">
        <v>1</v>
      </c>
    </row>
    <row r="353" spans="2:309 2010:2025 3491:3493" x14ac:dyDescent="0.3">
      <c r="B353" t="s">
        <v>3838</v>
      </c>
      <c r="KH353">
        <v>1</v>
      </c>
      <c r="BYH353">
        <v>1</v>
      </c>
      <c r="EDG353">
        <f>SUMPRODUCT(Constraint_347,Decision_variables)</f>
        <v>0</v>
      </c>
      <c r="EDH353" t="s">
        <v>5265</v>
      </c>
      <c r="EDI353">
        <v>1</v>
      </c>
    </row>
    <row r="354" spans="2:309 2010:2025 3491:3493" x14ac:dyDescent="0.3">
      <c r="B354" t="s">
        <v>3839</v>
      </c>
      <c r="KI354">
        <v>1</v>
      </c>
      <c r="BYI354">
        <v>1</v>
      </c>
      <c r="EDG354">
        <f>SUMPRODUCT(Constraint_348,Decision_variables)</f>
        <v>0</v>
      </c>
      <c r="EDH354" t="s">
        <v>5265</v>
      </c>
      <c r="EDI354">
        <v>1</v>
      </c>
    </row>
    <row r="355" spans="2:309 2010:2025 3491:3493" x14ac:dyDescent="0.3">
      <c r="B355" t="s">
        <v>3840</v>
      </c>
      <c r="KJ355">
        <v>1</v>
      </c>
      <c r="BYJ355">
        <v>1</v>
      </c>
      <c r="EDG355">
        <f>SUMPRODUCT(Constraint_349,Decision_variables)</f>
        <v>0</v>
      </c>
      <c r="EDH355" t="s">
        <v>5265</v>
      </c>
      <c r="EDI355">
        <v>1</v>
      </c>
    </row>
    <row r="356" spans="2:309 2010:2025 3491:3493" x14ac:dyDescent="0.3">
      <c r="B356" t="s">
        <v>3841</v>
      </c>
      <c r="KK356">
        <v>1</v>
      </c>
      <c r="BYK356">
        <v>1</v>
      </c>
      <c r="EDG356">
        <f>SUMPRODUCT(Constraint_350,Decision_variables)</f>
        <v>0</v>
      </c>
      <c r="EDH356" t="s">
        <v>5265</v>
      </c>
      <c r="EDI356">
        <v>1</v>
      </c>
    </row>
    <row r="357" spans="2:309 2010:2025 3491:3493" x14ac:dyDescent="0.3">
      <c r="B357" t="s">
        <v>3842</v>
      </c>
      <c r="KL357">
        <v>1</v>
      </c>
      <c r="BYL357">
        <v>1</v>
      </c>
      <c r="EDG357">
        <f>SUMPRODUCT(Constraint_351,Decision_variables)</f>
        <v>0</v>
      </c>
      <c r="EDH357" t="s">
        <v>5265</v>
      </c>
      <c r="EDI357">
        <v>1</v>
      </c>
    </row>
    <row r="358" spans="2:309 2010:2025 3491:3493" x14ac:dyDescent="0.3">
      <c r="B358" t="s">
        <v>3843</v>
      </c>
      <c r="KM358">
        <v>1</v>
      </c>
      <c r="BYM358">
        <v>1</v>
      </c>
      <c r="EDG358">
        <f>SUMPRODUCT(Constraint_352,Decision_variables)</f>
        <v>0</v>
      </c>
      <c r="EDH358" t="s">
        <v>5265</v>
      </c>
      <c r="EDI358">
        <v>1</v>
      </c>
    </row>
    <row r="359" spans="2:309 2010:2025 3491:3493" x14ac:dyDescent="0.3">
      <c r="B359" t="s">
        <v>3844</v>
      </c>
      <c r="KN359">
        <v>1</v>
      </c>
      <c r="BYN359">
        <v>1</v>
      </c>
      <c r="EDG359">
        <f>SUMPRODUCT(Constraint_353,Decision_variables)</f>
        <v>0</v>
      </c>
      <c r="EDH359" t="s">
        <v>5265</v>
      </c>
      <c r="EDI359">
        <v>1</v>
      </c>
    </row>
    <row r="360" spans="2:309 2010:2025 3491:3493" x14ac:dyDescent="0.3">
      <c r="B360" t="s">
        <v>3845</v>
      </c>
      <c r="KO360">
        <v>1</v>
      </c>
      <c r="BYO360">
        <v>1</v>
      </c>
      <c r="EDG360">
        <f>SUMPRODUCT(Constraint_354,Decision_variables)</f>
        <v>0</v>
      </c>
      <c r="EDH360" t="s">
        <v>5265</v>
      </c>
      <c r="EDI360">
        <v>1</v>
      </c>
    </row>
    <row r="361" spans="2:309 2010:2025 3491:3493" x14ac:dyDescent="0.3">
      <c r="B361" t="s">
        <v>3846</v>
      </c>
      <c r="KP361">
        <v>1</v>
      </c>
      <c r="BYP361">
        <v>1</v>
      </c>
      <c r="EDG361">
        <f>SUMPRODUCT(Constraint_355,Decision_variables)</f>
        <v>0</v>
      </c>
      <c r="EDH361" t="s">
        <v>5265</v>
      </c>
      <c r="EDI361">
        <v>1</v>
      </c>
    </row>
    <row r="362" spans="2:309 2010:2025 3491:3493" x14ac:dyDescent="0.3">
      <c r="B362" t="s">
        <v>3847</v>
      </c>
      <c r="KQ362">
        <v>1</v>
      </c>
      <c r="BYQ362">
        <v>1</v>
      </c>
      <c r="EDG362">
        <f>SUMPRODUCT(Constraint_356,Decision_variables)</f>
        <v>0</v>
      </c>
      <c r="EDH362" t="s">
        <v>5265</v>
      </c>
      <c r="EDI362">
        <v>1</v>
      </c>
    </row>
    <row r="363" spans="2:309 2010:2025 3491:3493" x14ac:dyDescent="0.3">
      <c r="B363" t="s">
        <v>3848</v>
      </c>
      <c r="KR363">
        <v>1</v>
      </c>
      <c r="BYR363">
        <v>1</v>
      </c>
      <c r="EDG363">
        <f>SUMPRODUCT(Constraint_357,Decision_variables)</f>
        <v>0</v>
      </c>
      <c r="EDH363" t="s">
        <v>5265</v>
      </c>
      <c r="EDI363">
        <v>1</v>
      </c>
    </row>
    <row r="364" spans="2:309 2010:2025 3491:3493" x14ac:dyDescent="0.3">
      <c r="B364" t="s">
        <v>3849</v>
      </c>
      <c r="KS364">
        <v>1</v>
      </c>
      <c r="BYS364">
        <v>1</v>
      </c>
      <c r="EDG364">
        <f>SUMPRODUCT(Constraint_358,Decision_variables)</f>
        <v>0</v>
      </c>
      <c r="EDH364" t="s">
        <v>5265</v>
      </c>
      <c r="EDI364">
        <v>1</v>
      </c>
    </row>
    <row r="365" spans="2:309 2010:2025 3491:3493" x14ac:dyDescent="0.3">
      <c r="B365" t="s">
        <v>3850</v>
      </c>
      <c r="KT365">
        <v>1</v>
      </c>
      <c r="BYT365">
        <v>1</v>
      </c>
      <c r="EDG365">
        <f>SUMPRODUCT(Constraint_359,Decision_variables)</f>
        <v>0</v>
      </c>
      <c r="EDH365" t="s">
        <v>5265</v>
      </c>
      <c r="EDI365">
        <v>1</v>
      </c>
    </row>
    <row r="366" spans="2:309 2010:2025 3491:3493" x14ac:dyDescent="0.3">
      <c r="B366" t="s">
        <v>3851</v>
      </c>
      <c r="KU366">
        <v>1</v>
      </c>
      <c r="BYU366">
        <v>1</v>
      </c>
      <c r="EDG366">
        <f>SUMPRODUCT(Constraint_360,Decision_variables)</f>
        <v>0</v>
      </c>
      <c r="EDH366" t="s">
        <v>5265</v>
      </c>
      <c r="EDI366">
        <v>1</v>
      </c>
    </row>
    <row r="367" spans="2:309 2010:2025 3491:3493" x14ac:dyDescent="0.3">
      <c r="B367" t="s">
        <v>3852</v>
      </c>
      <c r="KV367">
        <v>1</v>
      </c>
      <c r="BYV367">
        <v>1</v>
      </c>
      <c r="EDG367">
        <f>SUMPRODUCT(Constraint_361,Decision_variables)</f>
        <v>0</v>
      </c>
      <c r="EDH367" t="s">
        <v>5265</v>
      </c>
      <c r="EDI367">
        <v>1</v>
      </c>
    </row>
    <row r="368" spans="2:309 2010:2025 3491:3493" x14ac:dyDescent="0.3">
      <c r="B368" t="s">
        <v>3853</v>
      </c>
      <c r="KW368">
        <v>1</v>
      </c>
      <c r="BYW368">
        <v>1</v>
      </c>
      <c r="EDG368">
        <f>SUMPRODUCT(Constraint_362,Decision_variables)</f>
        <v>0</v>
      </c>
      <c r="EDH368" t="s">
        <v>5265</v>
      </c>
      <c r="EDI368">
        <v>1</v>
      </c>
    </row>
    <row r="369" spans="2:325 2026:2041 3491:3493" x14ac:dyDescent="0.3">
      <c r="B369" t="s">
        <v>3854</v>
      </c>
      <c r="KX369">
        <v>1</v>
      </c>
      <c r="BYX369">
        <v>1</v>
      </c>
      <c r="EDG369">
        <f>SUMPRODUCT(Constraint_363,Decision_variables)</f>
        <v>0</v>
      </c>
      <c r="EDH369" t="s">
        <v>5265</v>
      </c>
      <c r="EDI369">
        <v>1</v>
      </c>
    </row>
    <row r="370" spans="2:325 2026:2041 3491:3493" x14ac:dyDescent="0.3">
      <c r="B370" t="s">
        <v>3855</v>
      </c>
      <c r="KY370">
        <v>1</v>
      </c>
      <c r="BYY370">
        <v>1</v>
      </c>
      <c r="EDG370">
        <f>SUMPRODUCT(Constraint_364,Decision_variables)</f>
        <v>0</v>
      </c>
      <c r="EDH370" t="s">
        <v>5265</v>
      </c>
      <c r="EDI370">
        <v>1</v>
      </c>
    </row>
    <row r="371" spans="2:325 2026:2041 3491:3493" x14ac:dyDescent="0.3">
      <c r="B371" t="s">
        <v>3856</v>
      </c>
      <c r="KZ371">
        <v>1</v>
      </c>
      <c r="BYZ371">
        <v>1</v>
      </c>
      <c r="EDG371">
        <f>SUMPRODUCT(Constraint_365,Decision_variables)</f>
        <v>0</v>
      </c>
      <c r="EDH371" t="s">
        <v>5265</v>
      </c>
      <c r="EDI371">
        <v>1</v>
      </c>
    </row>
    <row r="372" spans="2:325 2026:2041 3491:3493" x14ac:dyDescent="0.3">
      <c r="B372" t="s">
        <v>3857</v>
      </c>
      <c r="LA372">
        <v>1</v>
      </c>
      <c r="BZA372">
        <v>1</v>
      </c>
      <c r="EDG372">
        <f>SUMPRODUCT(Constraint_366,Decision_variables)</f>
        <v>0</v>
      </c>
      <c r="EDH372" t="s">
        <v>5265</v>
      </c>
      <c r="EDI372">
        <v>1</v>
      </c>
    </row>
    <row r="373" spans="2:325 2026:2041 3491:3493" x14ac:dyDescent="0.3">
      <c r="B373" t="s">
        <v>3858</v>
      </c>
      <c r="LB373">
        <v>1</v>
      </c>
      <c r="BZB373">
        <v>1</v>
      </c>
      <c r="EDG373">
        <f>SUMPRODUCT(Constraint_367,Decision_variables)</f>
        <v>0</v>
      </c>
      <c r="EDH373" t="s">
        <v>5265</v>
      </c>
      <c r="EDI373">
        <v>1</v>
      </c>
    </row>
    <row r="374" spans="2:325 2026:2041 3491:3493" x14ac:dyDescent="0.3">
      <c r="B374" t="s">
        <v>3859</v>
      </c>
      <c r="LC374">
        <v>1</v>
      </c>
      <c r="BZC374">
        <v>1</v>
      </c>
      <c r="EDG374">
        <f>SUMPRODUCT(Constraint_368,Decision_variables)</f>
        <v>0</v>
      </c>
      <c r="EDH374" t="s">
        <v>5265</v>
      </c>
      <c r="EDI374">
        <v>1</v>
      </c>
    </row>
    <row r="375" spans="2:325 2026:2041 3491:3493" x14ac:dyDescent="0.3">
      <c r="B375" t="s">
        <v>3860</v>
      </c>
      <c r="LD375">
        <v>1</v>
      </c>
      <c r="BZD375">
        <v>1</v>
      </c>
      <c r="EDG375">
        <f>SUMPRODUCT(Constraint_369,Decision_variables)</f>
        <v>0</v>
      </c>
      <c r="EDH375" t="s">
        <v>5265</v>
      </c>
      <c r="EDI375">
        <v>1</v>
      </c>
    </row>
    <row r="376" spans="2:325 2026:2041 3491:3493" x14ac:dyDescent="0.3">
      <c r="B376" t="s">
        <v>3861</v>
      </c>
      <c r="LE376">
        <v>1</v>
      </c>
      <c r="BZE376">
        <v>1</v>
      </c>
      <c r="EDG376">
        <f>SUMPRODUCT(Constraint_370,Decision_variables)</f>
        <v>0</v>
      </c>
      <c r="EDH376" t="s">
        <v>5265</v>
      </c>
      <c r="EDI376">
        <v>1</v>
      </c>
    </row>
    <row r="377" spans="2:325 2026:2041 3491:3493" x14ac:dyDescent="0.3">
      <c r="B377" t="s">
        <v>3862</v>
      </c>
      <c r="LF377">
        <v>1</v>
      </c>
      <c r="BZF377">
        <v>1</v>
      </c>
      <c r="EDG377">
        <f>SUMPRODUCT(Constraint_371,Decision_variables)</f>
        <v>0</v>
      </c>
      <c r="EDH377" t="s">
        <v>5265</v>
      </c>
      <c r="EDI377">
        <v>1</v>
      </c>
    </row>
    <row r="378" spans="2:325 2026:2041 3491:3493" x14ac:dyDescent="0.3">
      <c r="B378" t="s">
        <v>3863</v>
      </c>
      <c r="LG378">
        <v>1</v>
      </c>
      <c r="BZG378">
        <v>1</v>
      </c>
      <c r="EDG378">
        <f>SUMPRODUCT(Constraint_372,Decision_variables)</f>
        <v>0</v>
      </c>
      <c r="EDH378" t="s">
        <v>5265</v>
      </c>
      <c r="EDI378">
        <v>1</v>
      </c>
    </row>
    <row r="379" spans="2:325 2026:2041 3491:3493" x14ac:dyDescent="0.3">
      <c r="B379" t="s">
        <v>3864</v>
      </c>
      <c r="LH379">
        <v>1</v>
      </c>
      <c r="BZH379">
        <v>1</v>
      </c>
      <c r="EDG379">
        <f>SUMPRODUCT(Constraint_373,Decision_variables)</f>
        <v>0</v>
      </c>
      <c r="EDH379" t="s">
        <v>5265</v>
      </c>
      <c r="EDI379">
        <v>1</v>
      </c>
    </row>
    <row r="380" spans="2:325 2026:2041 3491:3493" x14ac:dyDescent="0.3">
      <c r="B380" t="s">
        <v>3865</v>
      </c>
      <c r="LI380">
        <v>1</v>
      </c>
      <c r="BZI380">
        <v>1</v>
      </c>
      <c r="EDG380">
        <f>SUMPRODUCT(Constraint_374,Decision_variables)</f>
        <v>0</v>
      </c>
      <c r="EDH380" t="s">
        <v>5265</v>
      </c>
      <c r="EDI380">
        <v>1</v>
      </c>
    </row>
    <row r="381" spans="2:325 2026:2041 3491:3493" x14ac:dyDescent="0.3">
      <c r="B381" t="s">
        <v>3866</v>
      </c>
      <c r="LJ381">
        <v>1</v>
      </c>
      <c r="BZJ381">
        <v>1</v>
      </c>
      <c r="EDG381">
        <f>SUMPRODUCT(Constraint_375,Decision_variables)</f>
        <v>0</v>
      </c>
      <c r="EDH381" t="s">
        <v>5265</v>
      </c>
      <c r="EDI381">
        <v>1</v>
      </c>
    </row>
    <row r="382" spans="2:325 2026:2041 3491:3493" x14ac:dyDescent="0.3">
      <c r="B382" t="s">
        <v>3867</v>
      </c>
      <c r="LK382">
        <v>1</v>
      </c>
      <c r="BZK382">
        <v>1</v>
      </c>
      <c r="EDG382">
        <f>SUMPRODUCT(Constraint_376,Decision_variables)</f>
        <v>0</v>
      </c>
      <c r="EDH382" t="s">
        <v>5265</v>
      </c>
      <c r="EDI382">
        <v>1</v>
      </c>
    </row>
    <row r="383" spans="2:325 2026:2041 3491:3493" x14ac:dyDescent="0.3">
      <c r="B383" t="s">
        <v>3868</v>
      </c>
      <c r="LL383">
        <v>1</v>
      </c>
      <c r="BZL383">
        <v>1</v>
      </c>
      <c r="EDG383">
        <f>SUMPRODUCT(Constraint_377,Decision_variables)</f>
        <v>0</v>
      </c>
      <c r="EDH383" t="s">
        <v>5265</v>
      </c>
      <c r="EDI383">
        <v>1</v>
      </c>
    </row>
    <row r="384" spans="2:325 2026:2041 3491:3493" x14ac:dyDescent="0.3">
      <c r="B384" t="s">
        <v>3869</v>
      </c>
      <c r="LM384">
        <v>1</v>
      </c>
      <c r="BZM384">
        <v>1</v>
      </c>
      <c r="EDG384">
        <f>SUMPRODUCT(Constraint_378,Decision_variables)</f>
        <v>0</v>
      </c>
      <c r="EDH384" t="s">
        <v>5265</v>
      </c>
      <c r="EDI384">
        <v>1</v>
      </c>
    </row>
    <row r="385" spans="2:341 2042:2057 3491:3493" x14ac:dyDescent="0.3">
      <c r="B385" t="s">
        <v>3870</v>
      </c>
      <c r="LN385">
        <v>1</v>
      </c>
      <c r="BZN385">
        <v>1</v>
      </c>
      <c r="EDG385">
        <f>SUMPRODUCT(Constraint_379,Decision_variables)</f>
        <v>0</v>
      </c>
      <c r="EDH385" t="s">
        <v>5265</v>
      </c>
      <c r="EDI385">
        <v>1</v>
      </c>
    </row>
    <row r="386" spans="2:341 2042:2057 3491:3493" x14ac:dyDescent="0.3">
      <c r="B386" t="s">
        <v>3871</v>
      </c>
      <c r="LO386">
        <v>1</v>
      </c>
      <c r="BZO386">
        <v>1</v>
      </c>
      <c r="EDG386">
        <f>SUMPRODUCT(Constraint_380,Decision_variables)</f>
        <v>0</v>
      </c>
      <c r="EDH386" t="s">
        <v>5265</v>
      </c>
      <c r="EDI386">
        <v>1</v>
      </c>
    </row>
    <row r="387" spans="2:341 2042:2057 3491:3493" x14ac:dyDescent="0.3">
      <c r="B387" t="s">
        <v>3872</v>
      </c>
      <c r="LP387">
        <v>1</v>
      </c>
      <c r="BZP387">
        <v>1</v>
      </c>
      <c r="EDG387">
        <f>SUMPRODUCT(Constraint_381,Decision_variables)</f>
        <v>0</v>
      </c>
      <c r="EDH387" t="s">
        <v>5265</v>
      </c>
      <c r="EDI387">
        <v>1</v>
      </c>
    </row>
    <row r="388" spans="2:341 2042:2057 3491:3493" x14ac:dyDescent="0.3">
      <c r="B388" t="s">
        <v>3873</v>
      </c>
      <c r="LQ388">
        <v>1</v>
      </c>
      <c r="BZQ388">
        <v>1</v>
      </c>
      <c r="EDG388">
        <f>SUMPRODUCT(Constraint_382,Decision_variables)</f>
        <v>0</v>
      </c>
      <c r="EDH388" t="s">
        <v>5265</v>
      </c>
      <c r="EDI388">
        <v>1</v>
      </c>
    </row>
    <row r="389" spans="2:341 2042:2057 3491:3493" x14ac:dyDescent="0.3">
      <c r="B389" t="s">
        <v>3874</v>
      </c>
      <c r="LR389">
        <v>1</v>
      </c>
      <c r="BZR389">
        <v>1</v>
      </c>
      <c r="EDG389">
        <f>SUMPRODUCT(Constraint_383,Decision_variables)</f>
        <v>0</v>
      </c>
      <c r="EDH389" t="s">
        <v>5265</v>
      </c>
      <c r="EDI389">
        <v>1</v>
      </c>
    </row>
    <row r="390" spans="2:341 2042:2057 3491:3493" x14ac:dyDescent="0.3">
      <c r="B390" t="s">
        <v>3875</v>
      </c>
      <c r="LS390">
        <v>1</v>
      </c>
      <c r="BZS390">
        <v>1</v>
      </c>
      <c r="EDG390">
        <f>SUMPRODUCT(Constraint_384,Decision_variables)</f>
        <v>0</v>
      </c>
      <c r="EDH390" t="s">
        <v>5265</v>
      </c>
      <c r="EDI390">
        <v>1</v>
      </c>
    </row>
    <row r="391" spans="2:341 2042:2057 3491:3493" x14ac:dyDescent="0.3">
      <c r="B391" t="s">
        <v>3876</v>
      </c>
      <c r="LT391">
        <v>1</v>
      </c>
      <c r="BZT391">
        <v>1</v>
      </c>
      <c r="EDG391">
        <f>SUMPRODUCT(Constraint_385,Decision_variables)</f>
        <v>0</v>
      </c>
      <c r="EDH391" t="s">
        <v>5265</v>
      </c>
      <c r="EDI391">
        <v>1</v>
      </c>
    </row>
    <row r="392" spans="2:341 2042:2057 3491:3493" x14ac:dyDescent="0.3">
      <c r="B392" t="s">
        <v>3877</v>
      </c>
      <c r="LU392">
        <v>1</v>
      </c>
      <c r="BZU392">
        <v>1</v>
      </c>
      <c r="EDG392">
        <f>SUMPRODUCT(Constraint_386,Decision_variables)</f>
        <v>0</v>
      </c>
      <c r="EDH392" t="s">
        <v>5265</v>
      </c>
      <c r="EDI392">
        <v>1</v>
      </c>
    </row>
    <row r="393" spans="2:341 2042:2057 3491:3493" x14ac:dyDescent="0.3">
      <c r="B393" t="s">
        <v>3878</v>
      </c>
      <c r="LV393">
        <v>1</v>
      </c>
      <c r="BZV393">
        <v>1</v>
      </c>
      <c r="EDG393">
        <f>SUMPRODUCT(Constraint_387,Decision_variables)</f>
        <v>0</v>
      </c>
      <c r="EDH393" t="s">
        <v>5265</v>
      </c>
      <c r="EDI393">
        <v>1</v>
      </c>
    </row>
    <row r="394" spans="2:341 2042:2057 3491:3493" x14ac:dyDescent="0.3">
      <c r="B394" t="s">
        <v>3879</v>
      </c>
      <c r="LW394">
        <v>1</v>
      </c>
      <c r="BZW394">
        <v>1</v>
      </c>
      <c r="EDG394">
        <f>SUMPRODUCT(Constraint_388,Decision_variables)</f>
        <v>1</v>
      </c>
      <c r="EDH394" t="s">
        <v>5265</v>
      </c>
      <c r="EDI394">
        <v>1</v>
      </c>
    </row>
    <row r="395" spans="2:341 2042:2057 3491:3493" x14ac:dyDescent="0.3">
      <c r="B395" t="s">
        <v>3880</v>
      </c>
      <c r="LX395">
        <v>1</v>
      </c>
      <c r="BZX395">
        <v>1</v>
      </c>
      <c r="EDG395">
        <f>SUMPRODUCT(Constraint_389,Decision_variables)</f>
        <v>0</v>
      </c>
      <c r="EDH395" t="s">
        <v>5265</v>
      </c>
      <c r="EDI395">
        <v>1</v>
      </c>
    </row>
    <row r="396" spans="2:341 2042:2057 3491:3493" x14ac:dyDescent="0.3">
      <c r="B396" t="s">
        <v>3881</v>
      </c>
      <c r="LY396">
        <v>1</v>
      </c>
      <c r="BZY396">
        <v>1</v>
      </c>
      <c r="EDG396">
        <f>SUMPRODUCT(Constraint_390,Decision_variables)</f>
        <v>0</v>
      </c>
      <c r="EDH396" t="s">
        <v>5265</v>
      </c>
      <c r="EDI396">
        <v>1</v>
      </c>
    </row>
    <row r="397" spans="2:341 2042:2057 3491:3493" x14ac:dyDescent="0.3">
      <c r="B397" t="s">
        <v>3882</v>
      </c>
      <c r="LZ397">
        <v>1</v>
      </c>
      <c r="BZZ397">
        <v>1</v>
      </c>
      <c r="EDG397">
        <f>SUMPRODUCT(Constraint_391,Decision_variables)</f>
        <v>0</v>
      </c>
      <c r="EDH397" t="s">
        <v>5265</v>
      </c>
      <c r="EDI397">
        <v>1</v>
      </c>
    </row>
    <row r="398" spans="2:341 2042:2057 3491:3493" x14ac:dyDescent="0.3">
      <c r="B398" t="s">
        <v>3883</v>
      </c>
      <c r="MA398">
        <v>1</v>
      </c>
      <c r="CAA398">
        <v>1</v>
      </c>
      <c r="EDG398">
        <f>SUMPRODUCT(Constraint_392,Decision_variables)</f>
        <v>0</v>
      </c>
      <c r="EDH398" t="s">
        <v>5265</v>
      </c>
      <c r="EDI398">
        <v>1</v>
      </c>
    </row>
    <row r="399" spans="2:341 2042:2057 3491:3493" x14ac:dyDescent="0.3">
      <c r="B399" t="s">
        <v>3884</v>
      </c>
      <c r="MB399">
        <v>1</v>
      </c>
      <c r="CAB399">
        <v>1</v>
      </c>
      <c r="EDG399">
        <f>SUMPRODUCT(Constraint_393,Decision_variables)</f>
        <v>0</v>
      </c>
      <c r="EDH399" t="s">
        <v>5265</v>
      </c>
      <c r="EDI399">
        <v>1</v>
      </c>
    </row>
    <row r="400" spans="2:341 2042:2057 3491:3493" x14ac:dyDescent="0.3">
      <c r="B400" t="s">
        <v>3885</v>
      </c>
      <c r="MC400">
        <v>1</v>
      </c>
      <c r="CAC400">
        <v>1</v>
      </c>
      <c r="EDG400">
        <f>SUMPRODUCT(Constraint_394,Decision_variables)</f>
        <v>0</v>
      </c>
      <c r="EDH400" t="s">
        <v>5265</v>
      </c>
      <c r="EDI400">
        <v>1</v>
      </c>
    </row>
    <row r="401" spans="2:357 2058:2073 3491:3493" x14ac:dyDescent="0.3">
      <c r="B401" t="s">
        <v>3886</v>
      </c>
      <c r="MD401">
        <v>1</v>
      </c>
      <c r="CAD401">
        <v>1</v>
      </c>
      <c r="EDG401">
        <f>SUMPRODUCT(Constraint_395,Decision_variables)</f>
        <v>0</v>
      </c>
      <c r="EDH401" t="s">
        <v>5265</v>
      </c>
      <c r="EDI401">
        <v>1</v>
      </c>
    </row>
    <row r="402" spans="2:357 2058:2073 3491:3493" x14ac:dyDescent="0.3">
      <c r="B402" t="s">
        <v>3887</v>
      </c>
      <c r="ME402">
        <v>1</v>
      </c>
      <c r="CAE402">
        <v>1</v>
      </c>
      <c r="EDG402">
        <f>SUMPRODUCT(Constraint_396,Decision_variables)</f>
        <v>0</v>
      </c>
      <c r="EDH402" t="s">
        <v>5265</v>
      </c>
      <c r="EDI402">
        <v>1</v>
      </c>
    </row>
    <row r="403" spans="2:357 2058:2073 3491:3493" x14ac:dyDescent="0.3">
      <c r="B403" t="s">
        <v>3888</v>
      </c>
      <c r="MF403">
        <v>1</v>
      </c>
      <c r="CAF403">
        <v>1</v>
      </c>
      <c r="EDG403">
        <f>SUMPRODUCT(Constraint_397,Decision_variables)</f>
        <v>0</v>
      </c>
      <c r="EDH403" t="s">
        <v>5265</v>
      </c>
      <c r="EDI403">
        <v>1</v>
      </c>
    </row>
    <row r="404" spans="2:357 2058:2073 3491:3493" x14ac:dyDescent="0.3">
      <c r="B404" t="s">
        <v>3889</v>
      </c>
      <c r="MG404">
        <v>1</v>
      </c>
      <c r="CAG404">
        <v>1</v>
      </c>
      <c r="EDG404">
        <f>SUMPRODUCT(Constraint_398,Decision_variables)</f>
        <v>0</v>
      </c>
      <c r="EDH404" t="s">
        <v>5265</v>
      </c>
      <c r="EDI404">
        <v>1</v>
      </c>
    </row>
    <row r="405" spans="2:357 2058:2073 3491:3493" x14ac:dyDescent="0.3">
      <c r="B405" t="s">
        <v>3890</v>
      </c>
      <c r="MH405">
        <v>1</v>
      </c>
      <c r="CAH405">
        <v>1</v>
      </c>
      <c r="EDG405">
        <f>SUMPRODUCT(Constraint_399,Decision_variables)</f>
        <v>0</v>
      </c>
      <c r="EDH405" t="s">
        <v>5265</v>
      </c>
      <c r="EDI405">
        <v>1</v>
      </c>
    </row>
    <row r="406" spans="2:357 2058:2073 3491:3493" x14ac:dyDescent="0.3">
      <c r="B406" t="s">
        <v>3891</v>
      </c>
      <c r="MI406">
        <v>1</v>
      </c>
      <c r="CAI406">
        <v>1</v>
      </c>
      <c r="EDG406">
        <f>SUMPRODUCT(Constraint_400,Decision_variables)</f>
        <v>0</v>
      </c>
      <c r="EDH406" t="s">
        <v>5265</v>
      </c>
      <c r="EDI406">
        <v>1</v>
      </c>
    </row>
    <row r="407" spans="2:357 2058:2073 3491:3493" x14ac:dyDescent="0.3">
      <c r="B407" t="s">
        <v>3892</v>
      </c>
      <c r="MJ407">
        <v>1</v>
      </c>
      <c r="CAJ407">
        <v>1</v>
      </c>
      <c r="EDG407">
        <f>SUMPRODUCT(Constraint_401,Decision_variables)</f>
        <v>0</v>
      </c>
      <c r="EDH407" t="s">
        <v>5265</v>
      </c>
      <c r="EDI407">
        <v>1</v>
      </c>
    </row>
    <row r="408" spans="2:357 2058:2073 3491:3493" x14ac:dyDescent="0.3">
      <c r="B408" t="s">
        <v>3893</v>
      </c>
      <c r="MK408">
        <v>1</v>
      </c>
      <c r="CAK408">
        <v>1</v>
      </c>
      <c r="EDG408">
        <f>SUMPRODUCT(Constraint_402,Decision_variables)</f>
        <v>0</v>
      </c>
      <c r="EDH408" t="s">
        <v>5265</v>
      </c>
      <c r="EDI408">
        <v>1</v>
      </c>
    </row>
    <row r="409" spans="2:357 2058:2073 3491:3493" x14ac:dyDescent="0.3">
      <c r="B409" t="s">
        <v>3894</v>
      </c>
      <c r="ML409">
        <v>1</v>
      </c>
      <c r="CAL409">
        <v>1</v>
      </c>
      <c r="EDG409">
        <f>SUMPRODUCT(Constraint_403,Decision_variables)</f>
        <v>0</v>
      </c>
      <c r="EDH409" t="s">
        <v>5265</v>
      </c>
      <c r="EDI409">
        <v>1</v>
      </c>
    </row>
    <row r="410" spans="2:357 2058:2073 3491:3493" x14ac:dyDescent="0.3">
      <c r="B410" t="s">
        <v>3895</v>
      </c>
      <c r="MM410">
        <v>1</v>
      </c>
      <c r="CAM410">
        <v>1</v>
      </c>
      <c r="EDG410">
        <f>SUMPRODUCT(Constraint_404,Decision_variables)</f>
        <v>0</v>
      </c>
      <c r="EDH410" t="s">
        <v>5265</v>
      </c>
      <c r="EDI410">
        <v>1</v>
      </c>
    </row>
    <row r="411" spans="2:357 2058:2073 3491:3493" x14ac:dyDescent="0.3">
      <c r="B411" t="s">
        <v>3896</v>
      </c>
      <c r="MN411">
        <v>1</v>
      </c>
      <c r="CAN411">
        <v>1</v>
      </c>
      <c r="EDG411">
        <f>SUMPRODUCT(Constraint_405,Decision_variables)</f>
        <v>0</v>
      </c>
      <c r="EDH411" t="s">
        <v>5265</v>
      </c>
      <c r="EDI411">
        <v>1</v>
      </c>
    </row>
    <row r="412" spans="2:357 2058:2073 3491:3493" x14ac:dyDescent="0.3">
      <c r="B412" t="s">
        <v>3897</v>
      </c>
      <c r="MO412">
        <v>1</v>
      </c>
      <c r="CAO412">
        <v>1</v>
      </c>
      <c r="EDG412">
        <f>SUMPRODUCT(Constraint_406,Decision_variables)</f>
        <v>0</v>
      </c>
      <c r="EDH412" t="s">
        <v>5265</v>
      </c>
      <c r="EDI412">
        <v>1</v>
      </c>
    </row>
    <row r="413" spans="2:357 2058:2073 3491:3493" x14ac:dyDescent="0.3">
      <c r="B413" t="s">
        <v>3898</v>
      </c>
      <c r="MP413">
        <v>1</v>
      </c>
      <c r="CAP413">
        <v>1</v>
      </c>
      <c r="EDG413">
        <f>SUMPRODUCT(Constraint_407,Decision_variables)</f>
        <v>0</v>
      </c>
      <c r="EDH413" t="s">
        <v>5265</v>
      </c>
      <c r="EDI413">
        <v>1</v>
      </c>
    </row>
    <row r="414" spans="2:357 2058:2073 3491:3493" x14ac:dyDescent="0.3">
      <c r="B414" t="s">
        <v>3899</v>
      </c>
      <c r="MQ414">
        <v>1</v>
      </c>
      <c r="CAQ414">
        <v>1</v>
      </c>
      <c r="EDG414">
        <f>SUMPRODUCT(Constraint_408,Decision_variables)</f>
        <v>0</v>
      </c>
      <c r="EDH414" t="s">
        <v>5265</v>
      </c>
      <c r="EDI414">
        <v>1</v>
      </c>
    </row>
    <row r="415" spans="2:357 2058:2073 3491:3493" x14ac:dyDescent="0.3">
      <c r="B415" t="s">
        <v>3900</v>
      </c>
      <c r="MR415">
        <v>1</v>
      </c>
      <c r="CAR415">
        <v>1</v>
      </c>
      <c r="EDG415">
        <f>SUMPRODUCT(Constraint_409,Decision_variables)</f>
        <v>0</v>
      </c>
      <c r="EDH415" t="s">
        <v>5265</v>
      </c>
      <c r="EDI415">
        <v>1</v>
      </c>
    </row>
    <row r="416" spans="2:357 2058:2073 3491:3493" x14ac:dyDescent="0.3">
      <c r="B416" t="s">
        <v>3901</v>
      </c>
      <c r="MS416">
        <v>1</v>
      </c>
      <c r="CAS416">
        <v>1</v>
      </c>
      <c r="EDG416">
        <f>SUMPRODUCT(Constraint_410,Decision_variables)</f>
        <v>0</v>
      </c>
      <c r="EDH416" t="s">
        <v>5265</v>
      </c>
      <c r="EDI416">
        <v>1</v>
      </c>
    </row>
    <row r="417" spans="2:373 2074:2089 3491:3493" x14ac:dyDescent="0.3">
      <c r="B417" t="s">
        <v>3902</v>
      </c>
      <c r="MT417">
        <v>1</v>
      </c>
      <c r="CAT417">
        <v>1</v>
      </c>
      <c r="EDG417">
        <f>SUMPRODUCT(Constraint_411,Decision_variables)</f>
        <v>0</v>
      </c>
      <c r="EDH417" t="s">
        <v>5265</v>
      </c>
      <c r="EDI417">
        <v>1</v>
      </c>
    </row>
    <row r="418" spans="2:373 2074:2089 3491:3493" x14ac:dyDescent="0.3">
      <c r="B418" t="s">
        <v>3903</v>
      </c>
      <c r="MU418">
        <v>1</v>
      </c>
      <c r="CAU418">
        <v>1</v>
      </c>
      <c r="EDG418">
        <f>SUMPRODUCT(Constraint_412,Decision_variables)</f>
        <v>0</v>
      </c>
      <c r="EDH418" t="s">
        <v>5265</v>
      </c>
      <c r="EDI418">
        <v>1</v>
      </c>
    </row>
    <row r="419" spans="2:373 2074:2089 3491:3493" x14ac:dyDescent="0.3">
      <c r="B419" t="s">
        <v>3904</v>
      </c>
      <c r="MV419">
        <v>1</v>
      </c>
      <c r="CAV419">
        <v>1</v>
      </c>
      <c r="EDG419">
        <f>SUMPRODUCT(Constraint_413,Decision_variables)</f>
        <v>0</v>
      </c>
      <c r="EDH419" t="s">
        <v>5265</v>
      </c>
      <c r="EDI419">
        <v>1</v>
      </c>
    </row>
    <row r="420" spans="2:373 2074:2089 3491:3493" x14ac:dyDescent="0.3">
      <c r="B420" t="s">
        <v>3905</v>
      </c>
      <c r="MW420">
        <v>1</v>
      </c>
      <c r="CAW420">
        <v>1</v>
      </c>
      <c r="EDG420">
        <f>SUMPRODUCT(Constraint_414,Decision_variables)</f>
        <v>0</v>
      </c>
      <c r="EDH420" t="s">
        <v>5265</v>
      </c>
      <c r="EDI420">
        <v>1</v>
      </c>
    </row>
    <row r="421" spans="2:373 2074:2089 3491:3493" x14ac:dyDescent="0.3">
      <c r="B421" t="s">
        <v>3906</v>
      </c>
      <c r="MX421">
        <v>1</v>
      </c>
      <c r="CAX421">
        <v>1</v>
      </c>
      <c r="EDG421">
        <f>SUMPRODUCT(Constraint_415,Decision_variables)</f>
        <v>0</v>
      </c>
      <c r="EDH421" t="s">
        <v>5265</v>
      </c>
      <c r="EDI421">
        <v>1</v>
      </c>
    </row>
    <row r="422" spans="2:373 2074:2089 3491:3493" x14ac:dyDescent="0.3">
      <c r="B422" t="s">
        <v>3907</v>
      </c>
      <c r="MY422">
        <v>1</v>
      </c>
      <c r="CAY422">
        <v>1</v>
      </c>
      <c r="EDG422">
        <f>SUMPRODUCT(Constraint_416,Decision_variables)</f>
        <v>0</v>
      </c>
      <c r="EDH422" t="s">
        <v>5265</v>
      </c>
      <c r="EDI422">
        <v>1</v>
      </c>
    </row>
    <row r="423" spans="2:373 2074:2089 3491:3493" x14ac:dyDescent="0.3">
      <c r="B423" t="s">
        <v>3908</v>
      </c>
      <c r="MZ423">
        <v>1</v>
      </c>
      <c r="CAZ423">
        <v>1</v>
      </c>
      <c r="EDG423">
        <f>SUMPRODUCT(Constraint_417,Decision_variables)</f>
        <v>0</v>
      </c>
      <c r="EDH423" t="s">
        <v>5265</v>
      </c>
      <c r="EDI423">
        <v>1</v>
      </c>
    </row>
    <row r="424" spans="2:373 2074:2089 3491:3493" x14ac:dyDescent="0.3">
      <c r="B424" t="s">
        <v>3909</v>
      </c>
      <c r="NA424">
        <v>1</v>
      </c>
      <c r="CBA424">
        <v>1</v>
      </c>
      <c r="EDG424">
        <f>SUMPRODUCT(Constraint_418,Decision_variables)</f>
        <v>0</v>
      </c>
      <c r="EDH424" t="s">
        <v>5265</v>
      </c>
      <c r="EDI424">
        <v>1</v>
      </c>
    </row>
    <row r="425" spans="2:373 2074:2089 3491:3493" x14ac:dyDescent="0.3">
      <c r="B425" t="s">
        <v>3910</v>
      </c>
      <c r="NB425">
        <v>1</v>
      </c>
      <c r="CBB425">
        <v>1</v>
      </c>
      <c r="EDG425">
        <f>SUMPRODUCT(Constraint_419,Decision_variables)</f>
        <v>0</v>
      </c>
      <c r="EDH425" t="s">
        <v>5265</v>
      </c>
      <c r="EDI425">
        <v>1</v>
      </c>
    </row>
    <row r="426" spans="2:373 2074:2089 3491:3493" x14ac:dyDescent="0.3">
      <c r="B426" t="s">
        <v>3911</v>
      </c>
      <c r="NC426">
        <v>1</v>
      </c>
      <c r="CBC426">
        <v>1</v>
      </c>
      <c r="EDG426">
        <f>SUMPRODUCT(Constraint_420,Decision_variables)</f>
        <v>0</v>
      </c>
      <c r="EDH426" t="s">
        <v>5265</v>
      </c>
      <c r="EDI426">
        <v>1</v>
      </c>
    </row>
    <row r="427" spans="2:373 2074:2089 3491:3493" x14ac:dyDescent="0.3">
      <c r="B427" t="s">
        <v>3912</v>
      </c>
      <c r="ND427">
        <v>1</v>
      </c>
      <c r="CBD427">
        <v>1</v>
      </c>
      <c r="EDG427">
        <f>SUMPRODUCT(Constraint_421,Decision_variables)</f>
        <v>0</v>
      </c>
      <c r="EDH427" t="s">
        <v>5265</v>
      </c>
      <c r="EDI427">
        <v>1</v>
      </c>
    </row>
    <row r="428" spans="2:373 2074:2089 3491:3493" x14ac:dyDescent="0.3">
      <c r="B428" t="s">
        <v>3913</v>
      </c>
      <c r="NE428">
        <v>1</v>
      </c>
      <c r="CBE428">
        <v>1</v>
      </c>
      <c r="EDG428">
        <f>SUMPRODUCT(Constraint_422,Decision_variables)</f>
        <v>0</v>
      </c>
      <c r="EDH428" t="s">
        <v>5265</v>
      </c>
      <c r="EDI428">
        <v>1</v>
      </c>
    </row>
    <row r="429" spans="2:373 2074:2089 3491:3493" x14ac:dyDescent="0.3">
      <c r="B429" t="s">
        <v>3914</v>
      </c>
      <c r="NF429">
        <v>1</v>
      </c>
      <c r="CBF429">
        <v>1</v>
      </c>
      <c r="EDG429">
        <f>SUMPRODUCT(Constraint_423,Decision_variables)</f>
        <v>0</v>
      </c>
      <c r="EDH429" t="s">
        <v>5265</v>
      </c>
      <c r="EDI429">
        <v>1</v>
      </c>
    </row>
    <row r="430" spans="2:373 2074:2089 3491:3493" x14ac:dyDescent="0.3">
      <c r="B430" t="s">
        <v>3915</v>
      </c>
      <c r="NG430">
        <v>1</v>
      </c>
      <c r="CBG430">
        <v>1</v>
      </c>
      <c r="EDG430">
        <f>SUMPRODUCT(Constraint_424,Decision_variables)</f>
        <v>0</v>
      </c>
      <c r="EDH430" t="s">
        <v>5265</v>
      </c>
      <c r="EDI430">
        <v>1</v>
      </c>
    </row>
    <row r="431" spans="2:373 2074:2089 3491:3493" x14ac:dyDescent="0.3">
      <c r="B431" t="s">
        <v>3916</v>
      </c>
      <c r="NH431">
        <v>1</v>
      </c>
      <c r="CBH431">
        <v>1</v>
      </c>
      <c r="EDG431">
        <f>SUMPRODUCT(Constraint_425,Decision_variables)</f>
        <v>0</v>
      </c>
      <c r="EDH431" t="s">
        <v>5265</v>
      </c>
      <c r="EDI431">
        <v>1</v>
      </c>
    </row>
    <row r="432" spans="2:373 2074:2089 3491:3493" x14ac:dyDescent="0.3">
      <c r="B432" t="s">
        <v>3917</v>
      </c>
      <c r="NI432">
        <v>1</v>
      </c>
      <c r="CBI432">
        <v>1</v>
      </c>
      <c r="EDG432">
        <f>SUMPRODUCT(Constraint_426,Decision_variables)</f>
        <v>0</v>
      </c>
      <c r="EDH432" t="s">
        <v>5265</v>
      </c>
      <c r="EDI432">
        <v>1</v>
      </c>
    </row>
    <row r="433" spans="2:389 2090:2105 3491:3493" x14ac:dyDescent="0.3">
      <c r="B433" t="s">
        <v>3918</v>
      </c>
      <c r="NJ433">
        <v>1</v>
      </c>
      <c r="CBJ433">
        <v>1</v>
      </c>
      <c r="EDG433">
        <f>SUMPRODUCT(Constraint_427,Decision_variables)</f>
        <v>0</v>
      </c>
      <c r="EDH433" t="s">
        <v>5265</v>
      </c>
      <c r="EDI433">
        <v>1</v>
      </c>
    </row>
    <row r="434" spans="2:389 2090:2105 3491:3493" x14ac:dyDescent="0.3">
      <c r="B434" t="s">
        <v>3919</v>
      </c>
      <c r="NK434">
        <v>1</v>
      </c>
      <c r="CBK434">
        <v>1</v>
      </c>
      <c r="EDG434">
        <f>SUMPRODUCT(Constraint_428,Decision_variables)</f>
        <v>0</v>
      </c>
      <c r="EDH434" t="s">
        <v>5265</v>
      </c>
      <c r="EDI434">
        <v>1</v>
      </c>
    </row>
    <row r="435" spans="2:389 2090:2105 3491:3493" x14ac:dyDescent="0.3">
      <c r="B435" t="s">
        <v>3920</v>
      </c>
      <c r="NL435">
        <v>1</v>
      </c>
      <c r="CBL435">
        <v>1</v>
      </c>
      <c r="EDG435">
        <f>SUMPRODUCT(Constraint_429,Decision_variables)</f>
        <v>0</v>
      </c>
      <c r="EDH435" t="s">
        <v>5265</v>
      </c>
      <c r="EDI435">
        <v>1</v>
      </c>
    </row>
    <row r="436" spans="2:389 2090:2105 3491:3493" x14ac:dyDescent="0.3">
      <c r="B436" t="s">
        <v>3921</v>
      </c>
      <c r="NM436">
        <v>1</v>
      </c>
      <c r="CBM436">
        <v>1</v>
      </c>
      <c r="EDG436">
        <f>SUMPRODUCT(Constraint_430,Decision_variables)</f>
        <v>0</v>
      </c>
      <c r="EDH436" t="s">
        <v>5265</v>
      </c>
      <c r="EDI436">
        <v>1</v>
      </c>
    </row>
    <row r="437" spans="2:389 2090:2105 3491:3493" x14ac:dyDescent="0.3">
      <c r="B437" t="s">
        <v>3922</v>
      </c>
      <c r="NN437">
        <v>1</v>
      </c>
      <c r="CBN437">
        <v>1</v>
      </c>
      <c r="EDG437">
        <f>SUMPRODUCT(Constraint_431,Decision_variables)</f>
        <v>0</v>
      </c>
      <c r="EDH437" t="s">
        <v>5265</v>
      </c>
      <c r="EDI437">
        <v>1</v>
      </c>
    </row>
    <row r="438" spans="2:389 2090:2105 3491:3493" x14ac:dyDescent="0.3">
      <c r="B438" t="s">
        <v>3923</v>
      </c>
      <c r="NO438">
        <v>1</v>
      </c>
      <c r="CBO438">
        <v>1</v>
      </c>
      <c r="EDG438">
        <f>SUMPRODUCT(Constraint_432,Decision_variables)</f>
        <v>0</v>
      </c>
      <c r="EDH438" t="s">
        <v>5265</v>
      </c>
      <c r="EDI438">
        <v>1</v>
      </c>
    </row>
    <row r="439" spans="2:389 2090:2105 3491:3493" x14ac:dyDescent="0.3">
      <c r="B439" t="s">
        <v>3924</v>
      </c>
      <c r="NP439">
        <v>1</v>
      </c>
      <c r="CBP439">
        <v>1</v>
      </c>
      <c r="EDG439">
        <f>SUMPRODUCT(Constraint_433,Decision_variables)</f>
        <v>0</v>
      </c>
      <c r="EDH439" t="s">
        <v>5265</v>
      </c>
      <c r="EDI439">
        <v>1</v>
      </c>
    </row>
    <row r="440" spans="2:389 2090:2105 3491:3493" x14ac:dyDescent="0.3">
      <c r="B440" t="s">
        <v>3925</v>
      </c>
      <c r="NQ440">
        <v>1</v>
      </c>
      <c r="CBQ440">
        <v>1</v>
      </c>
      <c r="EDG440">
        <f>SUMPRODUCT(Constraint_434,Decision_variables)</f>
        <v>0</v>
      </c>
      <c r="EDH440" t="s">
        <v>5265</v>
      </c>
      <c r="EDI440">
        <v>1</v>
      </c>
    </row>
    <row r="441" spans="2:389 2090:2105 3491:3493" x14ac:dyDescent="0.3">
      <c r="B441" t="s">
        <v>3926</v>
      </c>
      <c r="NR441">
        <v>1</v>
      </c>
      <c r="CBR441">
        <v>1</v>
      </c>
      <c r="EDG441">
        <f>SUMPRODUCT(Constraint_435,Decision_variables)</f>
        <v>0</v>
      </c>
      <c r="EDH441" t="s">
        <v>5265</v>
      </c>
      <c r="EDI441">
        <v>1</v>
      </c>
    </row>
    <row r="442" spans="2:389 2090:2105 3491:3493" x14ac:dyDescent="0.3">
      <c r="B442" t="s">
        <v>3927</v>
      </c>
      <c r="NS442">
        <v>1</v>
      </c>
      <c r="CBS442">
        <v>1</v>
      </c>
      <c r="EDG442">
        <f>SUMPRODUCT(Constraint_436,Decision_variables)</f>
        <v>0</v>
      </c>
      <c r="EDH442" t="s">
        <v>5265</v>
      </c>
      <c r="EDI442">
        <v>1</v>
      </c>
    </row>
    <row r="443" spans="2:389 2090:2105 3491:3493" x14ac:dyDescent="0.3">
      <c r="B443" t="s">
        <v>3928</v>
      </c>
      <c r="NT443">
        <v>1</v>
      </c>
      <c r="CBT443">
        <v>1</v>
      </c>
      <c r="EDG443">
        <f>SUMPRODUCT(Constraint_437,Decision_variables)</f>
        <v>0</v>
      </c>
      <c r="EDH443" t="s">
        <v>5265</v>
      </c>
      <c r="EDI443">
        <v>1</v>
      </c>
    </row>
    <row r="444" spans="2:389 2090:2105 3491:3493" x14ac:dyDescent="0.3">
      <c r="B444" t="s">
        <v>3929</v>
      </c>
      <c r="NU444">
        <v>1</v>
      </c>
      <c r="CBU444">
        <v>1</v>
      </c>
      <c r="EDG444">
        <f>SUMPRODUCT(Constraint_438,Decision_variables)</f>
        <v>0</v>
      </c>
      <c r="EDH444" t="s">
        <v>5265</v>
      </c>
      <c r="EDI444">
        <v>1</v>
      </c>
    </row>
    <row r="445" spans="2:389 2090:2105 3491:3493" x14ac:dyDescent="0.3">
      <c r="B445" t="s">
        <v>3930</v>
      </c>
      <c r="NV445">
        <v>1</v>
      </c>
      <c r="CBV445">
        <v>1</v>
      </c>
      <c r="EDG445">
        <f>SUMPRODUCT(Constraint_439,Decision_variables)</f>
        <v>0</v>
      </c>
      <c r="EDH445" t="s">
        <v>5265</v>
      </c>
      <c r="EDI445">
        <v>1</v>
      </c>
    </row>
    <row r="446" spans="2:389 2090:2105 3491:3493" x14ac:dyDescent="0.3">
      <c r="B446" t="s">
        <v>3931</v>
      </c>
      <c r="NW446">
        <v>1</v>
      </c>
      <c r="CBW446">
        <v>1</v>
      </c>
      <c r="EDG446">
        <f>SUMPRODUCT(Constraint_440,Decision_variables)</f>
        <v>0</v>
      </c>
      <c r="EDH446" t="s">
        <v>5265</v>
      </c>
      <c r="EDI446">
        <v>1</v>
      </c>
    </row>
    <row r="447" spans="2:389 2090:2105 3491:3493" x14ac:dyDescent="0.3">
      <c r="B447" t="s">
        <v>3932</v>
      </c>
      <c r="NX447">
        <v>1</v>
      </c>
      <c r="CBX447">
        <v>1</v>
      </c>
      <c r="EDG447">
        <f>SUMPRODUCT(Constraint_441,Decision_variables)</f>
        <v>0</v>
      </c>
      <c r="EDH447" t="s">
        <v>5265</v>
      </c>
      <c r="EDI447">
        <v>1</v>
      </c>
    </row>
    <row r="448" spans="2:389 2090:2105 3491:3493" x14ac:dyDescent="0.3">
      <c r="B448" t="s">
        <v>3933</v>
      </c>
      <c r="NY448">
        <v>1</v>
      </c>
      <c r="CBY448">
        <v>1</v>
      </c>
      <c r="EDG448">
        <f>SUMPRODUCT(Constraint_442,Decision_variables)</f>
        <v>0</v>
      </c>
      <c r="EDH448" t="s">
        <v>5265</v>
      </c>
      <c r="EDI448">
        <v>1</v>
      </c>
    </row>
    <row r="449" spans="2:405 2106:2121 3491:3493" x14ac:dyDescent="0.3">
      <c r="B449" t="s">
        <v>3934</v>
      </c>
      <c r="NZ449">
        <v>1</v>
      </c>
      <c r="CBZ449">
        <v>1</v>
      </c>
      <c r="EDG449">
        <f>SUMPRODUCT(Constraint_443,Decision_variables)</f>
        <v>0</v>
      </c>
      <c r="EDH449" t="s">
        <v>5265</v>
      </c>
      <c r="EDI449">
        <v>1</v>
      </c>
    </row>
    <row r="450" spans="2:405 2106:2121 3491:3493" x14ac:dyDescent="0.3">
      <c r="B450" t="s">
        <v>3935</v>
      </c>
      <c r="OA450">
        <v>1</v>
      </c>
      <c r="CCA450">
        <v>1</v>
      </c>
      <c r="EDG450">
        <f>SUMPRODUCT(Constraint_444,Decision_variables)</f>
        <v>0</v>
      </c>
      <c r="EDH450" t="s">
        <v>5265</v>
      </c>
      <c r="EDI450">
        <v>1</v>
      </c>
    </row>
    <row r="451" spans="2:405 2106:2121 3491:3493" x14ac:dyDescent="0.3">
      <c r="B451" t="s">
        <v>3936</v>
      </c>
      <c r="OB451">
        <v>1</v>
      </c>
      <c r="CCB451">
        <v>1</v>
      </c>
      <c r="EDG451">
        <f>SUMPRODUCT(Constraint_445,Decision_variables)</f>
        <v>0</v>
      </c>
      <c r="EDH451" t="s">
        <v>5265</v>
      </c>
      <c r="EDI451">
        <v>1</v>
      </c>
    </row>
    <row r="452" spans="2:405 2106:2121 3491:3493" x14ac:dyDescent="0.3">
      <c r="B452" t="s">
        <v>3937</v>
      </c>
      <c r="OC452">
        <v>1</v>
      </c>
      <c r="CCC452">
        <v>1</v>
      </c>
      <c r="EDG452">
        <f>SUMPRODUCT(Constraint_446,Decision_variables)</f>
        <v>0</v>
      </c>
      <c r="EDH452" t="s">
        <v>5265</v>
      </c>
      <c r="EDI452">
        <v>1</v>
      </c>
    </row>
    <row r="453" spans="2:405 2106:2121 3491:3493" x14ac:dyDescent="0.3">
      <c r="B453" t="s">
        <v>3938</v>
      </c>
      <c r="OD453">
        <v>1</v>
      </c>
      <c r="CCD453">
        <v>1</v>
      </c>
      <c r="EDG453">
        <f>SUMPRODUCT(Constraint_447,Decision_variables)</f>
        <v>0</v>
      </c>
      <c r="EDH453" t="s">
        <v>5265</v>
      </c>
      <c r="EDI453">
        <v>1</v>
      </c>
    </row>
    <row r="454" spans="2:405 2106:2121 3491:3493" x14ac:dyDescent="0.3">
      <c r="B454" t="s">
        <v>3939</v>
      </c>
      <c r="OE454">
        <v>1</v>
      </c>
      <c r="CCE454">
        <v>1</v>
      </c>
      <c r="EDG454">
        <f>SUMPRODUCT(Constraint_448,Decision_variables)</f>
        <v>0</v>
      </c>
      <c r="EDH454" t="s">
        <v>5265</v>
      </c>
      <c r="EDI454">
        <v>1</v>
      </c>
    </row>
    <row r="455" spans="2:405 2106:2121 3491:3493" x14ac:dyDescent="0.3">
      <c r="B455" t="s">
        <v>3940</v>
      </c>
      <c r="OF455">
        <v>1</v>
      </c>
      <c r="CCF455">
        <v>1</v>
      </c>
      <c r="EDG455">
        <f>SUMPRODUCT(Constraint_449,Decision_variables)</f>
        <v>0</v>
      </c>
      <c r="EDH455" t="s">
        <v>5265</v>
      </c>
      <c r="EDI455">
        <v>1</v>
      </c>
    </row>
    <row r="456" spans="2:405 2106:2121 3491:3493" x14ac:dyDescent="0.3">
      <c r="B456" t="s">
        <v>3941</v>
      </c>
      <c r="OG456">
        <v>1</v>
      </c>
      <c r="CCG456">
        <v>1</v>
      </c>
      <c r="EDG456">
        <f>SUMPRODUCT(Constraint_450,Decision_variables)</f>
        <v>0</v>
      </c>
      <c r="EDH456" t="s">
        <v>5265</v>
      </c>
      <c r="EDI456">
        <v>1</v>
      </c>
    </row>
    <row r="457" spans="2:405 2106:2121 3491:3493" x14ac:dyDescent="0.3">
      <c r="B457" t="s">
        <v>3942</v>
      </c>
      <c r="OH457">
        <v>1</v>
      </c>
      <c r="CCH457">
        <v>1</v>
      </c>
      <c r="EDG457">
        <f>SUMPRODUCT(Constraint_451,Decision_variables)</f>
        <v>0</v>
      </c>
      <c r="EDH457" t="s">
        <v>5265</v>
      </c>
      <c r="EDI457">
        <v>1</v>
      </c>
    </row>
    <row r="458" spans="2:405 2106:2121 3491:3493" x14ac:dyDescent="0.3">
      <c r="B458" t="s">
        <v>3943</v>
      </c>
      <c r="OI458">
        <v>1</v>
      </c>
      <c r="CCI458">
        <v>1</v>
      </c>
      <c r="EDG458">
        <f>SUMPRODUCT(Constraint_452,Decision_variables)</f>
        <v>0</v>
      </c>
      <c r="EDH458" t="s">
        <v>5265</v>
      </c>
      <c r="EDI458">
        <v>1</v>
      </c>
    </row>
    <row r="459" spans="2:405 2106:2121 3491:3493" x14ac:dyDescent="0.3">
      <c r="B459" t="s">
        <v>3944</v>
      </c>
      <c r="OJ459">
        <v>1</v>
      </c>
      <c r="CCJ459">
        <v>1</v>
      </c>
      <c r="EDG459">
        <f>SUMPRODUCT(Constraint_453,Decision_variables)</f>
        <v>0</v>
      </c>
      <c r="EDH459" t="s">
        <v>5265</v>
      </c>
      <c r="EDI459">
        <v>1</v>
      </c>
    </row>
    <row r="460" spans="2:405 2106:2121 3491:3493" x14ac:dyDescent="0.3">
      <c r="B460" t="s">
        <v>3945</v>
      </c>
      <c r="OK460">
        <v>1</v>
      </c>
      <c r="CCK460">
        <v>1</v>
      </c>
      <c r="EDG460">
        <f>SUMPRODUCT(Constraint_454,Decision_variables)</f>
        <v>0</v>
      </c>
      <c r="EDH460" t="s">
        <v>5265</v>
      </c>
      <c r="EDI460">
        <v>1</v>
      </c>
    </row>
    <row r="461" spans="2:405 2106:2121 3491:3493" x14ac:dyDescent="0.3">
      <c r="B461" t="s">
        <v>3946</v>
      </c>
      <c r="OL461">
        <v>1</v>
      </c>
      <c r="CCL461">
        <v>1</v>
      </c>
      <c r="EDG461">
        <f>SUMPRODUCT(Constraint_455,Decision_variables)</f>
        <v>0</v>
      </c>
      <c r="EDH461" t="s">
        <v>5265</v>
      </c>
      <c r="EDI461">
        <v>1</v>
      </c>
    </row>
    <row r="462" spans="2:405 2106:2121 3491:3493" x14ac:dyDescent="0.3">
      <c r="B462" t="s">
        <v>3947</v>
      </c>
      <c r="OM462">
        <v>1</v>
      </c>
      <c r="CCM462">
        <v>1</v>
      </c>
      <c r="EDG462">
        <f>SUMPRODUCT(Constraint_456,Decision_variables)</f>
        <v>0</v>
      </c>
      <c r="EDH462" t="s">
        <v>5265</v>
      </c>
      <c r="EDI462">
        <v>1</v>
      </c>
    </row>
    <row r="463" spans="2:405 2106:2121 3491:3493" x14ac:dyDescent="0.3">
      <c r="B463" t="s">
        <v>3948</v>
      </c>
      <c r="ON463">
        <v>1</v>
      </c>
      <c r="CCN463">
        <v>1</v>
      </c>
      <c r="EDG463">
        <f>SUMPRODUCT(Constraint_457,Decision_variables)</f>
        <v>0</v>
      </c>
      <c r="EDH463" t="s">
        <v>5265</v>
      </c>
      <c r="EDI463">
        <v>1</v>
      </c>
    </row>
    <row r="464" spans="2:405 2106:2121 3491:3493" x14ac:dyDescent="0.3">
      <c r="B464" t="s">
        <v>3949</v>
      </c>
      <c r="OO464">
        <v>1</v>
      </c>
      <c r="CCO464">
        <v>1</v>
      </c>
      <c r="EDG464">
        <f>SUMPRODUCT(Constraint_458,Decision_variables)</f>
        <v>0</v>
      </c>
      <c r="EDH464" t="s">
        <v>5265</v>
      </c>
      <c r="EDI464">
        <v>1</v>
      </c>
    </row>
    <row r="465" spans="2:421 2122:2137 3491:3493" x14ac:dyDescent="0.3">
      <c r="B465" t="s">
        <v>3950</v>
      </c>
      <c r="OP465">
        <v>1</v>
      </c>
      <c r="CCP465">
        <v>1</v>
      </c>
      <c r="EDG465">
        <f>SUMPRODUCT(Constraint_459,Decision_variables)</f>
        <v>0</v>
      </c>
      <c r="EDH465" t="s">
        <v>5265</v>
      </c>
      <c r="EDI465">
        <v>1</v>
      </c>
    </row>
    <row r="466" spans="2:421 2122:2137 3491:3493" x14ac:dyDescent="0.3">
      <c r="B466" t="s">
        <v>3951</v>
      </c>
      <c r="OQ466">
        <v>1</v>
      </c>
      <c r="CCQ466">
        <v>1</v>
      </c>
      <c r="EDG466">
        <f>SUMPRODUCT(Constraint_460,Decision_variables)</f>
        <v>0</v>
      </c>
      <c r="EDH466" t="s">
        <v>5265</v>
      </c>
      <c r="EDI466">
        <v>1</v>
      </c>
    </row>
    <row r="467" spans="2:421 2122:2137 3491:3493" x14ac:dyDescent="0.3">
      <c r="B467" t="s">
        <v>3952</v>
      </c>
      <c r="OR467">
        <v>1</v>
      </c>
      <c r="CCR467">
        <v>1</v>
      </c>
      <c r="EDG467">
        <f>SUMPRODUCT(Constraint_461,Decision_variables)</f>
        <v>0</v>
      </c>
      <c r="EDH467" t="s">
        <v>5265</v>
      </c>
      <c r="EDI467">
        <v>1</v>
      </c>
    </row>
    <row r="468" spans="2:421 2122:2137 3491:3493" x14ac:dyDescent="0.3">
      <c r="B468" t="s">
        <v>3953</v>
      </c>
      <c r="OS468">
        <v>1</v>
      </c>
      <c r="CCS468">
        <v>1</v>
      </c>
      <c r="EDG468">
        <f>SUMPRODUCT(Constraint_462,Decision_variables)</f>
        <v>1</v>
      </c>
      <c r="EDH468" t="s">
        <v>5265</v>
      </c>
      <c r="EDI468">
        <v>1</v>
      </c>
    </row>
    <row r="469" spans="2:421 2122:2137 3491:3493" x14ac:dyDescent="0.3">
      <c r="B469" t="s">
        <v>3954</v>
      </c>
      <c r="OT469">
        <v>1</v>
      </c>
      <c r="CCT469">
        <v>1</v>
      </c>
      <c r="EDG469">
        <f>SUMPRODUCT(Constraint_463,Decision_variables)</f>
        <v>0</v>
      </c>
      <c r="EDH469" t="s">
        <v>5265</v>
      </c>
      <c r="EDI469">
        <v>1</v>
      </c>
    </row>
    <row r="470" spans="2:421 2122:2137 3491:3493" x14ac:dyDescent="0.3">
      <c r="B470" t="s">
        <v>3955</v>
      </c>
      <c r="OU470">
        <v>1</v>
      </c>
      <c r="CCU470">
        <v>1</v>
      </c>
      <c r="EDG470">
        <f>SUMPRODUCT(Constraint_464,Decision_variables)</f>
        <v>0</v>
      </c>
      <c r="EDH470" t="s">
        <v>5265</v>
      </c>
      <c r="EDI470">
        <v>1</v>
      </c>
    </row>
    <row r="471" spans="2:421 2122:2137 3491:3493" x14ac:dyDescent="0.3">
      <c r="B471" t="s">
        <v>3956</v>
      </c>
      <c r="OV471">
        <v>1</v>
      </c>
      <c r="CCV471">
        <v>1</v>
      </c>
      <c r="EDG471">
        <f>SUMPRODUCT(Constraint_465,Decision_variables)</f>
        <v>0</v>
      </c>
      <c r="EDH471" t="s">
        <v>5265</v>
      </c>
      <c r="EDI471">
        <v>1</v>
      </c>
    </row>
    <row r="472" spans="2:421 2122:2137 3491:3493" x14ac:dyDescent="0.3">
      <c r="B472" t="s">
        <v>3957</v>
      </c>
      <c r="OW472">
        <v>1</v>
      </c>
      <c r="CCW472">
        <v>1</v>
      </c>
      <c r="EDG472">
        <f>SUMPRODUCT(Constraint_466,Decision_variables)</f>
        <v>0</v>
      </c>
      <c r="EDH472" t="s">
        <v>5265</v>
      </c>
      <c r="EDI472">
        <v>1</v>
      </c>
    </row>
    <row r="473" spans="2:421 2122:2137 3491:3493" x14ac:dyDescent="0.3">
      <c r="B473" t="s">
        <v>3958</v>
      </c>
      <c r="OX473">
        <v>1</v>
      </c>
      <c r="CCX473">
        <v>1</v>
      </c>
      <c r="EDG473">
        <f>SUMPRODUCT(Constraint_467,Decision_variables)</f>
        <v>0</v>
      </c>
      <c r="EDH473" t="s">
        <v>5265</v>
      </c>
      <c r="EDI473">
        <v>1</v>
      </c>
    </row>
    <row r="474" spans="2:421 2122:2137 3491:3493" x14ac:dyDescent="0.3">
      <c r="B474" t="s">
        <v>3959</v>
      </c>
      <c r="OY474">
        <v>1</v>
      </c>
      <c r="CCY474">
        <v>1</v>
      </c>
      <c r="EDG474">
        <f>SUMPRODUCT(Constraint_468,Decision_variables)</f>
        <v>0</v>
      </c>
      <c r="EDH474" t="s">
        <v>5265</v>
      </c>
      <c r="EDI474">
        <v>1</v>
      </c>
    </row>
    <row r="475" spans="2:421 2122:2137 3491:3493" x14ac:dyDescent="0.3">
      <c r="B475" t="s">
        <v>3960</v>
      </c>
      <c r="OZ475">
        <v>1</v>
      </c>
      <c r="CCZ475">
        <v>1</v>
      </c>
      <c r="EDG475">
        <f>SUMPRODUCT(Constraint_469,Decision_variables)</f>
        <v>0</v>
      </c>
      <c r="EDH475" t="s">
        <v>5265</v>
      </c>
      <c r="EDI475">
        <v>1</v>
      </c>
    </row>
    <row r="476" spans="2:421 2122:2137 3491:3493" x14ac:dyDescent="0.3">
      <c r="B476" t="s">
        <v>3961</v>
      </c>
      <c r="PA476">
        <v>1</v>
      </c>
      <c r="CDA476">
        <v>1</v>
      </c>
      <c r="EDG476">
        <f>SUMPRODUCT(Constraint_470,Decision_variables)</f>
        <v>0</v>
      </c>
      <c r="EDH476" t="s">
        <v>5265</v>
      </c>
      <c r="EDI476">
        <v>1</v>
      </c>
    </row>
    <row r="477" spans="2:421 2122:2137 3491:3493" x14ac:dyDescent="0.3">
      <c r="B477" t="s">
        <v>3962</v>
      </c>
      <c r="PB477">
        <v>1</v>
      </c>
      <c r="CDB477">
        <v>1</v>
      </c>
      <c r="EDG477">
        <f>SUMPRODUCT(Constraint_471,Decision_variables)</f>
        <v>0</v>
      </c>
      <c r="EDH477" t="s">
        <v>5265</v>
      </c>
      <c r="EDI477">
        <v>1</v>
      </c>
    </row>
    <row r="478" spans="2:421 2122:2137 3491:3493" x14ac:dyDescent="0.3">
      <c r="B478" t="s">
        <v>3963</v>
      </c>
      <c r="PC478">
        <v>1</v>
      </c>
      <c r="CDC478">
        <v>1</v>
      </c>
      <c r="EDG478">
        <f>SUMPRODUCT(Constraint_472,Decision_variables)</f>
        <v>0</v>
      </c>
      <c r="EDH478" t="s">
        <v>5265</v>
      </c>
      <c r="EDI478">
        <v>1</v>
      </c>
    </row>
    <row r="479" spans="2:421 2122:2137 3491:3493" x14ac:dyDescent="0.3">
      <c r="B479" t="s">
        <v>3964</v>
      </c>
      <c r="PD479">
        <v>1</v>
      </c>
      <c r="CDD479">
        <v>1</v>
      </c>
      <c r="EDG479">
        <f>SUMPRODUCT(Constraint_473,Decision_variables)</f>
        <v>0</v>
      </c>
      <c r="EDH479" t="s">
        <v>5265</v>
      </c>
      <c r="EDI479">
        <v>1</v>
      </c>
    </row>
    <row r="480" spans="2:421 2122:2137 3491:3493" x14ac:dyDescent="0.3">
      <c r="B480" t="s">
        <v>3965</v>
      </c>
      <c r="PE480">
        <v>1</v>
      </c>
      <c r="CDE480">
        <v>1</v>
      </c>
      <c r="EDG480">
        <f>SUMPRODUCT(Constraint_474,Decision_variables)</f>
        <v>0</v>
      </c>
      <c r="EDH480" t="s">
        <v>5265</v>
      </c>
      <c r="EDI480">
        <v>1</v>
      </c>
    </row>
    <row r="481" spans="2:437 2138:2153 3491:3493" x14ac:dyDescent="0.3">
      <c r="B481" t="s">
        <v>3966</v>
      </c>
      <c r="PF481">
        <v>1</v>
      </c>
      <c r="CDF481">
        <v>1</v>
      </c>
      <c r="EDG481">
        <f>SUMPRODUCT(Constraint_475,Decision_variables)</f>
        <v>0</v>
      </c>
      <c r="EDH481" t="s">
        <v>5265</v>
      </c>
      <c r="EDI481">
        <v>1</v>
      </c>
    </row>
    <row r="482" spans="2:437 2138:2153 3491:3493" x14ac:dyDescent="0.3">
      <c r="B482" t="s">
        <v>3967</v>
      </c>
      <c r="PG482">
        <v>1</v>
      </c>
      <c r="CDG482">
        <v>1</v>
      </c>
      <c r="EDG482">
        <f>SUMPRODUCT(Constraint_476,Decision_variables)</f>
        <v>0</v>
      </c>
      <c r="EDH482" t="s">
        <v>5265</v>
      </c>
      <c r="EDI482">
        <v>1</v>
      </c>
    </row>
    <row r="483" spans="2:437 2138:2153 3491:3493" x14ac:dyDescent="0.3">
      <c r="B483" t="s">
        <v>3968</v>
      </c>
      <c r="PH483">
        <v>1</v>
      </c>
      <c r="CDH483">
        <v>1</v>
      </c>
      <c r="EDG483">
        <f>SUMPRODUCT(Constraint_477,Decision_variables)</f>
        <v>0</v>
      </c>
      <c r="EDH483" t="s">
        <v>5265</v>
      </c>
      <c r="EDI483">
        <v>1</v>
      </c>
    </row>
    <row r="484" spans="2:437 2138:2153 3491:3493" x14ac:dyDescent="0.3">
      <c r="B484" t="s">
        <v>3969</v>
      </c>
      <c r="PI484">
        <v>1</v>
      </c>
      <c r="CDI484">
        <v>1</v>
      </c>
      <c r="EDG484">
        <f>SUMPRODUCT(Constraint_478,Decision_variables)</f>
        <v>0</v>
      </c>
      <c r="EDH484" t="s">
        <v>5265</v>
      </c>
      <c r="EDI484">
        <v>1</v>
      </c>
    </row>
    <row r="485" spans="2:437 2138:2153 3491:3493" x14ac:dyDescent="0.3">
      <c r="B485" t="s">
        <v>3970</v>
      </c>
      <c r="PJ485">
        <v>1</v>
      </c>
      <c r="CDJ485">
        <v>1</v>
      </c>
      <c r="EDG485">
        <f>SUMPRODUCT(Constraint_479,Decision_variables)</f>
        <v>0</v>
      </c>
      <c r="EDH485" t="s">
        <v>5265</v>
      </c>
      <c r="EDI485">
        <v>1</v>
      </c>
    </row>
    <row r="486" spans="2:437 2138:2153 3491:3493" x14ac:dyDescent="0.3">
      <c r="B486" t="s">
        <v>3971</v>
      </c>
      <c r="PK486">
        <v>1</v>
      </c>
      <c r="CDK486">
        <v>1</v>
      </c>
      <c r="EDG486">
        <f>SUMPRODUCT(Constraint_480,Decision_variables)</f>
        <v>0</v>
      </c>
      <c r="EDH486" t="s">
        <v>5265</v>
      </c>
      <c r="EDI486">
        <v>1</v>
      </c>
    </row>
    <row r="487" spans="2:437 2138:2153 3491:3493" x14ac:dyDescent="0.3">
      <c r="B487" t="s">
        <v>3972</v>
      </c>
      <c r="PL487">
        <v>1</v>
      </c>
      <c r="CDL487">
        <v>1</v>
      </c>
      <c r="EDG487">
        <f>SUMPRODUCT(Constraint_481,Decision_variables)</f>
        <v>0</v>
      </c>
      <c r="EDH487" t="s">
        <v>5265</v>
      </c>
      <c r="EDI487">
        <v>1</v>
      </c>
    </row>
    <row r="488" spans="2:437 2138:2153 3491:3493" x14ac:dyDescent="0.3">
      <c r="B488" t="s">
        <v>3973</v>
      </c>
      <c r="PM488">
        <v>1</v>
      </c>
      <c r="CDM488">
        <v>1</v>
      </c>
      <c r="EDG488">
        <f>SUMPRODUCT(Constraint_482,Decision_variables)</f>
        <v>0</v>
      </c>
      <c r="EDH488" t="s">
        <v>5265</v>
      </c>
      <c r="EDI488">
        <v>1</v>
      </c>
    </row>
    <row r="489" spans="2:437 2138:2153 3491:3493" x14ac:dyDescent="0.3">
      <c r="B489" t="s">
        <v>3974</v>
      </c>
      <c r="PN489">
        <v>1</v>
      </c>
      <c r="CDN489">
        <v>1</v>
      </c>
      <c r="EDG489">
        <f>SUMPRODUCT(Constraint_483,Decision_variables)</f>
        <v>0</v>
      </c>
      <c r="EDH489" t="s">
        <v>5265</v>
      </c>
      <c r="EDI489">
        <v>1</v>
      </c>
    </row>
    <row r="490" spans="2:437 2138:2153 3491:3493" x14ac:dyDescent="0.3">
      <c r="B490" t="s">
        <v>3975</v>
      </c>
      <c r="PO490">
        <v>1</v>
      </c>
      <c r="CDO490">
        <v>1</v>
      </c>
      <c r="EDG490">
        <f>SUMPRODUCT(Constraint_484,Decision_variables)</f>
        <v>0</v>
      </c>
      <c r="EDH490" t="s">
        <v>5265</v>
      </c>
      <c r="EDI490">
        <v>1</v>
      </c>
    </row>
    <row r="491" spans="2:437 2138:2153 3491:3493" x14ac:dyDescent="0.3">
      <c r="B491" t="s">
        <v>3976</v>
      </c>
      <c r="PP491">
        <v>1</v>
      </c>
      <c r="CDP491">
        <v>1</v>
      </c>
      <c r="EDG491">
        <f>SUMPRODUCT(Constraint_485,Decision_variables)</f>
        <v>0</v>
      </c>
      <c r="EDH491" t="s">
        <v>5265</v>
      </c>
      <c r="EDI491">
        <v>1</v>
      </c>
    </row>
    <row r="492" spans="2:437 2138:2153 3491:3493" x14ac:dyDescent="0.3">
      <c r="B492" t="s">
        <v>3977</v>
      </c>
      <c r="PQ492">
        <v>1</v>
      </c>
      <c r="CDQ492">
        <v>1</v>
      </c>
      <c r="EDG492">
        <f>SUMPRODUCT(Constraint_486,Decision_variables)</f>
        <v>0</v>
      </c>
      <c r="EDH492" t="s">
        <v>5265</v>
      </c>
      <c r="EDI492">
        <v>1</v>
      </c>
    </row>
    <row r="493" spans="2:437 2138:2153 3491:3493" x14ac:dyDescent="0.3">
      <c r="B493" t="s">
        <v>3978</v>
      </c>
      <c r="PR493">
        <v>1</v>
      </c>
      <c r="CDR493">
        <v>1</v>
      </c>
      <c r="EDG493">
        <f>SUMPRODUCT(Constraint_487,Decision_variables)</f>
        <v>0</v>
      </c>
      <c r="EDH493" t="s">
        <v>5265</v>
      </c>
      <c r="EDI493">
        <v>1</v>
      </c>
    </row>
    <row r="494" spans="2:437 2138:2153 3491:3493" x14ac:dyDescent="0.3">
      <c r="B494" t="s">
        <v>3979</v>
      </c>
      <c r="PS494">
        <v>1</v>
      </c>
      <c r="CDS494">
        <v>1</v>
      </c>
      <c r="EDG494">
        <f>SUMPRODUCT(Constraint_488,Decision_variables)</f>
        <v>0</v>
      </c>
      <c r="EDH494" t="s">
        <v>5265</v>
      </c>
      <c r="EDI494">
        <v>1</v>
      </c>
    </row>
    <row r="495" spans="2:437 2138:2153 3491:3493" x14ac:dyDescent="0.3">
      <c r="B495" t="s">
        <v>3980</v>
      </c>
      <c r="PT495">
        <v>1</v>
      </c>
      <c r="CDT495">
        <v>1</v>
      </c>
      <c r="EDG495">
        <f>SUMPRODUCT(Constraint_489,Decision_variables)</f>
        <v>0</v>
      </c>
      <c r="EDH495" t="s">
        <v>5265</v>
      </c>
      <c r="EDI495">
        <v>1</v>
      </c>
    </row>
    <row r="496" spans="2:437 2138:2153 3491:3493" x14ac:dyDescent="0.3">
      <c r="B496" t="s">
        <v>3981</v>
      </c>
      <c r="PU496">
        <v>1</v>
      </c>
      <c r="CDU496">
        <v>1</v>
      </c>
      <c r="EDG496">
        <f>SUMPRODUCT(Constraint_490,Decision_variables)</f>
        <v>0</v>
      </c>
      <c r="EDH496" t="s">
        <v>5265</v>
      </c>
      <c r="EDI496">
        <v>1</v>
      </c>
    </row>
    <row r="497" spans="2:453 2154:2169 3491:3493" x14ac:dyDescent="0.3">
      <c r="B497" t="s">
        <v>3982</v>
      </c>
      <c r="PV497">
        <v>1</v>
      </c>
      <c r="CDV497">
        <v>1</v>
      </c>
      <c r="EDG497">
        <f>SUMPRODUCT(Constraint_491,Decision_variables)</f>
        <v>0</v>
      </c>
      <c r="EDH497" t="s">
        <v>5265</v>
      </c>
      <c r="EDI497">
        <v>1</v>
      </c>
    </row>
    <row r="498" spans="2:453 2154:2169 3491:3493" x14ac:dyDescent="0.3">
      <c r="B498" t="s">
        <v>3983</v>
      </c>
      <c r="PW498">
        <v>1</v>
      </c>
      <c r="CDW498">
        <v>1</v>
      </c>
      <c r="EDG498">
        <f>SUMPRODUCT(Constraint_492,Decision_variables)</f>
        <v>0</v>
      </c>
      <c r="EDH498" t="s">
        <v>5265</v>
      </c>
      <c r="EDI498">
        <v>1</v>
      </c>
    </row>
    <row r="499" spans="2:453 2154:2169 3491:3493" x14ac:dyDescent="0.3">
      <c r="B499" t="s">
        <v>3984</v>
      </c>
      <c r="PX499">
        <v>1</v>
      </c>
      <c r="CDX499">
        <v>1</v>
      </c>
      <c r="EDG499">
        <f>SUMPRODUCT(Constraint_493,Decision_variables)</f>
        <v>0</v>
      </c>
      <c r="EDH499" t="s">
        <v>5265</v>
      </c>
      <c r="EDI499">
        <v>1</v>
      </c>
    </row>
    <row r="500" spans="2:453 2154:2169 3491:3493" x14ac:dyDescent="0.3">
      <c r="B500" t="s">
        <v>3985</v>
      </c>
      <c r="PY500">
        <v>1</v>
      </c>
      <c r="CDY500">
        <v>1</v>
      </c>
      <c r="EDG500">
        <f>SUMPRODUCT(Constraint_494,Decision_variables)</f>
        <v>0</v>
      </c>
      <c r="EDH500" t="s">
        <v>5265</v>
      </c>
      <c r="EDI500">
        <v>1</v>
      </c>
    </row>
    <row r="501" spans="2:453 2154:2169 3491:3493" x14ac:dyDescent="0.3">
      <c r="B501" t="s">
        <v>3986</v>
      </c>
      <c r="PZ501">
        <v>1</v>
      </c>
      <c r="CDZ501">
        <v>1</v>
      </c>
      <c r="EDG501">
        <f>SUMPRODUCT(Constraint_495,Decision_variables)</f>
        <v>0</v>
      </c>
      <c r="EDH501" t="s">
        <v>5265</v>
      </c>
      <c r="EDI501">
        <v>1</v>
      </c>
    </row>
    <row r="502" spans="2:453 2154:2169 3491:3493" x14ac:dyDescent="0.3">
      <c r="B502" t="s">
        <v>3987</v>
      </c>
      <c r="QA502">
        <v>1</v>
      </c>
      <c r="CEA502">
        <v>1</v>
      </c>
      <c r="EDG502">
        <f>SUMPRODUCT(Constraint_496,Decision_variables)</f>
        <v>0</v>
      </c>
      <c r="EDH502" t="s">
        <v>5265</v>
      </c>
      <c r="EDI502">
        <v>1</v>
      </c>
    </row>
    <row r="503" spans="2:453 2154:2169 3491:3493" x14ac:dyDescent="0.3">
      <c r="B503" t="s">
        <v>3988</v>
      </c>
      <c r="QB503">
        <v>1</v>
      </c>
      <c r="CEB503">
        <v>1</v>
      </c>
      <c r="EDG503">
        <f>SUMPRODUCT(Constraint_497,Decision_variables)</f>
        <v>0</v>
      </c>
      <c r="EDH503" t="s">
        <v>5265</v>
      </c>
      <c r="EDI503">
        <v>1</v>
      </c>
    </row>
    <row r="504" spans="2:453 2154:2169 3491:3493" x14ac:dyDescent="0.3">
      <c r="B504" t="s">
        <v>3989</v>
      </c>
      <c r="QC504">
        <v>1</v>
      </c>
      <c r="CEC504">
        <v>1</v>
      </c>
      <c r="EDG504">
        <f>SUMPRODUCT(Constraint_498,Decision_variables)</f>
        <v>0</v>
      </c>
      <c r="EDH504" t="s">
        <v>5265</v>
      </c>
      <c r="EDI504">
        <v>1</v>
      </c>
    </row>
    <row r="505" spans="2:453 2154:2169 3491:3493" x14ac:dyDescent="0.3">
      <c r="B505" t="s">
        <v>3990</v>
      </c>
      <c r="QD505">
        <v>1</v>
      </c>
      <c r="CED505">
        <v>1</v>
      </c>
      <c r="EDG505">
        <f>SUMPRODUCT(Constraint_499,Decision_variables)</f>
        <v>0</v>
      </c>
      <c r="EDH505" t="s">
        <v>5265</v>
      </c>
      <c r="EDI505">
        <v>1</v>
      </c>
    </row>
    <row r="506" spans="2:453 2154:2169 3491:3493" x14ac:dyDescent="0.3">
      <c r="B506" t="s">
        <v>3991</v>
      </c>
      <c r="QE506">
        <v>1</v>
      </c>
      <c r="CEE506">
        <v>1</v>
      </c>
      <c r="EDG506">
        <f>SUMPRODUCT(Constraint_500,Decision_variables)</f>
        <v>0</v>
      </c>
      <c r="EDH506" t="s">
        <v>5265</v>
      </c>
      <c r="EDI506">
        <v>1</v>
      </c>
    </row>
    <row r="507" spans="2:453 2154:2169 3491:3493" x14ac:dyDescent="0.3">
      <c r="B507" t="s">
        <v>3992</v>
      </c>
      <c r="QF507">
        <v>1</v>
      </c>
      <c r="CEF507">
        <v>1</v>
      </c>
      <c r="EDG507">
        <f>SUMPRODUCT(Constraint_501,Decision_variables)</f>
        <v>0</v>
      </c>
      <c r="EDH507" t="s">
        <v>5265</v>
      </c>
      <c r="EDI507">
        <v>1</v>
      </c>
    </row>
    <row r="508" spans="2:453 2154:2169 3491:3493" x14ac:dyDescent="0.3">
      <c r="B508" t="s">
        <v>3993</v>
      </c>
      <c r="QG508">
        <v>1</v>
      </c>
      <c r="CEG508">
        <v>1</v>
      </c>
      <c r="EDG508">
        <f>SUMPRODUCT(Constraint_502,Decision_variables)</f>
        <v>0</v>
      </c>
      <c r="EDH508" t="s">
        <v>5265</v>
      </c>
      <c r="EDI508">
        <v>1</v>
      </c>
    </row>
    <row r="509" spans="2:453 2154:2169 3491:3493" x14ac:dyDescent="0.3">
      <c r="B509" t="s">
        <v>3994</v>
      </c>
      <c r="QH509">
        <v>1</v>
      </c>
      <c r="CEH509">
        <v>1</v>
      </c>
      <c r="EDG509">
        <f>SUMPRODUCT(Constraint_503,Decision_variables)</f>
        <v>0</v>
      </c>
      <c r="EDH509" t="s">
        <v>5265</v>
      </c>
      <c r="EDI509">
        <v>1</v>
      </c>
    </row>
    <row r="510" spans="2:453 2154:2169 3491:3493" x14ac:dyDescent="0.3">
      <c r="B510" t="s">
        <v>3995</v>
      </c>
      <c r="QI510">
        <v>1</v>
      </c>
      <c r="CEI510">
        <v>1</v>
      </c>
      <c r="EDG510">
        <f>SUMPRODUCT(Constraint_504,Decision_variables)</f>
        <v>0</v>
      </c>
      <c r="EDH510" t="s">
        <v>5265</v>
      </c>
      <c r="EDI510">
        <v>1</v>
      </c>
    </row>
    <row r="511" spans="2:453 2154:2169 3491:3493" x14ac:dyDescent="0.3">
      <c r="B511" t="s">
        <v>3996</v>
      </c>
      <c r="QJ511">
        <v>1</v>
      </c>
      <c r="CEJ511">
        <v>1</v>
      </c>
      <c r="EDG511">
        <f>SUMPRODUCT(Constraint_505,Decision_variables)</f>
        <v>0</v>
      </c>
      <c r="EDH511" t="s">
        <v>5265</v>
      </c>
      <c r="EDI511">
        <v>1</v>
      </c>
    </row>
    <row r="512" spans="2:453 2154:2169 3491:3493" x14ac:dyDescent="0.3">
      <c r="B512" t="s">
        <v>3997</v>
      </c>
      <c r="QK512">
        <v>1</v>
      </c>
      <c r="CEK512">
        <v>1</v>
      </c>
      <c r="EDG512">
        <f>SUMPRODUCT(Constraint_506,Decision_variables)</f>
        <v>0</v>
      </c>
      <c r="EDH512" t="s">
        <v>5265</v>
      </c>
      <c r="EDI512">
        <v>1</v>
      </c>
    </row>
    <row r="513" spans="2:469 2170:2185 3491:3493" x14ac:dyDescent="0.3">
      <c r="B513" t="s">
        <v>3998</v>
      </c>
      <c r="QL513">
        <v>1</v>
      </c>
      <c r="CEL513">
        <v>1</v>
      </c>
      <c r="EDG513">
        <f>SUMPRODUCT(Constraint_507,Decision_variables)</f>
        <v>0</v>
      </c>
      <c r="EDH513" t="s">
        <v>5265</v>
      </c>
      <c r="EDI513">
        <v>1</v>
      </c>
    </row>
    <row r="514" spans="2:469 2170:2185 3491:3493" x14ac:dyDescent="0.3">
      <c r="B514" t="s">
        <v>3999</v>
      </c>
      <c r="QM514">
        <v>1</v>
      </c>
      <c r="CEM514">
        <v>1</v>
      </c>
      <c r="EDG514">
        <f>SUMPRODUCT(Constraint_508,Decision_variables)</f>
        <v>0</v>
      </c>
      <c r="EDH514" t="s">
        <v>5265</v>
      </c>
      <c r="EDI514">
        <v>1</v>
      </c>
    </row>
    <row r="515" spans="2:469 2170:2185 3491:3493" x14ac:dyDescent="0.3">
      <c r="B515" t="s">
        <v>4000</v>
      </c>
      <c r="QN515">
        <v>1</v>
      </c>
      <c r="CEN515">
        <v>1</v>
      </c>
      <c r="EDG515">
        <f>SUMPRODUCT(Constraint_509,Decision_variables)</f>
        <v>0</v>
      </c>
      <c r="EDH515" t="s">
        <v>5265</v>
      </c>
      <c r="EDI515">
        <v>1</v>
      </c>
    </row>
    <row r="516" spans="2:469 2170:2185 3491:3493" x14ac:dyDescent="0.3">
      <c r="B516" t="s">
        <v>4001</v>
      </c>
      <c r="QO516">
        <v>1</v>
      </c>
      <c r="CEO516">
        <v>1</v>
      </c>
      <c r="EDG516">
        <f>SUMPRODUCT(Constraint_510,Decision_variables)</f>
        <v>0</v>
      </c>
      <c r="EDH516" t="s">
        <v>5265</v>
      </c>
      <c r="EDI516">
        <v>1</v>
      </c>
    </row>
    <row r="517" spans="2:469 2170:2185 3491:3493" x14ac:dyDescent="0.3">
      <c r="B517" t="s">
        <v>4002</v>
      </c>
      <c r="QP517">
        <v>1</v>
      </c>
      <c r="CEP517">
        <v>1</v>
      </c>
      <c r="EDG517">
        <f>SUMPRODUCT(Constraint_511,Decision_variables)</f>
        <v>0</v>
      </c>
      <c r="EDH517" t="s">
        <v>5265</v>
      </c>
      <c r="EDI517">
        <v>1</v>
      </c>
    </row>
    <row r="518" spans="2:469 2170:2185 3491:3493" x14ac:dyDescent="0.3">
      <c r="B518" t="s">
        <v>4003</v>
      </c>
      <c r="QQ518">
        <v>1</v>
      </c>
      <c r="CEQ518">
        <v>1</v>
      </c>
      <c r="EDG518">
        <f>SUMPRODUCT(Constraint_512,Decision_variables)</f>
        <v>0</v>
      </c>
      <c r="EDH518" t="s">
        <v>5265</v>
      </c>
      <c r="EDI518">
        <v>1</v>
      </c>
    </row>
    <row r="519" spans="2:469 2170:2185 3491:3493" x14ac:dyDescent="0.3">
      <c r="B519" t="s">
        <v>4004</v>
      </c>
      <c r="QR519">
        <v>1</v>
      </c>
      <c r="CER519">
        <v>1</v>
      </c>
      <c r="EDG519">
        <f>SUMPRODUCT(Constraint_513,Decision_variables)</f>
        <v>0</v>
      </c>
      <c r="EDH519" t="s">
        <v>5265</v>
      </c>
      <c r="EDI519">
        <v>1</v>
      </c>
    </row>
    <row r="520" spans="2:469 2170:2185 3491:3493" x14ac:dyDescent="0.3">
      <c r="B520" t="s">
        <v>4005</v>
      </c>
      <c r="QS520">
        <v>1</v>
      </c>
      <c r="CES520">
        <v>1</v>
      </c>
      <c r="EDG520">
        <f>SUMPRODUCT(Constraint_514,Decision_variables)</f>
        <v>0</v>
      </c>
      <c r="EDH520" t="s">
        <v>5265</v>
      </c>
      <c r="EDI520">
        <v>1</v>
      </c>
    </row>
    <row r="521" spans="2:469 2170:2185 3491:3493" x14ac:dyDescent="0.3">
      <c r="B521" t="s">
        <v>4006</v>
      </c>
      <c r="QT521">
        <v>1</v>
      </c>
      <c r="CET521">
        <v>1</v>
      </c>
      <c r="EDG521">
        <f>SUMPRODUCT(Constraint_515,Decision_variables)</f>
        <v>0</v>
      </c>
      <c r="EDH521" t="s">
        <v>5265</v>
      </c>
      <c r="EDI521">
        <v>1</v>
      </c>
    </row>
    <row r="522" spans="2:469 2170:2185 3491:3493" x14ac:dyDescent="0.3">
      <c r="B522" t="s">
        <v>4007</v>
      </c>
      <c r="QU522">
        <v>1</v>
      </c>
      <c r="CEU522">
        <v>1</v>
      </c>
      <c r="EDG522">
        <f>SUMPRODUCT(Constraint_516,Decision_variables)</f>
        <v>0</v>
      </c>
      <c r="EDH522" t="s">
        <v>5265</v>
      </c>
      <c r="EDI522">
        <v>1</v>
      </c>
    </row>
    <row r="523" spans="2:469 2170:2185 3491:3493" x14ac:dyDescent="0.3">
      <c r="B523" t="s">
        <v>4008</v>
      </c>
      <c r="QV523">
        <v>1</v>
      </c>
      <c r="CEV523">
        <v>1</v>
      </c>
      <c r="EDG523">
        <f>SUMPRODUCT(Constraint_517,Decision_variables)</f>
        <v>0</v>
      </c>
      <c r="EDH523" t="s">
        <v>5265</v>
      </c>
      <c r="EDI523">
        <v>1</v>
      </c>
    </row>
    <row r="524" spans="2:469 2170:2185 3491:3493" x14ac:dyDescent="0.3">
      <c r="B524" t="s">
        <v>4009</v>
      </c>
      <c r="QW524">
        <v>1</v>
      </c>
      <c r="CEW524">
        <v>1</v>
      </c>
      <c r="EDG524">
        <f>SUMPRODUCT(Constraint_518,Decision_variables)</f>
        <v>0</v>
      </c>
      <c r="EDH524" t="s">
        <v>5265</v>
      </c>
      <c r="EDI524">
        <v>1</v>
      </c>
    </row>
    <row r="525" spans="2:469 2170:2185 3491:3493" x14ac:dyDescent="0.3">
      <c r="B525" t="s">
        <v>4010</v>
      </c>
      <c r="QX525">
        <v>1</v>
      </c>
      <c r="CEX525">
        <v>1</v>
      </c>
      <c r="EDG525">
        <f>SUMPRODUCT(Constraint_519,Decision_variables)</f>
        <v>0</v>
      </c>
      <c r="EDH525" t="s">
        <v>5265</v>
      </c>
      <c r="EDI525">
        <v>1</v>
      </c>
    </row>
    <row r="526" spans="2:469 2170:2185 3491:3493" x14ac:dyDescent="0.3">
      <c r="B526" t="s">
        <v>4011</v>
      </c>
      <c r="QY526">
        <v>1</v>
      </c>
      <c r="CEY526">
        <v>1</v>
      </c>
      <c r="EDG526">
        <f>SUMPRODUCT(Constraint_520,Decision_variables)</f>
        <v>0</v>
      </c>
      <c r="EDH526" t="s">
        <v>5265</v>
      </c>
      <c r="EDI526">
        <v>1</v>
      </c>
    </row>
    <row r="527" spans="2:469 2170:2185 3491:3493" x14ac:dyDescent="0.3">
      <c r="B527" t="s">
        <v>4012</v>
      </c>
      <c r="QZ527">
        <v>1</v>
      </c>
      <c r="CEZ527">
        <v>1</v>
      </c>
      <c r="EDG527">
        <f>SUMPRODUCT(Constraint_521,Decision_variables)</f>
        <v>0</v>
      </c>
      <c r="EDH527" t="s">
        <v>5265</v>
      </c>
      <c r="EDI527">
        <v>1</v>
      </c>
    </row>
    <row r="528" spans="2:469 2170:2185 3491:3493" x14ac:dyDescent="0.3">
      <c r="B528" t="s">
        <v>4013</v>
      </c>
      <c r="RA528">
        <v>1</v>
      </c>
      <c r="CFA528">
        <v>1</v>
      </c>
      <c r="EDG528">
        <f>SUMPRODUCT(Constraint_522,Decision_variables)</f>
        <v>0</v>
      </c>
      <c r="EDH528" t="s">
        <v>5265</v>
      </c>
      <c r="EDI528">
        <v>1</v>
      </c>
    </row>
    <row r="529" spans="2:485 2186:2201 3491:3493" x14ac:dyDescent="0.3">
      <c r="B529" t="s">
        <v>4014</v>
      </c>
      <c r="RB529">
        <v>1</v>
      </c>
      <c r="CFB529">
        <v>1</v>
      </c>
      <c r="EDG529">
        <f>SUMPRODUCT(Constraint_523,Decision_variables)</f>
        <v>0</v>
      </c>
      <c r="EDH529" t="s">
        <v>5265</v>
      </c>
      <c r="EDI529">
        <v>1</v>
      </c>
    </row>
    <row r="530" spans="2:485 2186:2201 3491:3493" x14ac:dyDescent="0.3">
      <c r="B530" t="s">
        <v>4015</v>
      </c>
      <c r="RC530">
        <v>1</v>
      </c>
      <c r="CFC530">
        <v>1</v>
      </c>
      <c r="EDG530">
        <f>SUMPRODUCT(Constraint_524,Decision_variables)</f>
        <v>0</v>
      </c>
      <c r="EDH530" t="s">
        <v>5265</v>
      </c>
      <c r="EDI530">
        <v>1</v>
      </c>
    </row>
    <row r="531" spans="2:485 2186:2201 3491:3493" x14ac:dyDescent="0.3">
      <c r="B531" t="s">
        <v>4016</v>
      </c>
      <c r="RD531">
        <v>1</v>
      </c>
      <c r="CFD531">
        <v>1</v>
      </c>
      <c r="EDG531">
        <f>SUMPRODUCT(Constraint_525,Decision_variables)</f>
        <v>0</v>
      </c>
      <c r="EDH531" t="s">
        <v>5265</v>
      </c>
      <c r="EDI531">
        <v>1</v>
      </c>
    </row>
    <row r="532" spans="2:485 2186:2201 3491:3493" x14ac:dyDescent="0.3">
      <c r="B532" t="s">
        <v>4017</v>
      </c>
      <c r="RE532">
        <v>1</v>
      </c>
      <c r="CFE532">
        <v>1</v>
      </c>
      <c r="EDG532">
        <f>SUMPRODUCT(Constraint_526,Decision_variables)</f>
        <v>0</v>
      </c>
      <c r="EDH532" t="s">
        <v>5265</v>
      </c>
      <c r="EDI532">
        <v>1</v>
      </c>
    </row>
    <row r="533" spans="2:485 2186:2201 3491:3493" x14ac:dyDescent="0.3">
      <c r="B533" t="s">
        <v>4018</v>
      </c>
      <c r="RF533">
        <v>1</v>
      </c>
      <c r="CFF533">
        <v>1</v>
      </c>
      <c r="EDG533">
        <f>SUMPRODUCT(Constraint_527,Decision_variables)</f>
        <v>0</v>
      </c>
      <c r="EDH533" t="s">
        <v>5265</v>
      </c>
      <c r="EDI533">
        <v>1</v>
      </c>
    </row>
    <row r="534" spans="2:485 2186:2201 3491:3493" x14ac:dyDescent="0.3">
      <c r="B534" t="s">
        <v>4019</v>
      </c>
      <c r="RG534">
        <v>1</v>
      </c>
      <c r="CFG534">
        <v>1</v>
      </c>
      <c r="EDG534">
        <f>SUMPRODUCT(Constraint_528,Decision_variables)</f>
        <v>0</v>
      </c>
      <c r="EDH534" t="s">
        <v>5265</v>
      </c>
      <c r="EDI534">
        <v>1</v>
      </c>
    </row>
    <row r="535" spans="2:485 2186:2201 3491:3493" x14ac:dyDescent="0.3">
      <c r="B535" t="s">
        <v>4020</v>
      </c>
      <c r="RH535">
        <v>1</v>
      </c>
      <c r="CFH535">
        <v>1</v>
      </c>
      <c r="EDG535">
        <f>SUMPRODUCT(Constraint_529,Decision_variables)</f>
        <v>0</v>
      </c>
      <c r="EDH535" t="s">
        <v>5265</v>
      </c>
      <c r="EDI535">
        <v>1</v>
      </c>
    </row>
    <row r="536" spans="2:485 2186:2201 3491:3493" x14ac:dyDescent="0.3">
      <c r="B536" t="s">
        <v>4021</v>
      </c>
      <c r="RI536">
        <v>1</v>
      </c>
      <c r="CFI536">
        <v>1</v>
      </c>
      <c r="EDG536">
        <f>SUMPRODUCT(Constraint_530,Decision_variables)</f>
        <v>0</v>
      </c>
      <c r="EDH536" t="s">
        <v>5265</v>
      </c>
      <c r="EDI536">
        <v>1</v>
      </c>
    </row>
    <row r="537" spans="2:485 2186:2201 3491:3493" x14ac:dyDescent="0.3">
      <c r="B537" t="s">
        <v>4022</v>
      </c>
      <c r="RJ537">
        <v>1</v>
      </c>
      <c r="CFJ537">
        <v>1</v>
      </c>
      <c r="EDG537">
        <f>SUMPRODUCT(Constraint_531,Decision_variables)</f>
        <v>0</v>
      </c>
      <c r="EDH537" t="s">
        <v>5265</v>
      </c>
      <c r="EDI537">
        <v>1</v>
      </c>
    </row>
    <row r="538" spans="2:485 2186:2201 3491:3493" x14ac:dyDescent="0.3">
      <c r="B538" t="s">
        <v>4023</v>
      </c>
      <c r="RK538">
        <v>1</v>
      </c>
      <c r="CFK538">
        <v>1</v>
      </c>
      <c r="EDG538">
        <f>SUMPRODUCT(Constraint_532,Decision_variables)</f>
        <v>0</v>
      </c>
      <c r="EDH538" t="s">
        <v>5265</v>
      </c>
      <c r="EDI538">
        <v>1</v>
      </c>
    </row>
    <row r="539" spans="2:485 2186:2201 3491:3493" x14ac:dyDescent="0.3">
      <c r="B539" t="s">
        <v>4024</v>
      </c>
      <c r="RL539">
        <v>1</v>
      </c>
      <c r="CFL539">
        <v>1</v>
      </c>
      <c r="EDG539">
        <f>SUMPRODUCT(Constraint_533,Decision_variables)</f>
        <v>0</v>
      </c>
      <c r="EDH539" t="s">
        <v>5265</v>
      </c>
      <c r="EDI539">
        <v>1</v>
      </c>
    </row>
    <row r="540" spans="2:485 2186:2201 3491:3493" x14ac:dyDescent="0.3">
      <c r="B540" t="s">
        <v>4025</v>
      </c>
      <c r="RM540">
        <v>1</v>
      </c>
      <c r="CFM540">
        <v>1</v>
      </c>
      <c r="EDG540">
        <f>SUMPRODUCT(Constraint_534,Decision_variables)</f>
        <v>0</v>
      </c>
      <c r="EDH540" t="s">
        <v>5265</v>
      </c>
      <c r="EDI540">
        <v>1</v>
      </c>
    </row>
    <row r="541" spans="2:485 2186:2201 3491:3493" x14ac:dyDescent="0.3">
      <c r="B541" t="s">
        <v>4026</v>
      </c>
      <c r="RN541">
        <v>1</v>
      </c>
      <c r="CFN541">
        <v>1</v>
      </c>
      <c r="EDG541">
        <f>SUMPRODUCT(Constraint_535,Decision_variables)</f>
        <v>0</v>
      </c>
      <c r="EDH541" t="s">
        <v>5265</v>
      </c>
      <c r="EDI541">
        <v>1</v>
      </c>
    </row>
    <row r="542" spans="2:485 2186:2201 3491:3493" x14ac:dyDescent="0.3">
      <c r="B542" t="s">
        <v>4027</v>
      </c>
      <c r="RO542">
        <v>1</v>
      </c>
      <c r="CFO542">
        <v>1</v>
      </c>
      <c r="EDG542">
        <f>SUMPRODUCT(Constraint_536,Decision_variables)</f>
        <v>0</v>
      </c>
      <c r="EDH542" t="s">
        <v>5265</v>
      </c>
      <c r="EDI542">
        <v>1</v>
      </c>
    </row>
    <row r="543" spans="2:485 2186:2201 3491:3493" x14ac:dyDescent="0.3">
      <c r="B543" t="s">
        <v>4028</v>
      </c>
      <c r="RP543">
        <v>1</v>
      </c>
      <c r="CFP543">
        <v>1</v>
      </c>
      <c r="EDG543">
        <f>SUMPRODUCT(Constraint_537,Decision_variables)</f>
        <v>0</v>
      </c>
      <c r="EDH543" t="s">
        <v>5265</v>
      </c>
      <c r="EDI543">
        <v>1</v>
      </c>
    </row>
    <row r="544" spans="2:485 2186:2201 3491:3493" x14ac:dyDescent="0.3">
      <c r="B544" t="s">
        <v>4029</v>
      </c>
      <c r="RQ544">
        <v>1</v>
      </c>
      <c r="CFQ544">
        <v>1</v>
      </c>
      <c r="EDG544">
        <f>SUMPRODUCT(Constraint_538,Decision_variables)</f>
        <v>0</v>
      </c>
      <c r="EDH544" t="s">
        <v>5265</v>
      </c>
      <c r="EDI544">
        <v>1</v>
      </c>
    </row>
    <row r="545" spans="2:501 2202:2217 3491:3493" x14ac:dyDescent="0.3">
      <c r="B545" t="s">
        <v>4030</v>
      </c>
      <c r="RR545">
        <v>1</v>
      </c>
      <c r="CFR545">
        <v>1</v>
      </c>
      <c r="EDG545">
        <f>SUMPRODUCT(Constraint_539,Decision_variables)</f>
        <v>0</v>
      </c>
      <c r="EDH545" t="s">
        <v>5265</v>
      </c>
      <c r="EDI545">
        <v>1</v>
      </c>
    </row>
    <row r="546" spans="2:501 2202:2217 3491:3493" x14ac:dyDescent="0.3">
      <c r="B546" t="s">
        <v>4031</v>
      </c>
      <c r="RS546">
        <v>1</v>
      </c>
      <c r="CFS546">
        <v>1</v>
      </c>
      <c r="EDG546">
        <f>SUMPRODUCT(Constraint_540,Decision_variables)</f>
        <v>0</v>
      </c>
      <c r="EDH546" t="s">
        <v>5265</v>
      </c>
      <c r="EDI546">
        <v>1</v>
      </c>
    </row>
    <row r="547" spans="2:501 2202:2217 3491:3493" x14ac:dyDescent="0.3">
      <c r="B547" t="s">
        <v>4032</v>
      </c>
      <c r="RT547">
        <v>1</v>
      </c>
      <c r="CFT547">
        <v>1</v>
      </c>
      <c r="EDG547">
        <f>SUMPRODUCT(Constraint_541,Decision_variables)</f>
        <v>0</v>
      </c>
      <c r="EDH547" t="s">
        <v>5265</v>
      </c>
      <c r="EDI547">
        <v>1</v>
      </c>
    </row>
    <row r="548" spans="2:501 2202:2217 3491:3493" x14ac:dyDescent="0.3">
      <c r="B548" t="s">
        <v>4033</v>
      </c>
      <c r="RU548">
        <v>1</v>
      </c>
      <c r="CFU548">
        <v>1</v>
      </c>
      <c r="EDG548">
        <f>SUMPRODUCT(Constraint_542,Decision_variables)</f>
        <v>0</v>
      </c>
      <c r="EDH548" t="s">
        <v>5265</v>
      </c>
      <c r="EDI548">
        <v>1</v>
      </c>
    </row>
    <row r="549" spans="2:501 2202:2217 3491:3493" x14ac:dyDescent="0.3">
      <c r="B549" t="s">
        <v>4034</v>
      </c>
      <c r="RV549">
        <v>1</v>
      </c>
      <c r="CFV549">
        <v>1</v>
      </c>
      <c r="EDG549">
        <f>SUMPRODUCT(Constraint_543,Decision_variables)</f>
        <v>0</v>
      </c>
      <c r="EDH549" t="s">
        <v>5265</v>
      </c>
      <c r="EDI549">
        <v>1</v>
      </c>
    </row>
    <row r="550" spans="2:501 2202:2217 3491:3493" x14ac:dyDescent="0.3">
      <c r="B550" t="s">
        <v>4035</v>
      </c>
      <c r="RW550">
        <v>1</v>
      </c>
      <c r="CFW550">
        <v>1</v>
      </c>
      <c r="EDG550">
        <f>SUMPRODUCT(Constraint_544,Decision_variables)</f>
        <v>0</v>
      </c>
      <c r="EDH550" t="s">
        <v>5265</v>
      </c>
      <c r="EDI550">
        <v>1</v>
      </c>
    </row>
    <row r="551" spans="2:501 2202:2217 3491:3493" x14ac:dyDescent="0.3">
      <c r="B551" t="s">
        <v>4036</v>
      </c>
      <c r="RX551">
        <v>1</v>
      </c>
      <c r="CFX551">
        <v>1</v>
      </c>
      <c r="EDG551">
        <f>SUMPRODUCT(Constraint_545,Decision_variables)</f>
        <v>0</v>
      </c>
      <c r="EDH551" t="s">
        <v>5265</v>
      </c>
      <c r="EDI551">
        <v>1</v>
      </c>
    </row>
    <row r="552" spans="2:501 2202:2217 3491:3493" x14ac:dyDescent="0.3">
      <c r="B552" t="s">
        <v>4037</v>
      </c>
      <c r="RY552">
        <v>1</v>
      </c>
      <c r="CFY552">
        <v>1</v>
      </c>
      <c r="EDG552">
        <f>SUMPRODUCT(Constraint_546,Decision_variables)</f>
        <v>0</v>
      </c>
      <c r="EDH552" t="s">
        <v>5265</v>
      </c>
      <c r="EDI552">
        <v>1</v>
      </c>
    </row>
    <row r="553" spans="2:501 2202:2217 3491:3493" x14ac:dyDescent="0.3">
      <c r="B553" t="s">
        <v>4038</v>
      </c>
      <c r="RZ553">
        <v>1</v>
      </c>
      <c r="CFZ553">
        <v>1</v>
      </c>
      <c r="EDG553">
        <f>SUMPRODUCT(Constraint_547,Decision_variables)</f>
        <v>0</v>
      </c>
      <c r="EDH553" t="s">
        <v>5265</v>
      </c>
      <c r="EDI553">
        <v>1</v>
      </c>
    </row>
    <row r="554" spans="2:501 2202:2217 3491:3493" x14ac:dyDescent="0.3">
      <c r="B554" t="s">
        <v>4039</v>
      </c>
      <c r="SA554">
        <v>1</v>
      </c>
      <c r="CGA554">
        <v>1</v>
      </c>
      <c r="EDG554">
        <f>SUMPRODUCT(Constraint_548,Decision_variables)</f>
        <v>0</v>
      </c>
      <c r="EDH554" t="s">
        <v>5265</v>
      </c>
      <c r="EDI554">
        <v>1</v>
      </c>
    </row>
    <row r="555" spans="2:501 2202:2217 3491:3493" x14ac:dyDescent="0.3">
      <c r="B555" t="s">
        <v>4040</v>
      </c>
      <c r="SB555">
        <v>1</v>
      </c>
      <c r="CGB555">
        <v>1</v>
      </c>
      <c r="EDG555">
        <f>SUMPRODUCT(Constraint_549,Decision_variables)</f>
        <v>0</v>
      </c>
      <c r="EDH555" t="s">
        <v>5265</v>
      </c>
      <c r="EDI555">
        <v>1</v>
      </c>
    </row>
    <row r="556" spans="2:501 2202:2217 3491:3493" x14ac:dyDescent="0.3">
      <c r="B556" t="s">
        <v>4041</v>
      </c>
      <c r="SC556">
        <v>1</v>
      </c>
      <c r="CGC556">
        <v>1</v>
      </c>
      <c r="EDG556">
        <f>SUMPRODUCT(Constraint_550,Decision_variables)</f>
        <v>0</v>
      </c>
      <c r="EDH556" t="s">
        <v>5265</v>
      </c>
      <c r="EDI556">
        <v>1</v>
      </c>
    </row>
    <row r="557" spans="2:501 2202:2217 3491:3493" x14ac:dyDescent="0.3">
      <c r="B557" t="s">
        <v>4042</v>
      </c>
      <c r="SD557">
        <v>1</v>
      </c>
      <c r="CGD557">
        <v>1</v>
      </c>
      <c r="EDG557">
        <f>SUMPRODUCT(Constraint_551,Decision_variables)</f>
        <v>0</v>
      </c>
      <c r="EDH557" t="s">
        <v>5265</v>
      </c>
      <c r="EDI557">
        <v>1</v>
      </c>
    </row>
    <row r="558" spans="2:501 2202:2217 3491:3493" x14ac:dyDescent="0.3">
      <c r="B558" t="s">
        <v>4043</v>
      </c>
      <c r="SE558">
        <v>1</v>
      </c>
      <c r="CGE558">
        <v>1</v>
      </c>
      <c r="EDG558">
        <f>SUMPRODUCT(Constraint_552,Decision_variables)</f>
        <v>0</v>
      </c>
      <c r="EDH558" t="s">
        <v>5265</v>
      </c>
      <c r="EDI558">
        <v>1</v>
      </c>
    </row>
    <row r="559" spans="2:501 2202:2217 3491:3493" x14ac:dyDescent="0.3">
      <c r="B559" t="s">
        <v>4044</v>
      </c>
      <c r="SF559">
        <v>1</v>
      </c>
      <c r="CGF559">
        <v>1</v>
      </c>
      <c r="EDG559">
        <f>SUMPRODUCT(Constraint_553,Decision_variables)</f>
        <v>0</v>
      </c>
      <c r="EDH559" t="s">
        <v>5265</v>
      </c>
      <c r="EDI559">
        <v>1</v>
      </c>
    </row>
    <row r="560" spans="2:501 2202:2217 3491:3493" x14ac:dyDescent="0.3">
      <c r="B560" t="s">
        <v>4045</v>
      </c>
      <c r="SG560">
        <v>1</v>
      </c>
      <c r="CGG560">
        <v>1</v>
      </c>
      <c r="EDG560">
        <f>SUMPRODUCT(Constraint_554,Decision_variables)</f>
        <v>0</v>
      </c>
      <c r="EDH560" t="s">
        <v>5265</v>
      </c>
      <c r="EDI560">
        <v>1</v>
      </c>
    </row>
    <row r="561" spans="2:517 2218:2233 3491:3493" x14ac:dyDescent="0.3">
      <c r="B561" t="s">
        <v>4046</v>
      </c>
      <c r="SH561">
        <v>1</v>
      </c>
      <c r="CGH561">
        <v>1</v>
      </c>
      <c r="EDG561">
        <f>SUMPRODUCT(Constraint_555,Decision_variables)</f>
        <v>0</v>
      </c>
      <c r="EDH561" t="s">
        <v>5265</v>
      </c>
      <c r="EDI561">
        <v>1</v>
      </c>
    </row>
    <row r="562" spans="2:517 2218:2233 3491:3493" x14ac:dyDescent="0.3">
      <c r="B562" t="s">
        <v>4047</v>
      </c>
      <c r="SI562">
        <v>1</v>
      </c>
      <c r="CGI562">
        <v>1</v>
      </c>
      <c r="EDG562">
        <f>SUMPRODUCT(Constraint_556,Decision_variables)</f>
        <v>0</v>
      </c>
      <c r="EDH562" t="s">
        <v>5265</v>
      </c>
      <c r="EDI562">
        <v>1</v>
      </c>
    </row>
    <row r="563" spans="2:517 2218:2233 3491:3493" x14ac:dyDescent="0.3">
      <c r="B563" t="s">
        <v>4048</v>
      </c>
      <c r="SJ563">
        <v>1</v>
      </c>
      <c r="CGJ563">
        <v>1</v>
      </c>
      <c r="EDG563">
        <f>SUMPRODUCT(Constraint_557,Decision_variables)</f>
        <v>0</v>
      </c>
      <c r="EDH563" t="s">
        <v>5265</v>
      </c>
      <c r="EDI563">
        <v>1</v>
      </c>
    </row>
    <row r="564" spans="2:517 2218:2233 3491:3493" x14ac:dyDescent="0.3">
      <c r="B564" t="s">
        <v>4049</v>
      </c>
      <c r="SK564">
        <v>1</v>
      </c>
      <c r="CGK564">
        <v>1</v>
      </c>
      <c r="EDG564">
        <f>SUMPRODUCT(Constraint_558,Decision_variables)</f>
        <v>0</v>
      </c>
      <c r="EDH564" t="s">
        <v>5265</v>
      </c>
      <c r="EDI564">
        <v>1</v>
      </c>
    </row>
    <row r="565" spans="2:517 2218:2233 3491:3493" x14ac:dyDescent="0.3">
      <c r="B565" t="s">
        <v>4050</v>
      </c>
      <c r="SL565">
        <v>1</v>
      </c>
      <c r="CGL565">
        <v>1</v>
      </c>
      <c r="EDG565">
        <f>SUMPRODUCT(Constraint_559,Decision_variables)</f>
        <v>0</v>
      </c>
      <c r="EDH565" t="s">
        <v>5265</v>
      </c>
      <c r="EDI565">
        <v>1</v>
      </c>
    </row>
    <row r="566" spans="2:517 2218:2233 3491:3493" x14ac:dyDescent="0.3">
      <c r="B566" t="s">
        <v>4051</v>
      </c>
      <c r="SM566">
        <v>1</v>
      </c>
      <c r="CGM566">
        <v>1</v>
      </c>
      <c r="EDG566">
        <f>SUMPRODUCT(Constraint_560,Decision_variables)</f>
        <v>0</v>
      </c>
      <c r="EDH566" t="s">
        <v>5265</v>
      </c>
      <c r="EDI566">
        <v>1</v>
      </c>
    </row>
    <row r="567" spans="2:517 2218:2233 3491:3493" x14ac:dyDescent="0.3">
      <c r="B567" t="s">
        <v>4052</v>
      </c>
      <c r="SN567">
        <v>1</v>
      </c>
      <c r="CGN567">
        <v>1</v>
      </c>
      <c r="EDG567">
        <f>SUMPRODUCT(Constraint_561,Decision_variables)</f>
        <v>0</v>
      </c>
      <c r="EDH567" t="s">
        <v>5265</v>
      </c>
      <c r="EDI567">
        <v>1</v>
      </c>
    </row>
    <row r="568" spans="2:517 2218:2233 3491:3493" x14ac:dyDescent="0.3">
      <c r="B568" t="s">
        <v>4053</v>
      </c>
      <c r="SO568">
        <v>1</v>
      </c>
      <c r="CGO568">
        <v>1</v>
      </c>
      <c r="EDG568">
        <f>SUMPRODUCT(Constraint_562,Decision_variables)</f>
        <v>0</v>
      </c>
      <c r="EDH568" t="s">
        <v>5265</v>
      </c>
      <c r="EDI568">
        <v>1</v>
      </c>
    </row>
    <row r="569" spans="2:517 2218:2233 3491:3493" x14ac:dyDescent="0.3">
      <c r="B569" t="s">
        <v>4054</v>
      </c>
      <c r="SP569">
        <v>1</v>
      </c>
      <c r="CGP569">
        <v>1</v>
      </c>
      <c r="EDG569">
        <f>SUMPRODUCT(Constraint_563,Decision_variables)</f>
        <v>0</v>
      </c>
      <c r="EDH569" t="s">
        <v>5265</v>
      </c>
      <c r="EDI569">
        <v>1</v>
      </c>
    </row>
    <row r="570" spans="2:517 2218:2233 3491:3493" x14ac:dyDescent="0.3">
      <c r="B570" t="s">
        <v>4055</v>
      </c>
      <c r="SQ570">
        <v>1</v>
      </c>
      <c r="CGQ570">
        <v>1</v>
      </c>
      <c r="EDG570">
        <f>SUMPRODUCT(Constraint_564,Decision_variables)</f>
        <v>0</v>
      </c>
      <c r="EDH570" t="s">
        <v>5265</v>
      </c>
      <c r="EDI570">
        <v>1</v>
      </c>
    </row>
    <row r="571" spans="2:517 2218:2233 3491:3493" x14ac:dyDescent="0.3">
      <c r="B571" t="s">
        <v>4056</v>
      </c>
      <c r="SR571">
        <v>1</v>
      </c>
      <c r="CGR571">
        <v>1</v>
      </c>
      <c r="EDG571">
        <f>SUMPRODUCT(Constraint_565,Decision_variables)</f>
        <v>0</v>
      </c>
      <c r="EDH571" t="s">
        <v>5265</v>
      </c>
      <c r="EDI571">
        <v>1</v>
      </c>
    </row>
    <row r="572" spans="2:517 2218:2233 3491:3493" x14ac:dyDescent="0.3">
      <c r="B572" t="s">
        <v>4057</v>
      </c>
      <c r="SS572">
        <v>1</v>
      </c>
      <c r="CGS572">
        <v>1</v>
      </c>
      <c r="EDG572">
        <f>SUMPRODUCT(Constraint_566,Decision_variables)</f>
        <v>0</v>
      </c>
      <c r="EDH572" t="s">
        <v>5265</v>
      </c>
      <c r="EDI572">
        <v>1</v>
      </c>
    </row>
    <row r="573" spans="2:517 2218:2233 3491:3493" x14ac:dyDescent="0.3">
      <c r="B573" t="s">
        <v>4058</v>
      </c>
      <c r="ST573">
        <v>1</v>
      </c>
      <c r="CGT573">
        <v>1</v>
      </c>
      <c r="EDG573">
        <f>SUMPRODUCT(Constraint_567,Decision_variables)</f>
        <v>0</v>
      </c>
      <c r="EDH573" t="s">
        <v>5265</v>
      </c>
      <c r="EDI573">
        <v>1</v>
      </c>
    </row>
    <row r="574" spans="2:517 2218:2233 3491:3493" x14ac:dyDescent="0.3">
      <c r="B574" t="s">
        <v>4059</v>
      </c>
      <c r="SU574">
        <v>1</v>
      </c>
      <c r="CGU574">
        <v>1</v>
      </c>
      <c r="EDG574">
        <f>SUMPRODUCT(Constraint_568,Decision_variables)</f>
        <v>0</v>
      </c>
      <c r="EDH574" t="s">
        <v>5265</v>
      </c>
      <c r="EDI574">
        <v>1</v>
      </c>
    </row>
    <row r="575" spans="2:517 2218:2233 3491:3493" x14ac:dyDescent="0.3">
      <c r="B575" t="s">
        <v>4060</v>
      </c>
      <c r="SV575">
        <v>1</v>
      </c>
      <c r="CGV575">
        <v>1</v>
      </c>
      <c r="EDG575">
        <f>SUMPRODUCT(Constraint_569,Decision_variables)</f>
        <v>0</v>
      </c>
      <c r="EDH575" t="s">
        <v>5265</v>
      </c>
      <c r="EDI575">
        <v>1</v>
      </c>
    </row>
    <row r="576" spans="2:517 2218:2233 3491:3493" x14ac:dyDescent="0.3">
      <c r="B576" t="s">
        <v>4061</v>
      </c>
      <c r="SW576">
        <v>1</v>
      </c>
      <c r="CGW576">
        <v>1</v>
      </c>
      <c r="EDG576">
        <f>SUMPRODUCT(Constraint_570,Decision_variables)</f>
        <v>0</v>
      </c>
      <c r="EDH576" t="s">
        <v>5265</v>
      </c>
      <c r="EDI576">
        <v>1</v>
      </c>
    </row>
    <row r="577" spans="2:533 2234:2249 3491:3493" x14ac:dyDescent="0.3">
      <c r="B577" t="s">
        <v>4062</v>
      </c>
      <c r="SX577">
        <v>1</v>
      </c>
      <c r="CGX577">
        <v>1</v>
      </c>
      <c r="EDG577">
        <f>SUMPRODUCT(Constraint_571,Decision_variables)</f>
        <v>0</v>
      </c>
      <c r="EDH577" t="s">
        <v>5265</v>
      </c>
      <c r="EDI577">
        <v>1</v>
      </c>
    </row>
    <row r="578" spans="2:533 2234:2249 3491:3493" x14ac:dyDescent="0.3">
      <c r="B578" t="s">
        <v>4063</v>
      </c>
      <c r="SY578">
        <v>1</v>
      </c>
      <c r="CGY578">
        <v>1</v>
      </c>
      <c r="EDG578">
        <f>SUMPRODUCT(Constraint_572,Decision_variables)</f>
        <v>0</v>
      </c>
      <c r="EDH578" t="s">
        <v>5265</v>
      </c>
      <c r="EDI578">
        <v>1</v>
      </c>
    </row>
    <row r="579" spans="2:533 2234:2249 3491:3493" x14ac:dyDescent="0.3">
      <c r="B579" t="s">
        <v>4064</v>
      </c>
      <c r="SZ579">
        <v>1</v>
      </c>
      <c r="CGZ579">
        <v>1</v>
      </c>
      <c r="EDG579">
        <f>SUMPRODUCT(Constraint_573,Decision_variables)</f>
        <v>0</v>
      </c>
      <c r="EDH579" t="s">
        <v>5265</v>
      </c>
      <c r="EDI579">
        <v>1</v>
      </c>
    </row>
    <row r="580" spans="2:533 2234:2249 3491:3493" x14ac:dyDescent="0.3">
      <c r="B580" t="s">
        <v>4065</v>
      </c>
      <c r="TA580">
        <v>1</v>
      </c>
      <c r="CHA580">
        <v>1</v>
      </c>
      <c r="EDG580">
        <f>SUMPRODUCT(Constraint_574,Decision_variables)</f>
        <v>0</v>
      </c>
      <c r="EDH580" t="s">
        <v>5265</v>
      </c>
      <c r="EDI580">
        <v>1</v>
      </c>
    </row>
    <row r="581" spans="2:533 2234:2249 3491:3493" x14ac:dyDescent="0.3">
      <c r="B581" t="s">
        <v>4066</v>
      </c>
      <c r="TB581">
        <v>1</v>
      </c>
      <c r="CHB581">
        <v>1</v>
      </c>
      <c r="EDG581">
        <f>SUMPRODUCT(Constraint_575,Decision_variables)</f>
        <v>0</v>
      </c>
      <c r="EDH581" t="s">
        <v>5265</v>
      </c>
      <c r="EDI581">
        <v>1</v>
      </c>
    </row>
    <row r="582" spans="2:533 2234:2249 3491:3493" x14ac:dyDescent="0.3">
      <c r="B582" t="s">
        <v>4067</v>
      </c>
      <c r="TC582">
        <v>1</v>
      </c>
      <c r="CHC582">
        <v>1</v>
      </c>
      <c r="EDG582">
        <f>SUMPRODUCT(Constraint_576,Decision_variables)</f>
        <v>0</v>
      </c>
      <c r="EDH582" t="s">
        <v>5265</v>
      </c>
      <c r="EDI582">
        <v>1</v>
      </c>
    </row>
    <row r="583" spans="2:533 2234:2249 3491:3493" x14ac:dyDescent="0.3">
      <c r="B583" t="s">
        <v>4068</v>
      </c>
      <c r="TD583">
        <v>1</v>
      </c>
      <c r="CHD583">
        <v>1</v>
      </c>
      <c r="EDG583">
        <f>SUMPRODUCT(Constraint_577,Decision_variables)</f>
        <v>0</v>
      </c>
      <c r="EDH583" t="s">
        <v>5265</v>
      </c>
      <c r="EDI583">
        <v>1</v>
      </c>
    </row>
    <row r="584" spans="2:533 2234:2249 3491:3493" x14ac:dyDescent="0.3">
      <c r="B584" t="s">
        <v>4069</v>
      </c>
      <c r="TE584">
        <v>1</v>
      </c>
      <c r="CHE584">
        <v>1</v>
      </c>
      <c r="EDG584">
        <f>SUMPRODUCT(Constraint_578,Decision_variables)</f>
        <v>0</v>
      </c>
      <c r="EDH584" t="s">
        <v>5265</v>
      </c>
      <c r="EDI584">
        <v>1</v>
      </c>
    </row>
    <row r="585" spans="2:533 2234:2249 3491:3493" x14ac:dyDescent="0.3">
      <c r="B585" t="s">
        <v>4070</v>
      </c>
      <c r="TF585">
        <v>1</v>
      </c>
      <c r="CHF585">
        <v>1</v>
      </c>
      <c r="EDG585">
        <f>SUMPRODUCT(Constraint_579,Decision_variables)</f>
        <v>0</v>
      </c>
      <c r="EDH585" t="s">
        <v>5265</v>
      </c>
      <c r="EDI585">
        <v>1</v>
      </c>
    </row>
    <row r="586" spans="2:533 2234:2249 3491:3493" x14ac:dyDescent="0.3">
      <c r="B586" t="s">
        <v>4071</v>
      </c>
      <c r="TG586">
        <v>1</v>
      </c>
      <c r="CHG586">
        <v>1</v>
      </c>
      <c r="EDG586">
        <f>SUMPRODUCT(Constraint_580,Decision_variables)</f>
        <v>0</v>
      </c>
      <c r="EDH586" t="s">
        <v>5265</v>
      </c>
      <c r="EDI586">
        <v>1</v>
      </c>
    </row>
    <row r="587" spans="2:533 2234:2249 3491:3493" x14ac:dyDescent="0.3">
      <c r="B587" t="s">
        <v>4072</v>
      </c>
      <c r="TH587">
        <v>1</v>
      </c>
      <c r="CHH587">
        <v>1</v>
      </c>
      <c r="EDG587">
        <f>SUMPRODUCT(Constraint_581,Decision_variables)</f>
        <v>0</v>
      </c>
      <c r="EDH587" t="s">
        <v>5265</v>
      </c>
      <c r="EDI587">
        <v>1</v>
      </c>
    </row>
    <row r="588" spans="2:533 2234:2249 3491:3493" x14ac:dyDescent="0.3">
      <c r="B588" t="s">
        <v>4073</v>
      </c>
      <c r="TI588">
        <v>1</v>
      </c>
      <c r="CHI588">
        <v>1</v>
      </c>
      <c r="EDG588">
        <f>SUMPRODUCT(Constraint_582,Decision_variables)</f>
        <v>0</v>
      </c>
      <c r="EDH588" t="s">
        <v>5265</v>
      </c>
      <c r="EDI588">
        <v>1</v>
      </c>
    </row>
    <row r="589" spans="2:533 2234:2249 3491:3493" x14ac:dyDescent="0.3">
      <c r="B589" t="s">
        <v>4074</v>
      </c>
      <c r="TJ589">
        <v>1</v>
      </c>
      <c r="CHJ589">
        <v>1</v>
      </c>
      <c r="EDG589">
        <f>SUMPRODUCT(Constraint_583,Decision_variables)</f>
        <v>0</v>
      </c>
      <c r="EDH589" t="s">
        <v>5265</v>
      </c>
      <c r="EDI589">
        <v>1</v>
      </c>
    </row>
    <row r="590" spans="2:533 2234:2249 3491:3493" x14ac:dyDescent="0.3">
      <c r="B590" t="s">
        <v>4075</v>
      </c>
      <c r="TK590">
        <v>1</v>
      </c>
      <c r="CHK590">
        <v>1</v>
      </c>
      <c r="EDG590">
        <f>SUMPRODUCT(Constraint_584,Decision_variables)</f>
        <v>0</v>
      </c>
      <c r="EDH590" t="s">
        <v>5265</v>
      </c>
      <c r="EDI590">
        <v>1</v>
      </c>
    </row>
    <row r="591" spans="2:533 2234:2249 3491:3493" x14ac:dyDescent="0.3">
      <c r="B591" t="s">
        <v>4076</v>
      </c>
      <c r="TL591">
        <v>1</v>
      </c>
      <c r="CHL591">
        <v>1</v>
      </c>
      <c r="EDG591">
        <f>SUMPRODUCT(Constraint_585,Decision_variables)</f>
        <v>0</v>
      </c>
      <c r="EDH591" t="s">
        <v>5265</v>
      </c>
      <c r="EDI591">
        <v>1</v>
      </c>
    </row>
    <row r="592" spans="2:533 2234:2249 3491:3493" x14ac:dyDescent="0.3">
      <c r="B592" t="s">
        <v>4077</v>
      </c>
      <c r="TM592">
        <v>1</v>
      </c>
      <c r="CHM592">
        <v>1</v>
      </c>
      <c r="EDG592">
        <f>SUMPRODUCT(Constraint_586,Decision_variables)</f>
        <v>0</v>
      </c>
      <c r="EDH592" t="s">
        <v>5265</v>
      </c>
      <c r="EDI592">
        <v>1</v>
      </c>
    </row>
    <row r="593" spans="2:549 2250:2265 3491:3493" x14ac:dyDescent="0.3">
      <c r="B593" t="s">
        <v>4078</v>
      </c>
      <c r="TN593">
        <v>1</v>
      </c>
      <c r="CHN593">
        <v>1</v>
      </c>
      <c r="EDG593">
        <f>SUMPRODUCT(Constraint_587,Decision_variables)</f>
        <v>0</v>
      </c>
      <c r="EDH593" t="s">
        <v>5265</v>
      </c>
      <c r="EDI593">
        <v>1</v>
      </c>
    </row>
    <row r="594" spans="2:549 2250:2265 3491:3493" x14ac:dyDescent="0.3">
      <c r="B594" t="s">
        <v>4079</v>
      </c>
      <c r="TO594">
        <v>1</v>
      </c>
      <c r="CHO594">
        <v>1</v>
      </c>
      <c r="EDG594">
        <f>SUMPRODUCT(Constraint_588,Decision_variables)</f>
        <v>0</v>
      </c>
      <c r="EDH594" t="s">
        <v>5265</v>
      </c>
      <c r="EDI594">
        <v>1</v>
      </c>
    </row>
    <row r="595" spans="2:549 2250:2265 3491:3493" x14ac:dyDescent="0.3">
      <c r="B595" t="s">
        <v>4080</v>
      </c>
      <c r="TP595">
        <v>1</v>
      </c>
      <c r="CHP595">
        <v>1</v>
      </c>
      <c r="EDG595">
        <f>SUMPRODUCT(Constraint_589,Decision_variables)</f>
        <v>0</v>
      </c>
      <c r="EDH595" t="s">
        <v>5265</v>
      </c>
      <c r="EDI595">
        <v>1</v>
      </c>
    </row>
    <row r="596" spans="2:549 2250:2265 3491:3493" x14ac:dyDescent="0.3">
      <c r="B596" t="s">
        <v>4081</v>
      </c>
      <c r="TQ596">
        <v>1</v>
      </c>
      <c r="CHQ596">
        <v>1</v>
      </c>
      <c r="EDG596">
        <f>SUMPRODUCT(Constraint_590,Decision_variables)</f>
        <v>0</v>
      </c>
      <c r="EDH596" t="s">
        <v>5265</v>
      </c>
      <c r="EDI596">
        <v>1</v>
      </c>
    </row>
    <row r="597" spans="2:549 2250:2265 3491:3493" x14ac:dyDescent="0.3">
      <c r="B597" t="s">
        <v>4082</v>
      </c>
      <c r="TR597">
        <v>1</v>
      </c>
      <c r="CHR597">
        <v>1</v>
      </c>
      <c r="EDG597">
        <f>SUMPRODUCT(Constraint_591,Decision_variables)</f>
        <v>0</v>
      </c>
      <c r="EDH597" t="s">
        <v>5265</v>
      </c>
      <c r="EDI597">
        <v>1</v>
      </c>
    </row>
    <row r="598" spans="2:549 2250:2265 3491:3493" x14ac:dyDescent="0.3">
      <c r="B598" t="s">
        <v>4083</v>
      </c>
      <c r="TS598">
        <v>1</v>
      </c>
      <c r="CHS598">
        <v>1</v>
      </c>
      <c r="EDG598">
        <f>SUMPRODUCT(Constraint_592,Decision_variables)</f>
        <v>0</v>
      </c>
      <c r="EDH598" t="s">
        <v>5265</v>
      </c>
      <c r="EDI598">
        <v>1</v>
      </c>
    </row>
    <row r="599" spans="2:549 2250:2265 3491:3493" x14ac:dyDescent="0.3">
      <c r="B599" t="s">
        <v>4084</v>
      </c>
      <c r="TT599">
        <v>1</v>
      </c>
      <c r="CHT599">
        <v>1</v>
      </c>
      <c r="EDG599">
        <f>SUMPRODUCT(Constraint_593,Decision_variables)</f>
        <v>0</v>
      </c>
      <c r="EDH599" t="s">
        <v>5265</v>
      </c>
      <c r="EDI599">
        <v>1</v>
      </c>
    </row>
    <row r="600" spans="2:549 2250:2265 3491:3493" x14ac:dyDescent="0.3">
      <c r="B600" t="s">
        <v>4085</v>
      </c>
      <c r="TU600">
        <v>1</v>
      </c>
      <c r="CHU600">
        <v>1</v>
      </c>
      <c r="EDG600">
        <f>SUMPRODUCT(Constraint_594,Decision_variables)</f>
        <v>0</v>
      </c>
      <c r="EDH600" t="s">
        <v>5265</v>
      </c>
      <c r="EDI600">
        <v>1</v>
      </c>
    </row>
    <row r="601" spans="2:549 2250:2265 3491:3493" x14ac:dyDescent="0.3">
      <c r="B601" t="s">
        <v>4086</v>
      </c>
      <c r="TV601">
        <v>1</v>
      </c>
      <c r="CHV601">
        <v>1</v>
      </c>
      <c r="EDG601">
        <f>SUMPRODUCT(Constraint_595,Decision_variables)</f>
        <v>0</v>
      </c>
      <c r="EDH601" t="s">
        <v>5265</v>
      </c>
      <c r="EDI601">
        <v>1</v>
      </c>
    </row>
    <row r="602" spans="2:549 2250:2265 3491:3493" x14ac:dyDescent="0.3">
      <c r="B602" t="s">
        <v>4087</v>
      </c>
      <c r="TW602">
        <v>1</v>
      </c>
      <c r="CHW602">
        <v>1</v>
      </c>
      <c r="EDG602">
        <f>SUMPRODUCT(Constraint_596,Decision_variables)</f>
        <v>0</v>
      </c>
      <c r="EDH602" t="s">
        <v>5265</v>
      </c>
      <c r="EDI602">
        <v>1</v>
      </c>
    </row>
    <row r="603" spans="2:549 2250:2265 3491:3493" x14ac:dyDescent="0.3">
      <c r="B603" t="s">
        <v>4088</v>
      </c>
      <c r="TX603">
        <v>1</v>
      </c>
      <c r="CHX603">
        <v>1</v>
      </c>
      <c r="EDG603">
        <f>SUMPRODUCT(Constraint_597,Decision_variables)</f>
        <v>0</v>
      </c>
      <c r="EDH603" t="s">
        <v>5265</v>
      </c>
      <c r="EDI603">
        <v>1</v>
      </c>
    </row>
    <row r="604" spans="2:549 2250:2265 3491:3493" x14ac:dyDescent="0.3">
      <c r="B604" t="s">
        <v>4089</v>
      </c>
      <c r="TY604">
        <v>1</v>
      </c>
      <c r="CHY604">
        <v>1</v>
      </c>
      <c r="EDG604">
        <f>SUMPRODUCT(Constraint_598,Decision_variables)</f>
        <v>0</v>
      </c>
      <c r="EDH604" t="s">
        <v>5265</v>
      </c>
      <c r="EDI604">
        <v>1</v>
      </c>
    </row>
    <row r="605" spans="2:549 2250:2265 3491:3493" x14ac:dyDescent="0.3">
      <c r="B605" t="s">
        <v>4090</v>
      </c>
      <c r="TZ605">
        <v>1</v>
      </c>
      <c r="CHZ605">
        <v>1</v>
      </c>
      <c r="EDG605">
        <f>SUMPRODUCT(Constraint_599,Decision_variables)</f>
        <v>0</v>
      </c>
      <c r="EDH605" t="s">
        <v>5265</v>
      </c>
      <c r="EDI605">
        <v>1</v>
      </c>
    </row>
    <row r="606" spans="2:549 2250:2265 3491:3493" x14ac:dyDescent="0.3">
      <c r="B606" t="s">
        <v>4091</v>
      </c>
      <c r="UA606">
        <v>1</v>
      </c>
      <c r="CIA606">
        <v>1</v>
      </c>
      <c r="EDG606">
        <f>SUMPRODUCT(Constraint_600,Decision_variables)</f>
        <v>0</v>
      </c>
      <c r="EDH606" t="s">
        <v>5265</v>
      </c>
      <c r="EDI606">
        <v>1</v>
      </c>
    </row>
    <row r="607" spans="2:549 2250:2265 3491:3493" x14ac:dyDescent="0.3">
      <c r="B607" t="s">
        <v>4092</v>
      </c>
      <c r="UB607">
        <v>1</v>
      </c>
      <c r="CIB607">
        <v>1</v>
      </c>
      <c r="EDG607">
        <f>SUMPRODUCT(Constraint_601,Decision_variables)</f>
        <v>0</v>
      </c>
      <c r="EDH607" t="s">
        <v>5265</v>
      </c>
      <c r="EDI607">
        <v>1</v>
      </c>
    </row>
    <row r="608" spans="2:549 2250:2265 3491:3493" x14ac:dyDescent="0.3">
      <c r="B608" t="s">
        <v>4093</v>
      </c>
      <c r="UC608">
        <v>1</v>
      </c>
      <c r="CIC608">
        <v>1</v>
      </c>
      <c r="EDG608">
        <f>SUMPRODUCT(Constraint_602,Decision_variables)</f>
        <v>0</v>
      </c>
      <c r="EDH608" t="s">
        <v>5265</v>
      </c>
      <c r="EDI608">
        <v>1</v>
      </c>
    </row>
    <row r="609" spans="2:565 2266:2281 3491:3493" x14ac:dyDescent="0.3">
      <c r="B609" t="s">
        <v>4094</v>
      </c>
      <c r="UD609">
        <v>1</v>
      </c>
      <c r="CID609">
        <v>1</v>
      </c>
      <c r="EDG609">
        <f>SUMPRODUCT(Constraint_603,Decision_variables)</f>
        <v>0</v>
      </c>
      <c r="EDH609" t="s">
        <v>5265</v>
      </c>
      <c r="EDI609">
        <v>1</v>
      </c>
    </row>
    <row r="610" spans="2:565 2266:2281 3491:3493" x14ac:dyDescent="0.3">
      <c r="B610" t="s">
        <v>4095</v>
      </c>
      <c r="UE610">
        <v>1</v>
      </c>
      <c r="CIE610">
        <v>1</v>
      </c>
      <c r="EDG610">
        <f>SUMPRODUCT(Constraint_604,Decision_variables)</f>
        <v>0</v>
      </c>
      <c r="EDH610" t="s">
        <v>5265</v>
      </c>
      <c r="EDI610">
        <v>1</v>
      </c>
    </row>
    <row r="611" spans="2:565 2266:2281 3491:3493" x14ac:dyDescent="0.3">
      <c r="B611" t="s">
        <v>4096</v>
      </c>
      <c r="UF611">
        <v>1</v>
      </c>
      <c r="CIF611">
        <v>1</v>
      </c>
      <c r="EDG611">
        <f>SUMPRODUCT(Constraint_605,Decision_variables)</f>
        <v>0</v>
      </c>
      <c r="EDH611" t="s">
        <v>5265</v>
      </c>
      <c r="EDI611">
        <v>1</v>
      </c>
    </row>
    <row r="612" spans="2:565 2266:2281 3491:3493" x14ac:dyDescent="0.3">
      <c r="B612" t="s">
        <v>4097</v>
      </c>
      <c r="UG612">
        <v>1</v>
      </c>
      <c r="CIG612">
        <v>1</v>
      </c>
      <c r="EDG612">
        <f>SUMPRODUCT(Constraint_606,Decision_variables)</f>
        <v>0</v>
      </c>
      <c r="EDH612" t="s">
        <v>5265</v>
      </c>
      <c r="EDI612">
        <v>1</v>
      </c>
    </row>
    <row r="613" spans="2:565 2266:2281 3491:3493" x14ac:dyDescent="0.3">
      <c r="B613" t="s">
        <v>4098</v>
      </c>
      <c r="UH613">
        <v>1</v>
      </c>
      <c r="CIH613">
        <v>1</v>
      </c>
      <c r="EDG613">
        <f>SUMPRODUCT(Constraint_607,Decision_variables)</f>
        <v>0</v>
      </c>
      <c r="EDH613" t="s">
        <v>5265</v>
      </c>
      <c r="EDI613">
        <v>1</v>
      </c>
    </row>
    <row r="614" spans="2:565 2266:2281 3491:3493" x14ac:dyDescent="0.3">
      <c r="B614" t="s">
        <v>4099</v>
      </c>
      <c r="UI614">
        <v>1</v>
      </c>
      <c r="CII614">
        <v>1</v>
      </c>
      <c r="EDG614">
        <f>SUMPRODUCT(Constraint_608,Decision_variables)</f>
        <v>0</v>
      </c>
      <c r="EDH614" t="s">
        <v>5265</v>
      </c>
      <c r="EDI614">
        <v>1</v>
      </c>
    </row>
    <row r="615" spans="2:565 2266:2281 3491:3493" x14ac:dyDescent="0.3">
      <c r="B615" t="s">
        <v>4100</v>
      </c>
      <c r="UJ615">
        <v>1</v>
      </c>
      <c r="CIJ615">
        <v>1</v>
      </c>
      <c r="EDG615">
        <f>SUMPRODUCT(Constraint_609,Decision_variables)</f>
        <v>0</v>
      </c>
      <c r="EDH615" t="s">
        <v>5265</v>
      </c>
      <c r="EDI615">
        <v>1</v>
      </c>
    </row>
    <row r="616" spans="2:565 2266:2281 3491:3493" x14ac:dyDescent="0.3">
      <c r="B616" t="s">
        <v>4101</v>
      </c>
      <c r="UK616">
        <v>1</v>
      </c>
      <c r="CIK616">
        <v>1</v>
      </c>
      <c r="EDG616">
        <f>SUMPRODUCT(Constraint_610,Decision_variables)</f>
        <v>0</v>
      </c>
      <c r="EDH616" t="s">
        <v>5265</v>
      </c>
      <c r="EDI616">
        <v>1</v>
      </c>
    </row>
    <row r="617" spans="2:565 2266:2281 3491:3493" x14ac:dyDescent="0.3">
      <c r="B617" t="s">
        <v>4102</v>
      </c>
      <c r="UL617">
        <v>1</v>
      </c>
      <c r="CIL617">
        <v>1</v>
      </c>
      <c r="EDG617">
        <f>SUMPRODUCT(Constraint_611,Decision_variables)</f>
        <v>0</v>
      </c>
      <c r="EDH617" t="s">
        <v>5265</v>
      </c>
      <c r="EDI617">
        <v>1</v>
      </c>
    </row>
    <row r="618" spans="2:565 2266:2281 3491:3493" x14ac:dyDescent="0.3">
      <c r="B618" t="s">
        <v>4103</v>
      </c>
      <c r="UM618">
        <v>1</v>
      </c>
      <c r="CIM618">
        <v>1</v>
      </c>
      <c r="EDG618">
        <f>SUMPRODUCT(Constraint_612,Decision_variables)</f>
        <v>0</v>
      </c>
      <c r="EDH618" t="s">
        <v>5265</v>
      </c>
      <c r="EDI618">
        <v>1</v>
      </c>
    </row>
    <row r="619" spans="2:565 2266:2281 3491:3493" x14ac:dyDescent="0.3">
      <c r="B619" t="s">
        <v>4104</v>
      </c>
      <c r="UN619">
        <v>1</v>
      </c>
      <c r="CIN619">
        <v>1</v>
      </c>
      <c r="EDG619">
        <f>SUMPRODUCT(Constraint_613,Decision_variables)</f>
        <v>0</v>
      </c>
      <c r="EDH619" t="s">
        <v>5265</v>
      </c>
      <c r="EDI619">
        <v>1</v>
      </c>
    </row>
    <row r="620" spans="2:565 2266:2281 3491:3493" x14ac:dyDescent="0.3">
      <c r="B620" t="s">
        <v>4105</v>
      </c>
      <c r="UO620">
        <v>1</v>
      </c>
      <c r="CIO620">
        <v>1</v>
      </c>
      <c r="EDG620">
        <f>SUMPRODUCT(Constraint_614,Decision_variables)</f>
        <v>0</v>
      </c>
      <c r="EDH620" t="s">
        <v>5265</v>
      </c>
      <c r="EDI620">
        <v>1</v>
      </c>
    </row>
    <row r="621" spans="2:565 2266:2281 3491:3493" x14ac:dyDescent="0.3">
      <c r="B621" t="s">
        <v>4106</v>
      </c>
      <c r="UP621">
        <v>1</v>
      </c>
      <c r="CIP621">
        <v>1</v>
      </c>
      <c r="EDG621">
        <f>SUMPRODUCT(Constraint_615,Decision_variables)</f>
        <v>0</v>
      </c>
      <c r="EDH621" t="s">
        <v>5265</v>
      </c>
      <c r="EDI621">
        <v>1</v>
      </c>
    </row>
    <row r="622" spans="2:565 2266:2281 3491:3493" x14ac:dyDescent="0.3">
      <c r="B622" t="s">
        <v>4107</v>
      </c>
      <c r="UQ622">
        <v>1</v>
      </c>
      <c r="CIQ622">
        <v>1</v>
      </c>
      <c r="EDG622">
        <f>SUMPRODUCT(Constraint_616,Decision_variables)</f>
        <v>0</v>
      </c>
      <c r="EDH622" t="s">
        <v>5265</v>
      </c>
      <c r="EDI622">
        <v>1</v>
      </c>
    </row>
    <row r="623" spans="2:565 2266:2281 3491:3493" x14ac:dyDescent="0.3">
      <c r="B623" t="s">
        <v>4108</v>
      </c>
      <c r="UR623">
        <v>1</v>
      </c>
      <c r="CIR623">
        <v>1</v>
      </c>
      <c r="EDG623">
        <f>SUMPRODUCT(Constraint_617,Decision_variables)</f>
        <v>0</v>
      </c>
      <c r="EDH623" t="s">
        <v>5265</v>
      </c>
      <c r="EDI623">
        <v>1</v>
      </c>
    </row>
    <row r="624" spans="2:565 2266:2281 3491:3493" x14ac:dyDescent="0.3">
      <c r="B624" t="s">
        <v>4109</v>
      </c>
      <c r="US624">
        <v>1</v>
      </c>
      <c r="CIS624">
        <v>1</v>
      </c>
      <c r="EDG624">
        <f>SUMPRODUCT(Constraint_618,Decision_variables)</f>
        <v>0</v>
      </c>
      <c r="EDH624" t="s">
        <v>5265</v>
      </c>
      <c r="EDI624">
        <v>1</v>
      </c>
    </row>
    <row r="625" spans="2:581 2282:2297 3491:3493" x14ac:dyDescent="0.3">
      <c r="B625" t="s">
        <v>4110</v>
      </c>
      <c r="UT625">
        <v>1</v>
      </c>
      <c r="CIT625">
        <v>1</v>
      </c>
      <c r="EDG625">
        <f>SUMPRODUCT(Constraint_619,Decision_variables)</f>
        <v>0</v>
      </c>
      <c r="EDH625" t="s">
        <v>5265</v>
      </c>
      <c r="EDI625">
        <v>1</v>
      </c>
    </row>
    <row r="626" spans="2:581 2282:2297 3491:3493" x14ac:dyDescent="0.3">
      <c r="B626" t="s">
        <v>4111</v>
      </c>
      <c r="UU626">
        <v>1</v>
      </c>
      <c r="CIU626">
        <v>1</v>
      </c>
      <c r="EDG626">
        <f>SUMPRODUCT(Constraint_620,Decision_variables)</f>
        <v>0</v>
      </c>
      <c r="EDH626" t="s">
        <v>5265</v>
      </c>
      <c r="EDI626">
        <v>1</v>
      </c>
    </row>
    <row r="627" spans="2:581 2282:2297 3491:3493" x14ac:dyDescent="0.3">
      <c r="B627" t="s">
        <v>4112</v>
      </c>
      <c r="UV627">
        <v>1</v>
      </c>
      <c r="CIV627">
        <v>1</v>
      </c>
      <c r="EDG627">
        <f>SUMPRODUCT(Constraint_621,Decision_variables)</f>
        <v>0</v>
      </c>
      <c r="EDH627" t="s">
        <v>5265</v>
      </c>
      <c r="EDI627">
        <v>1</v>
      </c>
    </row>
    <row r="628" spans="2:581 2282:2297 3491:3493" x14ac:dyDescent="0.3">
      <c r="B628" t="s">
        <v>4113</v>
      </c>
      <c r="UW628">
        <v>1</v>
      </c>
      <c r="CIW628">
        <v>1</v>
      </c>
      <c r="EDG628">
        <f>SUMPRODUCT(Constraint_622,Decision_variables)</f>
        <v>0</v>
      </c>
      <c r="EDH628" t="s">
        <v>5265</v>
      </c>
      <c r="EDI628">
        <v>1</v>
      </c>
    </row>
    <row r="629" spans="2:581 2282:2297 3491:3493" x14ac:dyDescent="0.3">
      <c r="B629" t="s">
        <v>4114</v>
      </c>
      <c r="UX629">
        <v>1</v>
      </c>
      <c r="CIX629">
        <v>1</v>
      </c>
      <c r="EDG629">
        <f>SUMPRODUCT(Constraint_623,Decision_variables)</f>
        <v>0</v>
      </c>
      <c r="EDH629" t="s">
        <v>5265</v>
      </c>
      <c r="EDI629">
        <v>1</v>
      </c>
    </row>
    <row r="630" spans="2:581 2282:2297 3491:3493" x14ac:dyDescent="0.3">
      <c r="B630" t="s">
        <v>4115</v>
      </c>
      <c r="UY630">
        <v>1</v>
      </c>
      <c r="CIY630">
        <v>1</v>
      </c>
      <c r="EDG630">
        <f>SUMPRODUCT(Constraint_624,Decision_variables)</f>
        <v>0</v>
      </c>
      <c r="EDH630" t="s">
        <v>5265</v>
      </c>
      <c r="EDI630">
        <v>1</v>
      </c>
    </row>
    <row r="631" spans="2:581 2282:2297 3491:3493" x14ac:dyDescent="0.3">
      <c r="B631" t="s">
        <v>4116</v>
      </c>
      <c r="UZ631">
        <v>1</v>
      </c>
      <c r="CIZ631">
        <v>1</v>
      </c>
      <c r="EDG631">
        <f>SUMPRODUCT(Constraint_625,Decision_variables)</f>
        <v>0</v>
      </c>
      <c r="EDH631" t="s">
        <v>5265</v>
      </c>
      <c r="EDI631">
        <v>1</v>
      </c>
    </row>
    <row r="632" spans="2:581 2282:2297 3491:3493" x14ac:dyDescent="0.3">
      <c r="B632" t="s">
        <v>4117</v>
      </c>
      <c r="VA632">
        <v>1</v>
      </c>
      <c r="CJA632">
        <v>1</v>
      </c>
      <c r="EDG632">
        <f>SUMPRODUCT(Constraint_626,Decision_variables)</f>
        <v>0</v>
      </c>
      <c r="EDH632" t="s">
        <v>5265</v>
      </c>
      <c r="EDI632">
        <v>1</v>
      </c>
    </row>
    <row r="633" spans="2:581 2282:2297 3491:3493" x14ac:dyDescent="0.3">
      <c r="B633" t="s">
        <v>4118</v>
      </c>
      <c r="VB633">
        <v>1</v>
      </c>
      <c r="CJB633">
        <v>1</v>
      </c>
      <c r="EDG633">
        <f>SUMPRODUCT(Constraint_627,Decision_variables)</f>
        <v>0</v>
      </c>
      <c r="EDH633" t="s">
        <v>5265</v>
      </c>
      <c r="EDI633">
        <v>1</v>
      </c>
    </row>
    <row r="634" spans="2:581 2282:2297 3491:3493" x14ac:dyDescent="0.3">
      <c r="B634" t="s">
        <v>4119</v>
      </c>
      <c r="VC634">
        <v>1</v>
      </c>
      <c r="CJC634">
        <v>1</v>
      </c>
      <c r="EDG634">
        <f>SUMPRODUCT(Constraint_628,Decision_variables)</f>
        <v>0</v>
      </c>
      <c r="EDH634" t="s">
        <v>5265</v>
      </c>
      <c r="EDI634">
        <v>1</v>
      </c>
    </row>
    <row r="635" spans="2:581 2282:2297 3491:3493" x14ac:dyDescent="0.3">
      <c r="B635" t="s">
        <v>4120</v>
      </c>
      <c r="VD635">
        <v>1</v>
      </c>
      <c r="CJD635">
        <v>1</v>
      </c>
      <c r="EDG635">
        <f>SUMPRODUCT(Constraint_629,Decision_variables)</f>
        <v>0</v>
      </c>
      <c r="EDH635" t="s">
        <v>5265</v>
      </c>
      <c r="EDI635">
        <v>1</v>
      </c>
    </row>
    <row r="636" spans="2:581 2282:2297 3491:3493" x14ac:dyDescent="0.3">
      <c r="B636" t="s">
        <v>4121</v>
      </c>
      <c r="VE636">
        <v>1</v>
      </c>
      <c r="CJE636">
        <v>1</v>
      </c>
      <c r="EDG636">
        <f>SUMPRODUCT(Constraint_630,Decision_variables)</f>
        <v>0</v>
      </c>
      <c r="EDH636" t="s">
        <v>5265</v>
      </c>
      <c r="EDI636">
        <v>1</v>
      </c>
    </row>
    <row r="637" spans="2:581 2282:2297 3491:3493" x14ac:dyDescent="0.3">
      <c r="B637" t="s">
        <v>4122</v>
      </c>
      <c r="VF637">
        <v>1</v>
      </c>
      <c r="CJF637">
        <v>1</v>
      </c>
      <c r="EDG637">
        <f>SUMPRODUCT(Constraint_631,Decision_variables)</f>
        <v>0</v>
      </c>
      <c r="EDH637" t="s">
        <v>5265</v>
      </c>
      <c r="EDI637">
        <v>1</v>
      </c>
    </row>
    <row r="638" spans="2:581 2282:2297 3491:3493" x14ac:dyDescent="0.3">
      <c r="B638" t="s">
        <v>4123</v>
      </c>
      <c r="VG638">
        <v>1</v>
      </c>
      <c r="CJG638">
        <v>1</v>
      </c>
      <c r="EDG638">
        <f>SUMPRODUCT(Constraint_632,Decision_variables)</f>
        <v>0</v>
      </c>
      <c r="EDH638" t="s">
        <v>5265</v>
      </c>
      <c r="EDI638">
        <v>1</v>
      </c>
    </row>
    <row r="639" spans="2:581 2282:2297 3491:3493" x14ac:dyDescent="0.3">
      <c r="B639" t="s">
        <v>4124</v>
      </c>
      <c r="VH639">
        <v>1</v>
      </c>
      <c r="CJH639">
        <v>1</v>
      </c>
      <c r="EDG639">
        <f>SUMPRODUCT(Constraint_633,Decision_variables)</f>
        <v>0</v>
      </c>
      <c r="EDH639" t="s">
        <v>5265</v>
      </c>
      <c r="EDI639">
        <v>1</v>
      </c>
    </row>
    <row r="640" spans="2:581 2282:2297 3491:3493" x14ac:dyDescent="0.3">
      <c r="B640" t="s">
        <v>4125</v>
      </c>
      <c r="VI640">
        <v>1</v>
      </c>
      <c r="CJI640">
        <v>1</v>
      </c>
      <c r="EDG640">
        <f>SUMPRODUCT(Constraint_634,Decision_variables)</f>
        <v>0</v>
      </c>
      <c r="EDH640" t="s">
        <v>5265</v>
      </c>
      <c r="EDI640">
        <v>1</v>
      </c>
    </row>
    <row r="641" spans="2:597 2298:2313 3491:3493" x14ac:dyDescent="0.3">
      <c r="B641" t="s">
        <v>4126</v>
      </c>
      <c r="VJ641">
        <v>1</v>
      </c>
      <c r="CJJ641">
        <v>1</v>
      </c>
      <c r="EDG641">
        <f>SUMPRODUCT(Constraint_635,Decision_variables)</f>
        <v>0</v>
      </c>
      <c r="EDH641" t="s">
        <v>5265</v>
      </c>
      <c r="EDI641">
        <v>1</v>
      </c>
    </row>
    <row r="642" spans="2:597 2298:2313 3491:3493" x14ac:dyDescent="0.3">
      <c r="B642" t="s">
        <v>4127</v>
      </c>
      <c r="VK642">
        <v>1</v>
      </c>
      <c r="CJK642">
        <v>1</v>
      </c>
      <c r="EDG642">
        <f>SUMPRODUCT(Constraint_636,Decision_variables)</f>
        <v>0</v>
      </c>
      <c r="EDH642" t="s">
        <v>5265</v>
      </c>
      <c r="EDI642">
        <v>1</v>
      </c>
    </row>
    <row r="643" spans="2:597 2298:2313 3491:3493" x14ac:dyDescent="0.3">
      <c r="B643" t="s">
        <v>4128</v>
      </c>
      <c r="VL643">
        <v>1</v>
      </c>
      <c r="CJL643">
        <v>1</v>
      </c>
      <c r="EDG643">
        <f>SUMPRODUCT(Constraint_637,Decision_variables)</f>
        <v>0</v>
      </c>
      <c r="EDH643" t="s">
        <v>5265</v>
      </c>
      <c r="EDI643">
        <v>1</v>
      </c>
    </row>
    <row r="644" spans="2:597 2298:2313 3491:3493" x14ac:dyDescent="0.3">
      <c r="B644" t="s">
        <v>4129</v>
      </c>
      <c r="VM644">
        <v>1</v>
      </c>
      <c r="CJM644">
        <v>1</v>
      </c>
      <c r="EDG644">
        <f>SUMPRODUCT(Constraint_638,Decision_variables)</f>
        <v>0</v>
      </c>
      <c r="EDH644" t="s">
        <v>5265</v>
      </c>
      <c r="EDI644">
        <v>1</v>
      </c>
    </row>
    <row r="645" spans="2:597 2298:2313 3491:3493" x14ac:dyDescent="0.3">
      <c r="B645" t="s">
        <v>4130</v>
      </c>
      <c r="VN645">
        <v>1</v>
      </c>
      <c r="CJN645">
        <v>1</v>
      </c>
      <c r="EDG645">
        <f>SUMPRODUCT(Constraint_639,Decision_variables)</f>
        <v>0</v>
      </c>
      <c r="EDH645" t="s">
        <v>5265</v>
      </c>
      <c r="EDI645">
        <v>1</v>
      </c>
    </row>
    <row r="646" spans="2:597 2298:2313 3491:3493" x14ac:dyDescent="0.3">
      <c r="B646" t="s">
        <v>4131</v>
      </c>
      <c r="VO646">
        <v>1</v>
      </c>
      <c r="CJO646">
        <v>1</v>
      </c>
      <c r="EDG646">
        <f>SUMPRODUCT(Constraint_640,Decision_variables)</f>
        <v>0</v>
      </c>
      <c r="EDH646" t="s">
        <v>5265</v>
      </c>
      <c r="EDI646">
        <v>1</v>
      </c>
    </row>
    <row r="647" spans="2:597 2298:2313 3491:3493" x14ac:dyDescent="0.3">
      <c r="B647" t="s">
        <v>4132</v>
      </c>
      <c r="VP647">
        <v>1</v>
      </c>
      <c r="CJP647">
        <v>1</v>
      </c>
      <c r="EDG647">
        <f>SUMPRODUCT(Constraint_641,Decision_variables)</f>
        <v>0</v>
      </c>
      <c r="EDH647" t="s">
        <v>5265</v>
      </c>
      <c r="EDI647">
        <v>1</v>
      </c>
    </row>
    <row r="648" spans="2:597 2298:2313 3491:3493" x14ac:dyDescent="0.3">
      <c r="B648" t="s">
        <v>4133</v>
      </c>
      <c r="VQ648">
        <v>1</v>
      </c>
      <c r="CJQ648">
        <v>1</v>
      </c>
      <c r="EDG648">
        <f>SUMPRODUCT(Constraint_642,Decision_variables)</f>
        <v>0</v>
      </c>
      <c r="EDH648" t="s">
        <v>5265</v>
      </c>
      <c r="EDI648">
        <v>1</v>
      </c>
    </row>
    <row r="649" spans="2:597 2298:2313 3491:3493" x14ac:dyDescent="0.3">
      <c r="B649" t="s">
        <v>4134</v>
      </c>
      <c r="VR649">
        <v>1</v>
      </c>
      <c r="CJR649">
        <v>1</v>
      </c>
      <c r="EDG649">
        <f>SUMPRODUCT(Constraint_643,Decision_variables)</f>
        <v>0</v>
      </c>
      <c r="EDH649" t="s">
        <v>5265</v>
      </c>
      <c r="EDI649">
        <v>1</v>
      </c>
    </row>
    <row r="650" spans="2:597 2298:2313 3491:3493" x14ac:dyDescent="0.3">
      <c r="B650" t="s">
        <v>4135</v>
      </c>
      <c r="VS650">
        <v>1</v>
      </c>
      <c r="CJS650">
        <v>1</v>
      </c>
      <c r="EDG650">
        <f>SUMPRODUCT(Constraint_644,Decision_variables)</f>
        <v>0</v>
      </c>
      <c r="EDH650" t="s">
        <v>5265</v>
      </c>
      <c r="EDI650">
        <v>1</v>
      </c>
    </row>
    <row r="651" spans="2:597 2298:2313 3491:3493" x14ac:dyDescent="0.3">
      <c r="B651" t="s">
        <v>4136</v>
      </c>
      <c r="VT651">
        <v>1</v>
      </c>
      <c r="CJT651">
        <v>1</v>
      </c>
      <c r="EDG651">
        <f>SUMPRODUCT(Constraint_645,Decision_variables)</f>
        <v>0</v>
      </c>
      <c r="EDH651" t="s">
        <v>5265</v>
      </c>
      <c r="EDI651">
        <v>1</v>
      </c>
    </row>
    <row r="652" spans="2:597 2298:2313 3491:3493" x14ac:dyDescent="0.3">
      <c r="B652" t="s">
        <v>4137</v>
      </c>
      <c r="VU652">
        <v>1</v>
      </c>
      <c r="CJU652">
        <v>1</v>
      </c>
      <c r="EDG652">
        <f>SUMPRODUCT(Constraint_646,Decision_variables)</f>
        <v>0</v>
      </c>
      <c r="EDH652" t="s">
        <v>5265</v>
      </c>
      <c r="EDI652">
        <v>1</v>
      </c>
    </row>
    <row r="653" spans="2:597 2298:2313 3491:3493" x14ac:dyDescent="0.3">
      <c r="B653" t="s">
        <v>4138</v>
      </c>
      <c r="VV653">
        <v>1</v>
      </c>
      <c r="CJV653">
        <v>1</v>
      </c>
      <c r="EDG653">
        <f>SUMPRODUCT(Constraint_647,Decision_variables)</f>
        <v>0</v>
      </c>
      <c r="EDH653" t="s">
        <v>5265</v>
      </c>
      <c r="EDI653">
        <v>1</v>
      </c>
    </row>
    <row r="654" spans="2:597 2298:2313 3491:3493" x14ac:dyDescent="0.3">
      <c r="B654" t="s">
        <v>4139</v>
      </c>
      <c r="VW654">
        <v>1</v>
      </c>
      <c r="CJW654">
        <v>1</v>
      </c>
      <c r="EDG654">
        <f>SUMPRODUCT(Constraint_648,Decision_variables)</f>
        <v>0</v>
      </c>
      <c r="EDH654" t="s">
        <v>5265</v>
      </c>
      <c r="EDI654">
        <v>1</v>
      </c>
    </row>
    <row r="655" spans="2:597 2298:2313 3491:3493" x14ac:dyDescent="0.3">
      <c r="B655" t="s">
        <v>4140</v>
      </c>
      <c r="VX655">
        <v>1</v>
      </c>
      <c r="CJX655">
        <v>1</v>
      </c>
      <c r="EDG655">
        <f>SUMPRODUCT(Constraint_649,Decision_variables)</f>
        <v>0</v>
      </c>
      <c r="EDH655" t="s">
        <v>5265</v>
      </c>
      <c r="EDI655">
        <v>1</v>
      </c>
    </row>
    <row r="656" spans="2:597 2298:2313 3491:3493" x14ac:dyDescent="0.3">
      <c r="B656" t="s">
        <v>4141</v>
      </c>
      <c r="VY656">
        <v>1</v>
      </c>
      <c r="CJY656">
        <v>1</v>
      </c>
      <c r="EDG656">
        <f>SUMPRODUCT(Constraint_650,Decision_variables)</f>
        <v>0</v>
      </c>
      <c r="EDH656" t="s">
        <v>5265</v>
      </c>
      <c r="EDI656">
        <v>1</v>
      </c>
    </row>
    <row r="657" spans="2:613 2314:2329 3491:3493" x14ac:dyDescent="0.3">
      <c r="B657" t="s">
        <v>4142</v>
      </c>
      <c r="VZ657">
        <v>1</v>
      </c>
      <c r="CJZ657">
        <v>1</v>
      </c>
      <c r="EDG657">
        <f>SUMPRODUCT(Constraint_651,Decision_variables)</f>
        <v>0</v>
      </c>
      <c r="EDH657" t="s">
        <v>5265</v>
      </c>
      <c r="EDI657">
        <v>1</v>
      </c>
    </row>
    <row r="658" spans="2:613 2314:2329 3491:3493" x14ac:dyDescent="0.3">
      <c r="B658" t="s">
        <v>4143</v>
      </c>
      <c r="WA658">
        <v>1</v>
      </c>
      <c r="CKA658">
        <v>1</v>
      </c>
      <c r="EDG658">
        <f>SUMPRODUCT(Constraint_652,Decision_variables)</f>
        <v>0</v>
      </c>
      <c r="EDH658" t="s">
        <v>5265</v>
      </c>
      <c r="EDI658">
        <v>1</v>
      </c>
    </row>
    <row r="659" spans="2:613 2314:2329 3491:3493" x14ac:dyDescent="0.3">
      <c r="B659" t="s">
        <v>4144</v>
      </c>
      <c r="WB659">
        <v>1</v>
      </c>
      <c r="CKB659">
        <v>1</v>
      </c>
      <c r="EDG659">
        <f>SUMPRODUCT(Constraint_653,Decision_variables)</f>
        <v>0</v>
      </c>
      <c r="EDH659" t="s">
        <v>5265</v>
      </c>
      <c r="EDI659">
        <v>1</v>
      </c>
    </row>
    <row r="660" spans="2:613 2314:2329 3491:3493" x14ac:dyDescent="0.3">
      <c r="B660" t="s">
        <v>4145</v>
      </c>
      <c r="WC660">
        <v>1</v>
      </c>
      <c r="CKC660">
        <v>1</v>
      </c>
      <c r="EDG660">
        <f>SUMPRODUCT(Constraint_654,Decision_variables)</f>
        <v>0</v>
      </c>
      <c r="EDH660" t="s">
        <v>5265</v>
      </c>
      <c r="EDI660">
        <v>1</v>
      </c>
    </row>
    <row r="661" spans="2:613 2314:2329 3491:3493" x14ac:dyDescent="0.3">
      <c r="B661" t="s">
        <v>4146</v>
      </c>
      <c r="WD661">
        <v>1</v>
      </c>
      <c r="CKD661">
        <v>1</v>
      </c>
      <c r="EDG661">
        <f>SUMPRODUCT(Constraint_655,Decision_variables)</f>
        <v>0</v>
      </c>
      <c r="EDH661" t="s">
        <v>5265</v>
      </c>
      <c r="EDI661">
        <v>1</v>
      </c>
    </row>
    <row r="662" spans="2:613 2314:2329 3491:3493" x14ac:dyDescent="0.3">
      <c r="B662" t="s">
        <v>4147</v>
      </c>
      <c r="WE662">
        <v>1</v>
      </c>
      <c r="CKE662">
        <v>1</v>
      </c>
      <c r="EDG662">
        <f>SUMPRODUCT(Constraint_656,Decision_variables)</f>
        <v>0</v>
      </c>
      <c r="EDH662" t="s">
        <v>5265</v>
      </c>
      <c r="EDI662">
        <v>1</v>
      </c>
    </row>
    <row r="663" spans="2:613 2314:2329 3491:3493" x14ac:dyDescent="0.3">
      <c r="B663" t="s">
        <v>4148</v>
      </c>
      <c r="WF663">
        <v>1</v>
      </c>
      <c r="CKF663">
        <v>1</v>
      </c>
      <c r="EDG663">
        <f>SUMPRODUCT(Constraint_657,Decision_variables)</f>
        <v>0</v>
      </c>
      <c r="EDH663" t="s">
        <v>5265</v>
      </c>
      <c r="EDI663">
        <v>1</v>
      </c>
    </row>
    <row r="664" spans="2:613 2314:2329 3491:3493" x14ac:dyDescent="0.3">
      <c r="B664" t="s">
        <v>4149</v>
      </c>
      <c r="WG664">
        <v>1</v>
      </c>
      <c r="CKG664">
        <v>1</v>
      </c>
      <c r="EDG664">
        <f>SUMPRODUCT(Constraint_658,Decision_variables)</f>
        <v>0</v>
      </c>
      <c r="EDH664" t="s">
        <v>5265</v>
      </c>
      <c r="EDI664">
        <v>1</v>
      </c>
    </row>
    <row r="665" spans="2:613 2314:2329 3491:3493" x14ac:dyDescent="0.3">
      <c r="B665" t="s">
        <v>4150</v>
      </c>
      <c r="WH665">
        <v>1</v>
      </c>
      <c r="CKH665">
        <v>1</v>
      </c>
      <c r="EDG665">
        <f>SUMPRODUCT(Constraint_659,Decision_variables)</f>
        <v>0</v>
      </c>
      <c r="EDH665" t="s">
        <v>5265</v>
      </c>
      <c r="EDI665">
        <v>1</v>
      </c>
    </row>
    <row r="666" spans="2:613 2314:2329 3491:3493" x14ac:dyDescent="0.3">
      <c r="B666" t="s">
        <v>4151</v>
      </c>
      <c r="WI666">
        <v>1</v>
      </c>
      <c r="CKI666">
        <v>1</v>
      </c>
      <c r="EDG666">
        <f>SUMPRODUCT(Constraint_660,Decision_variables)</f>
        <v>0</v>
      </c>
      <c r="EDH666" t="s">
        <v>5265</v>
      </c>
      <c r="EDI666">
        <v>1</v>
      </c>
    </row>
    <row r="667" spans="2:613 2314:2329 3491:3493" x14ac:dyDescent="0.3">
      <c r="B667" t="s">
        <v>4152</v>
      </c>
      <c r="WJ667">
        <v>1</v>
      </c>
      <c r="CKJ667">
        <v>1</v>
      </c>
      <c r="EDG667">
        <f>SUMPRODUCT(Constraint_661,Decision_variables)</f>
        <v>0</v>
      </c>
      <c r="EDH667" t="s">
        <v>5265</v>
      </c>
      <c r="EDI667">
        <v>1</v>
      </c>
    </row>
    <row r="668" spans="2:613 2314:2329 3491:3493" x14ac:dyDescent="0.3">
      <c r="B668" t="s">
        <v>4153</v>
      </c>
      <c r="WK668">
        <v>1</v>
      </c>
      <c r="CKK668">
        <v>1</v>
      </c>
      <c r="EDG668">
        <f>SUMPRODUCT(Constraint_662,Decision_variables)</f>
        <v>0</v>
      </c>
      <c r="EDH668" t="s">
        <v>5265</v>
      </c>
      <c r="EDI668">
        <v>1</v>
      </c>
    </row>
    <row r="669" spans="2:613 2314:2329 3491:3493" x14ac:dyDescent="0.3">
      <c r="B669" t="s">
        <v>4154</v>
      </c>
      <c r="WL669">
        <v>1</v>
      </c>
      <c r="CKL669">
        <v>1</v>
      </c>
      <c r="EDG669">
        <f>SUMPRODUCT(Constraint_663,Decision_variables)</f>
        <v>0</v>
      </c>
      <c r="EDH669" t="s">
        <v>5265</v>
      </c>
      <c r="EDI669">
        <v>1</v>
      </c>
    </row>
    <row r="670" spans="2:613 2314:2329 3491:3493" x14ac:dyDescent="0.3">
      <c r="B670" t="s">
        <v>4155</v>
      </c>
      <c r="WM670">
        <v>1</v>
      </c>
      <c r="CKM670">
        <v>1</v>
      </c>
      <c r="EDG670">
        <f>SUMPRODUCT(Constraint_664,Decision_variables)</f>
        <v>0</v>
      </c>
      <c r="EDH670" t="s">
        <v>5265</v>
      </c>
      <c r="EDI670">
        <v>1</v>
      </c>
    </row>
    <row r="671" spans="2:613 2314:2329 3491:3493" x14ac:dyDescent="0.3">
      <c r="B671" t="s">
        <v>4156</v>
      </c>
      <c r="WN671">
        <v>1</v>
      </c>
      <c r="CKN671">
        <v>1</v>
      </c>
      <c r="EDG671">
        <f>SUMPRODUCT(Constraint_665,Decision_variables)</f>
        <v>0</v>
      </c>
      <c r="EDH671" t="s">
        <v>5265</v>
      </c>
      <c r="EDI671">
        <v>1</v>
      </c>
    </row>
    <row r="672" spans="2:613 2314:2329 3491:3493" x14ac:dyDescent="0.3">
      <c r="B672" t="s">
        <v>4157</v>
      </c>
      <c r="WO672">
        <v>1</v>
      </c>
      <c r="CKO672">
        <v>1</v>
      </c>
      <c r="EDG672">
        <f>SUMPRODUCT(Constraint_666,Decision_variables)</f>
        <v>0</v>
      </c>
      <c r="EDH672" t="s">
        <v>5265</v>
      </c>
      <c r="EDI672">
        <v>1</v>
      </c>
    </row>
    <row r="673" spans="2:629 2330:2345 3491:3493" x14ac:dyDescent="0.3">
      <c r="B673" t="s">
        <v>4158</v>
      </c>
      <c r="WP673">
        <v>1</v>
      </c>
      <c r="CKP673">
        <v>1</v>
      </c>
      <c r="EDG673">
        <f>SUMPRODUCT(Constraint_667,Decision_variables)</f>
        <v>0</v>
      </c>
      <c r="EDH673" t="s">
        <v>5265</v>
      </c>
      <c r="EDI673">
        <v>1</v>
      </c>
    </row>
    <row r="674" spans="2:629 2330:2345 3491:3493" x14ac:dyDescent="0.3">
      <c r="B674" t="s">
        <v>4159</v>
      </c>
      <c r="WQ674">
        <v>1</v>
      </c>
      <c r="CKQ674">
        <v>1</v>
      </c>
      <c r="EDG674">
        <f>SUMPRODUCT(Constraint_668,Decision_variables)</f>
        <v>0</v>
      </c>
      <c r="EDH674" t="s">
        <v>5265</v>
      </c>
      <c r="EDI674">
        <v>1</v>
      </c>
    </row>
    <row r="675" spans="2:629 2330:2345 3491:3493" x14ac:dyDescent="0.3">
      <c r="B675" t="s">
        <v>4160</v>
      </c>
      <c r="WR675">
        <v>1</v>
      </c>
      <c r="CKR675">
        <v>1</v>
      </c>
      <c r="EDG675">
        <f>SUMPRODUCT(Constraint_669,Decision_variables)</f>
        <v>0</v>
      </c>
      <c r="EDH675" t="s">
        <v>5265</v>
      </c>
      <c r="EDI675">
        <v>1</v>
      </c>
    </row>
    <row r="676" spans="2:629 2330:2345 3491:3493" x14ac:dyDescent="0.3">
      <c r="B676" t="s">
        <v>4161</v>
      </c>
      <c r="WS676">
        <v>1</v>
      </c>
      <c r="CKS676">
        <v>1</v>
      </c>
      <c r="EDG676">
        <f>SUMPRODUCT(Constraint_670,Decision_variables)</f>
        <v>0</v>
      </c>
      <c r="EDH676" t="s">
        <v>5265</v>
      </c>
      <c r="EDI676">
        <v>1</v>
      </c>
    </row>
    <row r="677" spans="2:629 2330:2345 3491:3493" x14ac:dyDescent="0.3">
      <c r="B677" t="s">
        <v>4162</v>
      </c>
      <c r="WT677">
        <v>1</v>
      </c>
      <c r="CKT677">
        <v>1</v>
      </c>
      <c r="EDG677">
        <f>SUMPRODUCT(Constraint_671,Decision_variables)</f>
        <v>0</v>
      </c>
      <c r="EDH677" t="s">
        <v>5265</v>
      </c>
      <c r="EDI677">
        <v>1</v>
      </c>
    </row>
    <row r="678" spans="2:629 2330:2345 3491:3493" x14ac:dyDescent="0.3">
      <c r="B678" t="s">
        <v>4163</v>
      </c>
      <c r="WU678">
        <v>1</v>
      </c>
      <c r="CKU678">
        <v>1</v>
      </c>
      <c r="EDG678">
        <f>SUMPRODUCT(Constraint_672,Decision_variables)</f>
        <v>0</v>
      </c>
      <c r="EDH678" t="s">
        <v>5265</v>
      </c>
      <c r="EDI678">
        <v>1</v>
      </c>
    </row>
    <row r="679" spans="2:629 2330:2345 3491:3493" x14ac:dyDescent="0.3">
      <c r="B679" t="s">
        <v>4164</v>
      </c>
      <c r="WV679">
        <v>1</v>
      </c>
      <c r="CKV679">
        <v>1</v>
      </c>
      <c r="EDG679">
        <f>SUMPRODUCT(Constraint_673,Decision_variables)</f>
        <v>0</v>
      </c>
      <c r="EDH679" t="s">
        <v>5265</v>
      </c>
      <c r="EDI679">
        <v>1</v>
      </c>
    </row>
    <row r="680" spans="2:629 2330:2345 3491:3493" x14ac:dyDescent="0.3">
      <c r="B680" t="s">
        <v>4165</v>
      </c>
      <c r="WW680">
        <v>1</v>
      </c>
      <c r="CKW680">
        <v>1</v>
      </c>
      <c r="EDG680">
        <f>SUMPRODUCT(Constraint_674,Decision_variables)</f>
        <v>0</v>
      </c>
      <c r="EDH680" t="s">
        <v>5265</v>
      </c>
      <c r="EDI680">
        <v>1</v>
      </c>
    </row>
    <row r="681" spans="2:629 2330:2345 3491:3493" x14ac:dyDescent="0.3">
      <c r="B681" t="s">
        <v>4166</v>
      </c>
      <c r="WX681">
        <v>1</v>
      </c>
      <c r="CKX681">
        <v>1</v>
      </c>
      <c r="EDG681">
        <f>SUMPRODUCT(Constraint_675,Decision_variables)</f>
        <v>0</v>
      </c>
      <c r="EDH681" t="s">
        <v>5265</v>
      </c>
      <c r="EDI681">
        <v>1</v>
      </c>
    </row>
    <row r="682" spans="2:629 2330:2345 3491:3493" x14ac:dyDescent="0.3">
      <c r="B682" t="s">
        <v>4167</v>
      </c>
      <c r="WY682">
        <v>1</v>
      </c>
      <c r="CKY682">
        <v>1</v>
      </c>
      <c r="EDG682">
        <f>SUMPRODUCT(Constraint_676,Decision_variables)</f>
        <v>0</v>
      </c>
      <c r="EDH682" t="s">
        <v>5265</v>
      </c>
      <c r="EDI682">
        <v>1</v>
      </c>
    </row>
    <row r="683" spans="2:629 2330:2345 3491:3493" x14ac:dyDescent="0.3">
      <c r="B683" t="s">
        <v>4168</v>
      </c>
      <c r="WZ683">
        <v>1</v>
      </c>
      <c r="CKZ683">
        <v>1</v>
      </c>
      <c r="EDG683">
        <f>SUMPRODUCT(Constraint_677,Decision_variables)</f>
        <v>0</v>
      </c>
      <c r="EDH683" t="s">
        <v>5265</v>
      </c>
      <c r="EDI683">
        <v>1</v>
      </c>
    </row>
    <row r="684" spans="2:629 2330:2345 3491:3493" x14ac:dyDescent="0.3">
      <c r="B684" t="s">
        <v>4169</v>
      </c>
      <c r="XA684">
        <v>1</v>
      </c>
      <c r="CLA684">
        <v>1</v>
      </c>
      <c r="EDG684">
        <f>SUMPRODUCT(Constraint_678,Decision_variables)</f>
        <v>0</v>
      </c>
      <c r="EDH684" t="s">
        <v>5265</v>
      </c>
      <c r="EDI684">
        <v>1</v>
      </c>
    </row>
    <row r="685" spans="2:629 2330:2345 3491:3493" x14ac:dyDescent="0.3">
      <c r="B685" t="s">
        <v>4170</v>
      </c>
      <c r="XB685">
        <v>1</v>
      </c>
      <c r="CLB685">
        <v>1</v>
      </c>
      <c r="EDG685">
        <f>SUMPRODUCT(Constraint_679,Decision_variables)</f>
        <v>0</v>
      </c>
      <c r="EDH685" t="s">
        <v>5265</v>
      </c>
      <c r="EDI685">
        <v>1</v>
      </c>
    </row>
    <row r="686" spans="2:629 2330:2345 3491:3493" x14ac:dyDescent="0.3">
      <c r="B686" t="s">
        <v>4171</v>
      </c>
      <c r="XC686">
        <v>1</v>
      </c>
      <c r="CLC686">
        <v>1</v>
      </c>
      <c r="EDG686">
        <f>SUMPRODUCT(Constraint_680,Decision_variables)</f>
        <v>0</v>
      </c>
      <c r="EDH686" t="s">
        <v>5265</v>
      </c>
      <c r="EDI686">
        <v>1</v>
      </c>
    </row>
    <row r="687" spans="2:629 2330:2345 3491:3493" x14ac:dyDescent="0.3">
      <c r="B687" t="s">
        <v>4172</v>
      </c>
      <c r="XD687">
        <v>1</v>
      </c>
      <c r="CLD687">
        <v>1</v>
      </c>
      <c r="EDG687">
        <f>SUMPRODUCT(Constraint_681,Decision_variables)</f>
        <v>0</v>
      </c>
      <c r="EDH687" t="s">
        <v>5265</v>
      </c>
      <c r="EDI687">
        <v>1</v>
      </c>
    </row>
    <row r="688" spans="2:629 2330:2345 3491:3493" x14ac:dyDescent="0.3">
      <c r="B688" t="s">
        <v>4173</v>
      </c>
      <c r="XE688">
        <v>1</v>
      </c>
      <c r="CLE688">
        <v>1</v>
      </c>
      <c r="EDG688">
        <f>SUMPRODUCT(Constraint_682,Decision_variables)</f>
        <v>0</v>
      </c>
      <c r="EDH688" t="s">
        <v>5265</v>
      </c>
      <c r="EDI688">
        <v>1</v>
      </c>
    </row>
    <row r="689" spans="2:645 2346:2361 3491:3493" x14ac:dyDescent="0.3">
      <c r="B689" t="s">
        <v>4174</v>
      </c>
      <c r="XF689">
        <v>1</v>
      </c>
      <c r="CLF689">
        <v>1</v>
      </c>
      <c r="EDG689">
        <f>SUMPRODUCT(Constraint_683,Decision_variables)</f>
        <v>0</v>
      </c>
      <c r="EDH689" t="s">
        <v>5265</v>
      </c>
      <c r="EDI689">
        <v>1</v>
      </c>
    </row>
    <row r="690" spans="2:645 2346:2361 3491:3493" x14ac:dyDescent="0.3">
      <c r="B690" t="s">
        <v>4175</v>
      </c>
      <c r="XG690">
        <v>1</v>
      </c>
      <c r="CLG690">
        <v>1</v>
      </c>
      <c r="EDG690">
        <f>SUMPRODUCT(Constraint_684,Decision_variables)</f>
        <v>0</v>
      </c>
      <c r="EDH690" t="s">
        <v>5265</v>
      </c>
      <c r="EDI690">
        <v>1</v>
      </c>
    </row>
    <row r="691" spans="2:645 2346:2361 3491:3493" x14ac:dyDescent="0.3">
      <c r="B691" t="s">
        <v>4176</v>
      </c>
      <c r="XH691">
        <v>1</v>
      </c>
      <c r="CLH691">
        <v>1</v>
      </c>
      <c r="EDG691">
        <f>SUMPRODUCT(Constraint_685,Decision_variables)</f>
        <v>0</v>
      </c>
      <c r="EDH691" t="s">
        <v>5265</v>
      </c>
      <c r="EDI691">
        <v>1</v>
      </c>
    </row>
    <row r="692" spans="2:645 2346:2361 3491:3493" x14ac:dyDescent="0.3">
      <c r="B692" t="s">
        <v>4177</v>
      </c>
      <c r="XI692">
        <v>1</v>
      </c>
      <c r="CLI692">
        <v>1</v>
      </c>
      <c r="EDG692">
        <f>SUMPRODUCT(Constraint_686,Decision_variables)</f>
        <v>0</v>
      </c>
      <c r="EDH692" t="s">
        <v>5265</v>
      </c>
      <c r="EDI692">
        <v>1</v>
      </c>
    </row>
    <row r="693" spans="2:645 2346:2361 3491:3493" x14ac:dyDescent="0.3">
      <c r="B693" t="s">
        <v>4178</v>
      </c>
      <c r="XJ693">
        <v>1</v>
      </c>
      <c r="CLJ693">
        <v>1</v>
      </c>
      <c r="EDG693">
        <f>SUMPRODUCT(Constraint_687,Decision_variables)</f>
        <v>0</v>
      </c>
      <c r="EDH693" t="s">
        <v>5265</v>
      </c>
      <c r="EDI693">
        <v>1</v>
      </c>
    </row>
    <row r="694" spans="2:645 2346:2361 3491:3493" x14ac:dyDescent="0.3">
      <c r="B694" t="s">
        <v>4179</v>
      </c>
      <c r="XK694">
        <v>1</v>
      </c>
      <c r="CLK694">
        <v>1</v>
      </c>
      <c r="EDG694">
        <f>SUMPRODUCT(Constraint_688,Decision_variables)</f>
        <v>0</v>
      </c>
      <c r="EDH694" t="s">
        <v>5265</v>
      </c>
      <c r="EDI694">
        <v>1</v>
      </c>
    </row>
    <row r="695" spans="2:645 2346:2361 3491:3493" x14ac:dyDescent="0.3">
      <c r="B695" t="s">
        <v>4180</v>
      </c>
      <c r="XL695">
        <v>1</v>
      </c>
      <c r="CLL695">
        <v>1</v>
      </c>
      <c r="EDG695">
        <f>SUMPRODUCT(Constraint_689,Decision_variables)</f>
        <v>0</v>
      </c>
      <c r="EDH695" t="s">
        <v>5265</v>
      </c>
      <c r="EDI695">
        <v>1</v>
      </c>
    </row>
    <row r="696" spans="2:645 2346:2361 3491:3493" x14ac:dyDescent="0.3">
      <c r="B696" t="s">
        <v>4181</v>
      </c>
      <c r="XM696">
        <v>1</v>
      </c>
      <c r="CLM696">
        <v>1</v>
      </c>
      <c r="EDG696">
        <f>SUMPRODUCT(Constraint_690,Decision_variables)</f>
        <v>0</v>
      </c>
      <c r="EDH696" t="s">
        <v>5265</v>
      </c>
      <c r="EDI696">
        <v>1</v>
      </c>
    </row>
    <row r="697" spans="2:645 2346:2361 3491:3493" x14ac:dyDescent="0.3">
      <c r="B697" t="s">
        <v>4182</v>
      </c>
      <c r="XN697">
        <v>1</v>
      </c>
      <c r="CLN697">
        <v>1</v>
      </c>
      <c r="EDG697">
        <f>SUMPRODUCT(Constraint_691,Decision_variables)</f>
        <v>0</v>
      </c>
      <c r="EDH697" t="s">
        <v>5265</v>
      </c>
      <c r="EDI697">
        <v>1</v>
      </c>
    </row>
    <row r="698" spans="2:645 2346:2361 3491:3493" x14ac:dyDescent="0.3">
      <c r="B698" t="s">
        <v>4183</v>
      </c>
      <c r="XO698">
        <v>1</v>
      </c>
      <c r="CLO698">
        <v>1</v>
      </c>
      <c r="EDG698">
        <f>SUMPRODUCT(Constraint_692,Decision_variables)</f>
        <v>0</v>
      </c>
      <c r="EDH698" t="s">
        <v>5265</v>
      </c>
      <c r="EDI698">
        <v>1</v>
      </c>
    </row>
    <row r="699" spans="2:645 2346:2361 3491:3493" x14ac:dyDescent="0.3">
      <c r="B699" t="s">
        <v>4184</v>
      </c>
      <c r="XP699">
        <v>1</v>
      </c>
      <c r="CLP699">
        <v>1</v>
      </c>
      <c r="EDG699">
        <f>SUMPRODUCT(Constraint_693,Decision_variables)</f>
        <v>0</v>
      </c>
      <c r="EDH699" t="s">
        <v>5265</v>
      </c>
      <c r="EDI699">
        <v>1</v>
      </c>
    </row>
    <row r="700" spans="2:645 2346:2361 3491:3493" x14ac:dyDescent="0.3">
      <c r="B700" t="s">
        <v>4185</v>
      </c>
      <c r="XQ700">
        <v>1</v>
      </c>
      <c r="CLQ700">
        <v>1</v>
      </c>
      <c r="EDG700">
        <f>SUMPRODUCT(Constraint_694,Decision_variables)</f>
        <v>0</v>
      </c>
      <c r="EDH700" t="s">
        <v>5265</v>
      </c>
      <c r="EDI700">
        <v>1</v>
      </c>
    </row>
    <row r="701" spans="2:645 2346:2361 3491:3493" x14ac:dyDescent="0.3">
      <c r="B701" t="s">
        <v>4186</v>
      </c>
      <c r="XR701">
        <v>1</v>
      </c>
      <c r="CLR701">
        <v>1</v>
      </c>
      <c r="EDG701">
        <f>SUMPRODUCT(Constraint_695,Decision_variables)</f>
        <v>0</v>
      </c>
      <c r="EDH701" t="s">
        <v>5265</v>
      </c>
      <c r="EDI701">
        <v>1</v>
      </c>
    </row>
    <row r="702" spans="2:645 2346:2361 3491:3493" x14ac:dyDescent="0.3">
      <c r="B702" t="s">
        <v>4187</v>
      </c>
      <c r="XS702">
        <v>1</v>
      </c>
      <c r="CLS702">
        <v>1</v>
      </c>
      <c r="EDG702">
        <f>SUMPRODUCT(Constraint_696,Decision_variables)</f>
        <v>0</v>
      </c>
      <c r="EDH702" t="s">
        <v>5265</v>
      </c>
      <c r="EDI702">
        <v>1</v>
      </c>
    </row>
    <row r="703" spans="2:645 2346:2361 3491:3493" x14ac:dyDescent="0.3">
      <c r="B703" t="s">
        <v>4188</v>
      </c>
      <c r="XT703">
        <v>1</v>
      </c>
      <c r="CLT703">
        <v>1</v>
      </c>
      <c r="EDG703">
        <f>SUMPRODUCT(Constraint_697,Decision_variables)</f>
        <v>0</v>
      </c>
      <c r="EDH703" t="s">
        <v>5265</v>
      </c>
      <c r="EDI703">
        <v>1</v>
      </c>
    </row>
    <row r="704" spans="2:645 2346:2361 3491:3493" x14ac:dyDescent="0.3">
      <c r="B704" t="s">
        <v>4189</v>
      </c>
      <c r="XU704">
        <v>1</v>
      </c>
      <c r="CLU704">
        <v>1</v>
      </c>
      <c r="EDG704">
        <f>SUMPRODUCT(Constraint_698,Decision_variables)</f>
        <v>0</v>
      </c>
      <c r="EDH704" t="s">
        <v>5265</v>
      </c>
      <c r="EDI704">
        <v>1</v>
      </c>
    </row>
    <row r="705" spans="2:661 2362:2377 3491:3493" x14ac:dyDescent="0.3">
      <c r="B705" t="s">
        <v>4190</v>
      </c>
      <c r="XV705">
        <v>1</v>
      </c>
      <c r="CLV705">
        <v>1</v>
      </c>
      <c r="EDG705">
        <f>SUMPRODUCT(Constraint_699,Decision_variables)</f>
        <v>0</v>
      </c>
      <c r="EDH705" t="s">
        <v>5265</v>
      </c>
      <c r="EDI705">
        <v>1</v>
      </c>
    </row>
    <row r="706" spans="2:661 2362:2377 3491:3493" x14ac:dyDescent="0.3">
      <c r="B706" t="s">
        <v>4191</v>
      </c>
      <c r="XW706">
        <v>1</v>
      </c>
      <c r="CLW706">
        <v>1</v>
      </c>
      <c r="EDG706">
        <f>SUMPRODUCT(Constraint_700,Decision_variables)</f>
        <v>0</v>
      </c>
      <c r="EDH706" t="s">
        <v>5265</v>
      </c>
      <c r="EDI706">
        <v>1</v>
      </c>
    </row>
    <row r="707" spans="2:661 2362:2377 3491:3493" x14ac:dyDescent="0.3">
      <c r="B707" t="s">
        <v>4192</v>
      </c>
      <c r="XX707">
        <v>1</v>
      </c>
      <c r="CLX707">
        <v>1</v>
      </c>
      <c r="EDG707">
        <f>SUMPRODUCT(Constraint_701,Decision_variables)</f>
        <v>0</v>
      </c>
      <c r="EDH707" t="s">
        <v>5265</v>
      </c>
      <c r="EDI707">
        <v>1</v>
      </c>
    </row>
    <row r="708" spans="2:661 2362:2377 3491:3493" x14ac:dyDescent="0.3">
      <c r="B708" t="s">
        <v>4193</v>
      </c>
      <c r="XY708">
        <v>1</v>
      </c>
      <c r="CLY708">
        <v>1</v>
      </c>
      <c r="EDG708">
        <f>SUMPRODUCT(Constraint_702,Decision_variables)</f>
        <v>0</v>
      </c>
      <c r="EDH708" t="s">
        <v>5265</v>
      </c>
      <c r="EDI708">
        <v>1</v>
      </c>
    </row>
    <row r="709" spans="2:661 2362:2377 3491:3493" x14ac:dyDescent="0.3">
      <c r="B709" t="s">
        <v>4194</v>
      </c>
      <c r="XZ709">
        <v>1</v>
      </c>
      <c r="CLZ709">
        <v>1</v>
      </c>
      <c r="EDG709">
        <f>SUMPRODUCT(Constraint_703,Decision_variables)</f>
        <v>0</v>
      </c>
      <c r="EDH709" t="s">
        <v>5265</v>
      </c>
      <c r="EDI709">
        <v>1</v>
      </c>
    </row>
    <row r="710" spans="2:661 2362:2377 3491:3493" x14ac:dyDescent="0.3">
      <c r="B710" t="s">
        <v>4195</v>
      </c>
      <c r="YA710">
        <v>1</v>
      </c>
      <c r="CMA710">
        <v>1</v>
      </c>
      <c r="EDG710">
        <f>SUMPRODUCT(Constraint_704,Decision_variables)</f>
        <v>0</v>
      </c>
      <c r="EDH710" t="s">
        <v>5265</v>
      </c>
      <c r="EDI710">
        <v>1</v>
      </c>
    </row>
    <row r="711" spans="2:661 2362:2377 3491:3493" x14ac:dyDescent="0.3">
      <c r="B711" t="s">
        <v>4196</v>
      </c>
      <c r="YB711">
        <v>1</v>
      </c>
      <c r="CMB711">
        <v>1</v>
      </c>
      <c r="EDG711">
        <f>SUMPRODUCT(Constraint_705,Decision_variables)</f>
        <v>0</v>
      </c>
      <c r="EDH711" t="s">
        <v>5265</v>
      </c>
      <c r="EDI711">
        <v>1</v>
      </c>
    </row>
    <row r="712" spans="2:661 2362:2377 3491:3493" x14ac:dyDescent="0.3">
      <c r="B712" t="s">
        <v>4197</v>
      </c>
      <c r="YC712">
        <v>1</v>
      </c>
      <c r="CMC712">
        <v>1</v>
      </c>
      <c r="EDG712">
        <f>SUMPRODUCT(Constraint_706,Decision_variables)</f>
        <v>0</v>
      </c>
      <c r="EDH712" t="s">
        <v>5265</v>
      </c>
      <c r="EDI712">
        <v>1</v>
      </c>
    </row>
    <row r="713" spans="2:661 2362:2377 3491:3493" x14ac:dyDescent="0.3">
      <c r="B713" t="s">
        <v>4198</v>
      </c>
      <c r="YD713">
        <v>1</v>
      </c>
      <c r="CMD713">
        <v>1</v>
      </c>
      <c r="EDG713">
        <f>SUMPRODUCT(Constraint_707,Decision_variables)</f>
        <v>0</v>
      </c>
      <c r="EDH713" t="s">
        <v>5265</v>
      </c>
      <c r="EDI713">
        <v>1</v>
      </c>
    </row>
    <row r="714" spans="2:661 2362:2377 3491:3493" x14ac:dyDescent="0.3">
      <c r="B714" t="s">
        <v>4199</v>
      </c>
      <c r="YE714">
        <v>1</v>
      </c>
      <c r="CME714">
        <v>1</v>
      </c>
      <c r="EDG714">
        <f>SUMPRODUCT(Constraint_708,Decision_variables)</f>
        <v>0</v>
      </c>
      <c r="EDH714" t="s">
        <v>5265</v>
      </c>
      <c r="EDI714">
        <v>1</v>
      </c>
    </row>
    <row r="715" spans="2:661 2362:2377 3491:3493" x14ac:dyDescent="0.3">
      <c r="B715" t="s">
        <v>4200</v>
      </c>
      <c r="YF715">
        <v>1</v>
      </c>
      <c r="CMF715">
        <v>1</v>
      </c>
      <c r="EDG715">
        <f>SUMPRODUCT(Constraint_709,Decision_variables)</f>
        <v>0</v>
      </c>
      <c r="EDH715" t="s">
        <v>5265</v>
      </c>
      <c r="EDI715">
        <v>1</v>
      </c>
    </row>
    <row r="716" spans="2:661 2362:2377 3491:3493" x14ac:dyDescent="0.3">
      <c r="B716" t="s">
        <v>4201</v>
      </c>
      <c r="YG716">
        <v>1</v>
      </c>
      <c r="CMG716">
        <v>1</v>
      </c>
      <c r="EDG716">
        <f>SUMPRODUCT(Constraint_710,Decision_variables)</f>
        <v>0</v>
      </c>
      <c r="EDH716" t="s">
        <v>5265</v>
      </c>
      <c r="EDI716">
        <v>1</v>
      </c>
    </row>
    <row r="717" spans="2:661 2362:2377 3491:3493" x14ac:dyDescent="0.3">
      <c r="B717" t="s">
        <v>4202</v>
      </c>
      <c r="YH717">
        <v>1</v>
      </c>
      <c r="CMH717">
        <v>1</v>
      </c>
      <c r="EDG717">
        <f>SUMPRODUCT(Constraint_711,Decision_variables)</f>
        <v>0</v>
      </c>
      <c r="EDH717" t="s">
        <v>5265</v>
      </c>
      <c r="EDI717">
        <v>1</v>
      </c>
    </row>
    <row r="718" spans="2:661 2362:2377 3491:3493" x14ac:dyDescent="0.3">
      <c r="B718" t="s">
        <v>4203</v>
      </c>
      <c r="YI718">
        <v>1</v>
      </c>
      <c r="CMI718">
        <v>1</v>
      </c>
      <c r="EDG718">
        <f>SUMPRODUCT(Constraint_712,Decision_variables)</f>
        <v>0</v>
      </c>
      <c r="EDH718" t="s">
        <v>5265</v>
      </c>
      <c r="EDI718">
        <v>1</v>
      </c>
    </row>
    <row r="719" spans="2:661 2362:2377 3491:3493" x14ac:dyDescent="0.3">
      <c r="B719" t="s">
        <v>4204</v>
      </c>
      <c r="YJ719">
        <v>1</v>
      </c>
      <c r="CMJ719">
        <v>1</v>
      </c>
      <c r="EDG719">
        <f>SUMPRODUCT(Constraint_713,Decision_variables)</f>
        <v>0</v>
      </c>
      <c r="EDH719" t="s">
        <v>5265</v>
      </c>
      <c r="EDI719">
        <v>1</v>
      </c>
    </row>
    <row r="720" spans="2:661 2362:2377 3491:3493" x14ac:dyDescent="0.3">
      <c r="B720" t="s">
        <v>4205</v>
      </c>
      <c r="YK720">
        <v>1</v>
      </c>
      <c r="CMK720">
        <v>1</v>
      </c>
      <c r="EDG720">
        <f>SUMPRODUCT(Constraint_714,Decision_variables)</f>
        <v>0</v>
      </c>
      <c r="EDH720" t="s">
        <v>5265</v>
      </c>
      <c r="EDI720">
        <v>1</v>
      </c>
    </row>
    <row r="721" spans="2:677 2378:2393 3491:3493" x14ac:dyDescent="0.3">
      <c r="B721" t="s">
        <v>4206</v>
      </c>
      <c r="YL721">
        <v>1</v>
      </c>
      <c r="CML721">
        <v>1</v>
      </c>
      <c r="EDG721">
        <f>SUMPRODUCT(Constraint_715,Decision_variables)</f>
        <v>0</v>
      </c>
      <c r="EDH721" t="s">
        <v>5265</v>
      </c>
      <c r="EDI721">
        <v>1</v>
      </c>
    </row>
    <row r="722" spans="2:677 2378:2393 3491:3493" x14ac:dyDescent="0.3">
      <c r="B722" t="s">
        <v>4207</v>
      </c>
      <c r="YM722">
        <v>1</v>
      </c>
      <c r="CMM722">
        <v>1</v>
      </c>
      <c r="EDG722">
        <f>SUMPRODUCT(Constraint_716,Decision_variables)</f>
        <v>0</v>
      </c>
      <c r="EDH722" t="s">
        <v>5265</v>
      </c>
      <c r="EDI722">
        <v>1</v>
      </c>
    </row>
    <row r="723" spans="2:677 2378:2393 3491:3493" x14ac:dyDescent="0.3">
      <c r="B723" t="s">
        <v>4208</v>
      </c>
      <c r="YN723">
        <v>1</v>
      </c>
      <c r="CMN723">
        <v>1</v>
      </c>
      <c r="EDG723">
        <f>SUMPRODUCT(Constraint_717,Decision_variables)</f>
        <v>0</v>
      </c>
      <c r="EDH723" t="s">
        <v>5265</v>
      </c>
      <c r="EDI723">
        <v>1</v>
      </c>
    </row>
    <row r="724" spans="2:677 2378:2393 3491:3493" x14ac:dyDescent="0.3">
      <c r="B724" t="s">
        <v>4209</v>
      </c>
      <c r="YO724">
        <v>1</v>
      </c>
      <c r="CMO724">
        <v>1</v>
      </c>
      <c r="EDG724">
        <f>SUMPRODUCT(Constraint_718,Decision_variables)</f>
        <v>0</v>
      </c>
      <c r="EDH724" t="s">
        <v>5265</v>
      </c>
      <c r="EDI724">
        <v>1</v>
      </c>
    </row>
    <row r="725" spans="2:677 2378:2393 3491:3493" x14ac:dyDescent="0.3">
      <c r="B725" t="s">
        <v>4210</v>
      </c>
      <c r="YP725">
        <v>1</v>
      </c>
      <c r="CMP725">
        <v>1</v>
      </c>
      <c r="EDG725">
        <f>SUMPRODUCT(Constraint_719,Decision_variables)</f>
        <v>0</v>
      </c>
      <c r="EDH725" t="s">
        <v>5265</v>
      </c>
      <c r="EDI725">
        <v>1</v>
      </c>
    </row>
    <row r="726" spans="2:677 2378:2393 3491:3493" x14ac:dyDescent="0.3">
      <c r="B726" t="s">
        <v>4211</v>
      </c>
      <c r="YQ726">
        <v>1</v>
      </c>
      <c r="CMQ726">
        <v>1</v>
      </c>
      <c r="EDG726">
        <f>SUMPRODUCT(Constraint_720,Decision_variables)</f>
        <v>0</v>
      </c>
      <c r="EDH726" t="s">
        <v>5265</v>
      </c>
      <c r="EDI726">
        <v>1</v>
      </c>
    </row>
    <row r="727" spans="2:677 2378:2393 3491:3493" x14ac:dyDescent="0.3">
      <c r="B727" t="s">
        <v>4212</v>
      </c>
      <c r="YR727">
        <v>1</v>
      </c>
      <c r="CMR727">
        <v>1</v>
      </c>
      <c r="EDG727">
        <f>SUMPRODUCT(Constraint_721,Decision_variables)</f>
        <v>0</v>
      </c>
      <c r="EDH727" t="s">
        <v>5265</v>
      </c>
      <c r="EDI727">
        <v>1</v>
      </c>
    </row>
    <row r="728" spans="2:677 2378:2393 3491:3493" x14ac:dyDescent="0.3">
      <c r="B728" t="s">
        <v>4213</v>
      </c>
      <c r="YS728">
        <v>1</v>
      </c>
      <c r="CMS728">
        <v>1</v>
      </c>
      <c r="EDG728">
        <f>SUMPRODUCT(Constraint_722,Decision_variables)</f>
        <v>0</v>
      </c>
      <c r="EDH728" t="s">
        <v>5265</v>
      </c>
      <c r="EDI728">
        <v>1</v>
      </c>
    </row>
    <row r="729" spans="2:677 2378:2393 3491:3493" x14ac:dyDescent="0.3">
      <c r="B729" t="s">
        <v>4214</v>
      </c>
      <c r="YT729">
        <v>1</v>
      </c>
      <c r="CMT729">
        <v>1</v>
      </c>
      <c r="EDG729">
        <f>SUMPRODUCT(Constraint_723,Decision_variables)</f>
        <v>0</v>
      </c>
      <c r="EDH729" t="s">
        <v>5265</v>
      </c>
      <c r="EDI729">
        <v>1</v>
      </c>
    </row>
    <row r="730" spans="2:677 2378:2393 3491:3493" x14ac:dyDescent="0.3">
      <c r="B730" t="s">
        <v>4215</v>
      </c>
      <c r="YU730">
        <v>1</v>
      </c>
      <c r="CMU730">
        <v>1</v>
      </c>
      <c r="EDG730">
        <f>SUMPRODUCT(Constraint_724,Decision_variables)</f>
        <v>0</v>
      </c>
      <c r="EDH730" t="s">
        <v>5265</v>
      </c>
      <c r="EDI730">
        <v>1</v>
      </c>
    </row>
    <row r="731" spans="2:677 2378:2393 3491:3493" x14ac:dyDescent="0.3">
      <c r="B731" t="s">
        <v>4216</v>
      </c>
      <c r="YV731">
        <v>1</v>
      </c>
      <c r="CMV731">
        <v>1</v>
      </c>
      <c r="EDG731">
        <f>SUMPRODUCT(Constraint_725,Decision_variables)</f>
        <v>0</v>
      </c>
      <c r="EDH731" t="s">
        <v>5265</v>
      </c>
      <c r="EDI731">
        <v>1</v>
      </c>
    </row>
    <row r="732" spans="2:677 2378:2393 3491:3493" x14ac:dyDescent="0.3">
      <c r="B732" t="s">
        <v>4217</v>
      </c>
      <c r="YW732">
        <v>1</v>
      </c>
      <c r="CMW732">
        <v>1</v>
      </c>
      <c r="EDG732">
        <f>SUMPRODUCT(Constraint_726,Decision_variables)</f>
        <v>0</v>
      </c>
      <c r="EDH732" t="s">
        <v>5265</v>
      </c>
      <c r="EDI732">
        <v>1</v>
      </c>
    </row>
    <row r="733" spans="2:677 2378:2393 3491:3493" x14ac:dyDescent="0.3">
      <c r="B733" t="s">
        <v>4218</v>
      </c>
      <c r="YX733">
        <v>1</v>
      </c>
      <c r="CMX733">
        <v>1</v>
      </c>
      <c r="EDG733">
        <f>SUMPRODUCT(Constraint_727,Decision_variables)</f>
        <v>0</v>
      </c>
      <c r="EDH733" t="s">
        <v>5265</v>
      </c>
      <c r="EDI733">
        <v>1</v>
      </c>
    </row>
    <row r="734" spans="2:677 2378:2393 3491:3493" x14ac:dyDescent="0.3">
      <c r="B734" t="s">
        <v>4219</v>
      </c>
      <c r="YY734">
        <v>1</v>
      </c>
      <c r="CMY734">
        <v>1</v>
      </c>
      <c r="EDG734">
        <f>SUMPRODUCT(Constraint_728,Decision_variables)</f>
        <v>0</v>
      </c>
      <c r="EDH734" t="s">
        <v>5265</v>
      </c>
      <c r="EDI734">
        <v>1</v>
      </c>
    </row>
    <row r="735" spans="2:677 2378:2393 3491:3493" x14ac:dyDescent="0.3">
      <c r="B735" t="s">
        <v>4220</v>
      </c>
      <c r="YZ735">
        <v>1</v>
      </c>
      <c r="CMZ735">
        <v>1</v>
      </c>
      <c r="EDG735">
        <f>SUMPRODUCT(Constraint_729,Decision_variables)</f>
        <v>0</v>
      </c>
      <c r="EDH735" t="s">
        <v>5265</v>
      </c>
      <c r="EDI735">
        <v>1</v>
      </c>
    </row>
    <row r="736" spans="2:677 2378:2393 3491:3493" x14ac:dyDescent="0.3">
      <c r="B736" t="s">
        <v>4221</v>
      </c>
      <c r="ZA736">
        <v>1</v>
      </c>
      <c r="CNA736">
        <v>1</v>
      </c>
      <c r="EDG736">
        <f>SUMPRODUCT(Constraint_730,Decision_variables)</f>
        <v>0</v>
      </c>
      <c r="EDH736" t="s">
        <v>5265</v>
      </c>
      <c r="EDI736">
        <v>1</v>
      </c>
    </row>
    <row r="737" spans="2:693 2394:2409 3491:3493" x14ac:dyDescent="0.3">
      <c r="B737" t="s">
        <v>4222</v>
      </c>
      <c r="ZB737">
        <v>1</v>
      </c>
      <c r="CNB737">
        <v>1</v>
      </c>
      <c r="EDG737">
        <f>SUMPRODUCT(Constraint_731,Decision_variables)</f>
        <v>0</v>
      </c>
      <c r="EDH737" t="s">
        <v>5265</v>
      </c>
      <c r="EDI737">
        <v>1</v>
      </c>
    </row>
    <row r="738" spans="2:693 2394:2409 3491:3493" x14ac:dyDescent="0.3">
      <c r="B738" t="s">
        <v>4223</v>
      </c>
      <c r="ZC738">
        <v>1</v>
      </c>
      <c r="CNC738">
        <v>1</v>
      </c>
      <c r="EDG738">
        <f>SUMPRODUCT(Constraint_732,Decision_variables)</f>
        <v>0</v>
      </c>
      <c r="EDH738" t="s">
        <v>5265</v>
      </c>
      <c r="EDI738">
        <v>1</v>
      </c>
    </row>
    <row r="739" spans="2:693 2394:2409 3491:3493" x14ac:dyDescent="0.3">
      <c r="B739" t="s">
        <v>4224</v>
      </c>
      <c r="ZD739">
        <v>1</v>
      </c>
      <c r="CND739">
        <v>1</v>
      </c>
      <c r="EDG739">
        <f>SUMPRODUCT(Constraint_733,Decision_variables)</f>
        <v>0</v>
      </c>
      <c r="EDH739" t="s">
        <v>5265</v>
      </c>
      <c r="EDI739">
        <v>1</v>
      </c>
    </row>
    <row r="740" spans="2:693 2394:2409 3491:3493" x14ac:dyDescent="0.3">
      <c r="B740" t="s">
        <v>4225</v>
      </c>
      <c r="ZE740">
        <v>1</v>
      </c>
      <c r="CNE740">
        <v>1</v>
      </c>
      <c r="EDG740">
        <f>SUMPRODUCT(Constraint_734,Decision_variables)</f>
        <v>0</v>
      </c>
      <c r="EDH740" t="s">
        <v>5265</v>
      </c>
      <c r="EDI740">
        <v>1</v>
      </c>
    </row>
    <row r="741" spans="2:693 2394:2409 3491:3493" x14ac:dyDescent="0.3">
      <c r="B741" t="s">
        <v>4226</v>
      </c>
      <c r="ZF741">
        <v>1</v>
      </c>
      <c r="CNF741">
        <v>1</v>
      </c>
      <c r="EDG741">
        <f>SUMPRODUCT(Constraint_735,Decision_variables)</f>
        <v>0</v>
      </c>
      <c r="EDH741" t="s">
        <v>5265</v>
      </c>
      <c r="EDI741">
        <v>1</v>
      </c>
    </row>
    <row r="742" spans="2:693 2394:2409 3491:3493" x14ac:dyDescent="0.3">
      <c r="B742" t="s">
        <v>4227</v>
      </c>
      <c r="ZG742">
        <v>1</v>
      </c>
      <c r="CNG742">
        <v>1</v>
      </c>
      <c r="EDG742">
        <f>SUMPRODUCT(Constraint_736,Decision_variables)</f>
        <v>0</v>
      </c>
      <c r="EDH742" t="s">
        <v>5265</v>
      </c>
      <c r="EDI742">
        <v>1</v>
      </c>
    </row>
    <row r="743" spans="2:693 2394:2409 3491:3493" x14ac:dyDescent="0.3">
      <c r="B743" t="s">
        <v>4228</v>
      </c>
      <c r="ZH743">
        <v>1</v>
      </c>
      <c r="CNH743">
        <v>1</v>
      </c>
      <c r="EDG743">
        <f>SUMPRODUCT(Constraint_737,Decision_variables)</f>
        <v>0</v>
      </c>
      <c r="EDH743" t="s">
        <v>5265</v>
      </c>
      <c r="EDI743">
        <v>1</v>
      </c>
    </row>
    <row r="744" spans="2:693 2394:2409 3491:3493" x14ac:dyDescent="0.3">
      <c r="B744" t="s">
        <v>4229</v>
      </c>
      <c r="ZI744">
        <v>1</v>
      </c>
      <c r="CNI744">
        <v>1</v>
      </c>
      <c r="EDG744">
        <f>SUMPRODUCT(Constraint_738,Decision_variables)</f>
        <v>0</v>
      </c>
      <c r="EDH744" t="s">
        <v>5265</v>
      </c>
      <c r="EDI744">
        <v>1</v>
      </c>
    </row>
    <row r="745" spans="2:693 2394:2409 3491:3493" x14ac:dyDescent="0.3">
      <c r="B745" t="s">
        <v>4230</v>
      </c>
      <c r="ZJ745">
        <v>1</v>
      </c>
      <c r="CNJ745">
        <v>1</v>
      </c>
      <c r="EDG745">
        <f>SUMPRODUCT(Constraint_739,Decision_variables)</f>
        <v>0</v>
      </c>
      <c r="EDH745" t="s">
        <v>5265</v>
      </c>
      <c r="EDI745">
        <v>1</v>
      </c>
    </row>
    <row r="746" spans="2:693 2394:2409 3491:3493" x14ac:dyDescent="0.3">
      <c r="B746" t="s">
        <v>4231</v>
      </c>
      <c r="ZK746">
        <v>1</v>
      </c>
      <c r="CNK746">
        <v>1</v>
      </c>
      <c r="EDG746">
        <f>SUMPRODUCT(Constraint_740,Decision_variables)</f>
        <v>0</v>
      </c>
      <c r="EDH746" t="s">
        <v>5265</v>
      </c>
      <c r="EDI746">
        <v>1</v>
      </c>
    </row>
    <row r="747" spans="2:693 2394:2409 3491:3493" x14ac:dyDescent="0.3">
      <c r="B747" t="s">
        <v>4232</v>
      </c>
      <c r="ZL747">
        <v>1</v>
      </c>
      <c r="CNL747">
        <v>1</v>
      </c>
      <c r="EDG747">
        <f>SUMPRODUCT(Constraint_741,Decision_variables)</f>
        <v>0</v>
      </c>
      <c r="EDH747" t="s">
        <v>5265</v>
      </c>
      <c r="EDI747">
        <v>1</v>
      </c>
    </row>
    <row r="748" spans="2:693 2394:2409 3491:3493" x14ac:dyDescent="0.3">
      <c r="B748" t="s">
        <v>4233</v>
      </c>
      <c r="ZM748">
        <v>1</v>
      </c>
      <c r="CNM748">
        <v>1</v>
      </c>
      <c r="EDG748">
        <f>SUMPRODUCT(Constraint_742,Decision_variables)</f>
        <v>0</v>
      </c>
      <c r="EDH748" t="s">
        <v>5265</v>
      </c>
      <c r="EDI748">
        <v>1</v>
      </c>
    </row>
    <row r="749" spans="2:693 2394:2409 3491:3493" x14ac:dyDescent="0.3">
      <c r="B749" t="s">
        <v>4234</v>
      </c>
      <c r="ZN749">
        <v>1</v>
      </c>
      <c r="CNN749">
        <v>1</v>
      </c>
      <c r="EDG749">
        <f>SUMPRODUCT(Constraint_743,Decision_variables)</f>
        <v>0</v>
      </c>
      <c r="EDH749" t="s">
        <v>5265</v>
      </c>
      <c r="EDI749">
        <v>1</v>
      </c>
    </row>
    <row r="750" spans="2:693 2394:2409 3491:3493" x14ac:dyDescent="0.3">
      <c r="B750" t="s">
        <v>4235</v>
      </c>
      <c r="ZO750">
        <v>1</v>
      </c>
      <c r="CNO750">
        <v>1</v>
      </c>
      <c r="EDG750">
        <f>SUMPRODUCT(Constraint_744,Decision_variables)</f>
        <v>0</v>
      </c>
      <c r="EDH750" t="s">
        <v>5265</v>
      </c>
      <c r="EDI750">
        <v>1</v>
      </c>
    </row>
    <row r="751" spans="2:693 2394:2409 3491:3493" x14ac:dyDescent="0.3">
      <c r="B751" t="s">
        <v>4236</v>
      </c>
      <c r="ZP751">
        <v>1</v>
      </c>
      <c r="CNP751">
        <v>1</v>
      </c>
      <c r="EDG751">
        <f>SUMPRODUCT(Constraint_745,Decision_variables)</f>
        <v>0</v>
      </c>
      <c r="EDH751" t="s">
        <v>5265</v>
      </c>
      <c r="EDI751">
        <v>1</v>
      </c>
    </row>
    <row r="752" spans="2:693 2394:2409 3491:3493" x14ac:dyDescent="0.3">
      <c r="B752" t="s">
        <v>4237</v>
      </c>
      <c r="ZQ752">
        <v>1</v>
      </c>
      <c r="CNQ752">
        <v>1</v>
      </c>
      <c r="EDG752">
        <f>SUMPRODUCT(Constraint_746,Decision_variables)</f>
        <v>0</v>
      </c>
      <c r="EDH752" t="s">
        <v>5265</v>
      </c>
      <c r="EDI752">
        <v>1</v>
      </c>
    </row>
    <row r="753" spans="2:709 2410:2425 3491:3493" x14ac:dyDescent="0.3">
      <c r="B753" t="s">
        <v>4238</v>
      </c>
      <c r="ZR753">
        <v>1</v>
      </c>
      <c r="CNR753">
        <v>1</v>
      </c>
      <c r="EDG753">
        <f>SUMPRODUCT(Constraint_747,Decision_variables)</f>
        <v>0</v>
      </c>
      <c r="EDH753" t="s">
        <v>5265</v>
      </c>
      <c r="EDI753">
        <v>1</v>
      </c>
    </row>
    <row r="754" spans="2:709 2410:2425 3491:3493" x14ac:dyDescent="0.3">
      <c r="B754" t="s">
        <v>4239</v>
      </c>
      <c r="ZS754">
        <v>1</v>
      </c>
      <c r="CNS754">
        <v>1</v>
      </c>
      <c r="EDG754">
        <f>SUMPRODUCT(Constraint_748,Decision_variables)</f>
        <v>0</v>
      </c>
      <c r="EDH754" t="s">
        <v>5265</v>
      </c>
      <c r="EDI754">
        <v>1</v>
      </c>
    </row>
    <row r="755" spans="2:709 2410:2425 3491:3493" x14ac:dyDescent="0.3">
      <c r="B755" t="s">
        <v>4240</v>
      </c>
      <c r="ZT755">
        <v>1</v>
      </c>
      <c r="CNT755">
        <v>1</v>
      </c>
      <c r="EDG755">
        <f>SUMPRODUCT(Constraint_749,Decision_variables)</f>
        <v>0</v>
      </c>
      <c r="EDH755" t="s">
        <v>5265</v>
      </c>
      <c r="EDI755">
        <v>1</v>
      </c>
    </row>
    <row r="756" spans="2:709 2410:2425 3491:3493" x14ac:dyDescent="0.3">
      <c r="B756" t="s">
        <v>4241</v>
      </c>
      <c r="ZU756">
        <v>1</v>
      </c>
      <c r="CNU756">
        <v>1</v>
      </c>
      <c r="EDG756">
        <f>SUMPRODUCT(Constraint_750,Decision_variables)</f>
        <v>0</v>
      </c>
      <c r="EDH756" t="s">
        <v>5265</v>
      </c>
      <c r="EDI756">
        <v>1</v>
      </c>
    </row>
    <row r="757" spans="2:709 2410:2425 3491:3493" x14ac:dyDescent="0.3">
      <c r="B757" t="s">
        <v>4242</v>
      </c>
      <c r="ZV757">
        <v>1</v>
      </c>
      <c r="CNV757">
        <v>1</v>
      </c>
      <c r="EDG757">
        <f>SUMPRODUCT(Constraint_751,Decision_variables)</f>
        <v>0</v>
      </c>
      <c r="EDH757" t="s">
        <v>5265</v>
      </c>
      <c r="EDI757">
        <v>1</v>
      </c>
    </row>
    <row r="758" spans="2:709 2410:2425 3491:3493" x14ac:dyDescent="0.3">
      <c r="B758" t="s">
        <v>4243</v>
      </c>
      <c r="ZW758">
        <v>1</v>
      </c>
      <c r="CNW758">
        <v>1</v>
      </c>
      <c r="EDG758">
        <f>SUMPRODUCT(Constraint_752,Decision_variables)</f>
        <v>0</v>
      </c>
      <c r="EDH758" t="s">
        <v>5265</v>
      </c>
      <c r="EDI758">
        <v>1</v>
      </c>
    </row>
    <row r="759" spans="2:709 2410:2425 3491:3493" x14ac:dyDescent="0.3">
      <c r="B759" t="s">
        <v>4244</v>
      </c>
      <c r="ZX759">
        <v>1</v>
      </c>
      <c r="CNX759">
        <v>1</v>
      </c>
      <c r="EDG759">
        <f>SUMPRODUCT(Constraint_753,Decision_variables)</f>
        <v>0</v>
      </c>
      <c r="EDH759" t="s">
        <v>5265</v>
      </c>
      <c r="EDI759">
        <v>1</v>
      </c>
    </row>
    <row r="760" spans="2:709 2410:2425 3491:3493" x14ac:dyDescent="0.3">
      <c r="B760" t="s">
        <v>4245</v>
      </c>
      <c r="ZY760">
        <v>1</v>
      </c>
      <c r="CNY760">
        <v>1</v>
      </c>
      <c r="EDG760">
        <f>SUMPRODUCT(Constraint_754,Decision_variables)</f>
        <v>0</v>
      </c>
      <c r="EDH760" t="s">
        <v>5265</v>
      </c>
      <c r="EDI760">
        <v>1</v>
      </c>
    </row>
    <row r="761" spans="2:709 2410:2425 3491:3493" x14ac:dyDescent="0.3">
      <c r="B761" t="s">
        <v>4246</v>
      </c>
      <c r="ZZ761">
        <v>1</v>
      </c>
      <c r="CNZ761">
        <v>1</v>
      </c>
      <c r="EDG761">
        <f>SUMPRODUCT(Constraint_755,Decision_variables)</f>
        <v>0</v>
      </c>
      <c r="EDH761" t="s">
        <v>5265</v>
      </c>
      <c r="EDI761">
        <v>1</v>
      </c>
    </row>
    <row r="762" spans="2:709 2410:2425 3491:3493" x14ac:dyDescent="0.3">
      <c r="B762" t="s">
        <v>4247</v>
      </c>
      <c r="AAA762">
        <v>1</v>
      </c>
      <c r="COA762">
        <v>1</v>
      </c>
      <c r="EDG762">
        <f>SUMPRODUCT(Constraint_756,Decision_variables)</f>
        <v>0</v>
      </c>
      <c r="EDH762" t="s">
        <v>5265</v>
      </c>
      <c r="EDI762">
        <v>1</v>
      </c>
    </row>
    <row r="763" spans="2:709 2410:2425 3491:3493" x14ac:dyDescent="0.3">
      <c r="B763" t="s">
        <v>4248</v>
      </c>
      <c r="AAB763">
        <v>1</v>
      </c>
      <c r="COB763">
        <v>1</v>
      </c>
      <c r="EDG763">
        <f>SUMPRODUCT(Constraint_757,Decision_variables)</f>
        <v>0</v>
      </c>
      <c r="EDH763" t="s">
        <v>5265</v>
      </c>
      <c r="EDI763">
        <v>1</v>
      </c>
    </row>
    <row r="764" spans="2:709 2410:2425 3491:3493" x14ac:dyDescent="0.3">
      <c r="B764" t="s">
        <v>4249</v>
      </c>
      <c r="AAC764">
        <v>1</v>
      </c>
      <c r="COC764">
        <v>1</v>
      </c>
      <c r="EDG764">
        <f>SUMPRODUCT(Constraint_758,Decision_variables)</f>
        <v>0</v>
      </c>
      <c r="EDH764" t="s">
        <v>5265</v>
      </c>
      <c r="EDI764">
        <v>1</v>
      </c>
    </row>
    <row r="765" spans="2:709 2410:2425 3491:3493" x14ac:dyDescent="0.3">
      <c r="B765" t="s">
        <v>4250</v>
      </c>
      <c r="AAD765">
        <v>1</v>
      </c>
      <c r="COD765">
        <v>1</v>
      </c>
      <c r="EDG765">
        <f>SUMPRODUCT(Constraint_759,Decision_variables)</f>
        <v>0</v>
      </c>
      <c r="EDH765" t="s">
        <v>5265</v>
      </c>
      <c r="EDI765">
        <v>1</v>
      </c>
    </row>
    <row r="766" spans="2:709 2410:2425 3491:3493" x14ac:dyDescent="0.3">
      <c r="B766" t="s">
        <v>4251</v>
      </c>
      <c r="AAE766">
        <v>1</v>
      </c>
      <c r="COE766">
        <v>1</v>
      </c>
      <c r="EDG766">
        <f>SUMPRODUCT(Constraint_760,Decision_variables)</f>
        <v>0</v>
      </c>
      <c r="EDH766" t="s">
        <v>5265</v>
      </c>
      <c r="EDI766">
        <v>1</v>
      </c>
    </row>
    <row r="767" spans="2:709 2410:2425 3491:3493" x14ac:dyDescent="0.3">
      <c r="B767" t="s">
        <v>4252</v>
      </c>
      <c r="AAF767">
        <v>1</v>
      </c>
      <c r="COF767">
        <v>1</v>
      </c>
      <c r="EDG767">
        <f>SUMPRODUCT(Constraint_761,Decision_variables)</f>
        <v>0</v>
      </c>
      <c r="EDH767" t="s">
        <v>5265</v>
      </c>
      <c r="EDI767">
        <v>1</v>
      </c>
    </row>
    <row r="768" spans="2:709 2410:2425 3491:3493" x14ac:dyDescent="0.3">
      <c r="B768" t="s">
        <v>4253</v>
      </c>
      <c r="AAG768">
        <v>1</v>
      </c>
      <c r="COG768">
        <v>1</v>
      </c>
      <c r="EDG768">
        <f>SUMPRODUCT(Constraint_762,Decision_variables)</f>
        <v>0</v>
      </c>
      <c r="EDH768" t="s">
        <v>5265</v>
      </c>
      <c r="EDI768">
        <v>1</v>
      </c>
    </row>
    <row r="769" spans="2:725 2426:2441 3491:3493" x14ac:dyDescent="0.3">
      <c r="B769" t="s">
        <v>4254</v>
      </c>
      <c r="AAH769">
        <v>1</v>
      </c>
      <c r="COH769">
        <v>1</v>
      </c>
      <c r="EDG769">
        <f>SUMPRODUCT(Constraint_763,Decision_variables)</f>
        <v>0</v>
      </c>
      <c r="EDH769" t="s">
        <v>5265</v>
      </c>
      <c r="EDI769">
        <v>1</v>
      </c>
    </row>
    <row r="770" spans="2:725 2426:2441 3491:3493" x14ac:dyDescent="0.3">
      <c r="B770" t="s">
        <v>4255</v>
      </c>
      <c r="AAI770">
        <v>1</v>
      </c>
      <c r="COI770">
        <v>1</v>
      </c>
      <c r="EDG770">
        <f>SUMPRODUCT(Constraint_764,Decision_variables)</f>
        <v>0</v>
      </c>
      <c r="EDH770" t="s">
        <v>5265</v>
      </c>
      <c r="EDI770">
        <v>1</v>
      </c>
    </row>
    <row r="771" spans="2:725 2426:2441 3491:3493" x14ac:dyDescent="0.3">
      <c r="B771" t="s">
        <v>4256</v>
      </c>
      <c r="AAJ771">
        <v>1</v>
      </c>
      <c r="COJ771">
        <v>1</v>
      </c>
      <c r="EDG771">
        <f>SUMPRODUCT(Constraint_765,Decision_variables)</f>
        <v>0</v>
      </c>
      <c r="EDH771" t="s">
        <v>5265</v>
      </c>
      <c r="EDI771">
        <v>1</v>
      </c>
    </row>
    <row r="772" spans="2:725 2426:2441 3491:3493" x14ac:dyDescent="0.3">
      <c r="B772" t="s">
        <v>4257</v>
      </c>
      <c r="AAK772">
        <v>1</v>
      </c>
      <c r="COK772">
        <v>1</v>
      </c>
      <c r="EDG772">
        <f>SUMPRODUCT(Constraint_766,Decision_variables)</f>
        <v>0</v>
      </c>
      <c r="EDH772" t="s">
        <v>5265</v>
      </c>
      <c r="EDI772">
        <v>1</v>
      </c>
    </row>
    <row r="773" spans="2:725 2426:2441 3491:3493" x14ac:dyDescent="0.3">
      <c r="B773" t="s">
        <v>4258</v>
      </c>
      <c r="AAL773">
        <v>1</v>
      </c>
      <c r="COL773">
        <v>1</v>
      </c>
      <c r="EDG773">
        <f>SUMPRODUCT(Constraint_767,Decision_variables)</f>
        <v>0</v>
      </c>
      <c r="EDH773" t="s">
        <v>5265</v>
      </c>
      <c r="EDI773">
        <v>1</v>
      </c>
    </row>
    <row r="774" spans="2:725 2426:2441 3491:3493" x14ac:dyDescent="0.3">
      <c r="B774" t="s">
        <v>4259</v>
      </c>
      <c r="AAM774">
        <v>1</v>
      </c>
      <c r="COM774">
        <v>1</v>
      </c>
      <c r="EDG774">
        <f>SUMPRODUCT(Constraint_768,Decision_variables)</f>
        <v>0</v>
      </c>
      <c r="EDH774" t="s">
        <v>5265</v>
      </c>
      <c r="EDI774">
        <v>1</v>
      </c>
    </row>
    <row r="775" spans="2:725 2426:2441 3491:3493" x14ac:dyDescent="0.3">
      <c r="B775" t="s">
        <v>4260</v>
      </c>
      <c r="AAN775">
        <v>1</v>
      </c>
      <c r="CON775">
        <v>1</v>
      </c>
      <c r="EDG775">
        <f>SUMPRODUCT(Constraint_769,Decision_variables)</f>
        <v>0</v>
      </c>
      <c r="EDH775" t="s">
        <v>5265</v>
      </c>
      <c r="EDI775">
        <v>1</v>
      </c>
    </row>
    <row r="776" spans="2:725 2426:2441 3491:3493" x14ac:dyDescent="0.3">
      <c r="B776" t="s">
        <v>4261</v>
      </c>
      <c r="AAO776">
        <v>1</v>
      </c>
      <c r="COO776">
        <v>1</v>
      </c>
      <c r="EDG776">
        <f>SUMPRODUCT(Constraint_770,Decision_variables)</f>
        <v>0</v>
      </c>
      <c r="EDH776" t="s">
        <v>5265</v>
      </c>
      <c r="EDI776">
        <v>1</v>
      </c>
    </row>
    <row r="777" spans="2:725 2426:2441 3491:3493" x14ac:dyDescent="0.3">
      <c r="B777" t="s">
        <v>4262</v>
      </c>
      <c r="AAP777">
        <v>1</v>
      </c>
      <c r="COP777">
        <v>1</v>
      </c>
      <c r="EDG777">
        <f>SUMPRODUCT(Constraint_771,Decision_variables)</f>
        <v>0</v>
      </c>
      <c r="EDH777" t="s">
        <v>5265</v>
      </c>
      <c r="EDI777">
        <v>1</v>
      </c>
    </row>
    <row r="778" spans="2:725 2426:2441 3491:3493" x14ac:dyDescent="0.3">
      <c r="B778" t="s">
        <v>4263</v>
      </c>
      <c r="AAQ778">
        <v>1</v>
      </c>
      <c r="COQ778">
        <v>1</v>
      </c>
      <c r="EDG778">
        <f>SUMPRODUCT(Constraint_772,Decision_variables)</f>
        <v>0</v>
      </c>
      <c r="EDH778" t="s">
        <v>5265</v>
      </c>
      <c r="EDI778">
        <v>1</v>
      </c>
    </row>
    <row r="779" spans="2:725 2426:2441 3491:3493" x14ac:dyDescent="0.3">
      <c r="B779" t="s">
        <v>4264</v>
      </c>
      <c r="AAR779">
        <v>1</v>
      </c>
      <c r="COR779">
        <v>1</v>
      </c>
      <c r="EDG779">
        <f>SUMPRODUCT(Constraint_773,Decision_variables)</f>
        <v>0</v>
      </c>
      <c r="EDH779" t="s">
        <v>5265</v>
      </c>
      <c r="EDI779">
        <v>1</v>
      </c>
    </row>
    <row r="780" spans="2:725 2426:2441 3491:3493" x14ac:dyDescent="0.3">
      <c r="B780" t="s">
        <v>4265</v>
      </c>
      <c r="AAS780">
        <v>1</v>
      </c>
      <c r="COS780">
        <v>1</v>
      </c>
      <c r="EDG780">
        <f>SUMPRODUCT(Constraint_774,Decision_variables)</f>
        <v>0</v>
      </c>
      <c r="EDH780" t="s">
        <v>5265</v>
      </c>
      <c r="EDI780">
        <v>1</v>
      </c>
    </row>
    <row r="781" spans="2:725 2426:2441 3491:3493" x14ac:dyDescent="0.3">
      <c r="B781" t="s">
        <v>4266</v>
      </c>
      <c r="AAT781">
        <v>1</v>
      </c>
      <c r="COT781">
        <v>1</v>
      </c>
      <c r="EDG781">
        <f>SUMPRODUCT(Constraint_775,Decision_variables)</f>
        <v>0</v>
      </c>
      <c r="EDH781" t="s">
        <v>5265</v>
      </c>
      <c r="EDI781">
        <v>1</v>
      </c>
    </row>
    <row r="782" spans="2:725 2426:2441 3491:3493" x14ac:dyDescent="0.3">
      <c r="B782" t="s">
        <v>4267</v>
      </c>
      <c r="AAU782">
        <v>1</v>
      </c>
      <c r="COU782">
        <v>1</v>
      </c>
      <c r="EDG782">
        <f>SUMPRODUCT(Constraint_776,Decision_variables)</f>
        <v>0</v>
      </c>
      <c r="EDH782" t="s">
        <v>5265</v>
      </c>
      <c r="EDI782">
        <v>1</v>
      </c>
    </row>
    <row r="783" spans="2:725 2426:2441 3491:3493" x14ac:dyDescent="0.3">
      <c r="B783" t="s">
        <v>4268</v>
      </c>
      <c r="AAV783">
        <v>1</v>
      </c>
      <c r="COV783">
        <v>1</v>
      </c>
      <c r="EDG783">
        <f>SUMPRODUCT(Constraint_777,Decision_variables)</f>
        <v>0</v>
      </c>
      <c r="EDH783" t="s">
        <v>5265</v>
      </c>
      <c r="EDI783">
        <v>1</v>
      </c>
    </row>
    <row r="784" spans="2:725 2426:2441 3491:3493" x14ac:dyDescent="0.3">
      <c r="B784" t="s">
        <v>4269</v>
      </c>
      <c r="AAW784">
        <v>1</v>
      </c>
      <c r="COW784">
        <v>1</v>
      </c>
      <c r="EDG784">
        <f>SUMPRODUCT(Constraint_778,Decision_variables)</f>
        <v>0</v>
      </c>
      <c r="EDH784" t="s">
        <v>5265</v>
      </c>
      <c r="EDI784">
        <v>1</v>
      </c>
    </row>
    <row r="785" spans="2:741 2442:2457 3491:3493" x14ac:dyDescent="0.3">
      <c r="B785" t="s">
        <v>4270</v>
      </c>
      <c r="AAX785">
        <v>1</v>
      </c>
      <c r="COX785">
        <v>1</v>
      </c>
      <c r="EDG785">
        <f>SUMPRODUCT(Constraint_779,Decision_variables)</f>
        <v>0</v>
      </c>
      <c r="EDH785" t="s">
        <v>5265</v>
      </c>
      <c r="EDI785">
        <v>1</v>
      </c>
    </row>
    <row r="786" spans="2:741 2442:2457 3491:3493" x14ac:dyDescent="0.3">
      <c r="B786" t="s">
        <v>4271</v>
      </c>
      <c r="AAY786">
        <v>1</v>
      </c>
      <c r="COY786">
        <v>1</v>
      </c>
      <c r="EDG786">
        <f>SUMPRODUCT(Constraint_780,Decision_variables)</f>
        <v>0</v>
      </c>
      <c r="EDH786" t="s">
        <v>5265</v>
      </c>
      <c r="EDI786">
        <v>1</v>
      </c>
    </row>
    <row r="787" spans="2:741 2442:2457 3491:3493" x14ac:dyDescent="0.3">
      <c r="B787" t="s">
        <v>4272</v>
      </c>
      <c r="AAZ787">
        <v>1</v>
      </c>
      <c r="COZ787">
        <v>1</v>
      </c>
      <c r="EDG787">
        <f>SUMPRODUCT(Constraint_781,Decision_variables)</f>
        <v>0</v>
      </c>
      <c r="EDH787" t="s">
        <v>5265</v>
      </c>
      <c r="EDI787">
        <v>1</v>
      </c>
    </row>
    <row r="788" spans="2:741 2442:2457 3491:3493" x14ac:dyDescent="0.3">
      <c r="B788" t="s">
        <v>4273</v>
      </c>
      <c r="ABA788">
        <v>1</v>
      </c>
      <c r="CPA788">
        <v>1</v>
      </c>
      <c r="EDG788">
        <f>SUMPRODUCT(Constraint_782,Decision_variables)</f>
        <v>0</v>
      </c>
      <c r="EDH788" t="s">
        <v>5265</v>
      </c>
      <c r="EDI788">
        <v>1</v>
      </c>
    </row>
    <row r="789" spans="2:741 2442:2457 3491:3493" x14ac:dyDescent="0.3">
      <c r="B789" t="s">
        <v>4274</v>
      </c>
      <c r="ABB789">
        <v>1</v>
      </c>
      <c r="CPB789">
        <v>1</v>
      </c>
      <c r="EDG789">
        <f>SUMPRODUCT(Constraint_783,Decision_variables)</f>
        <v>0</v>
      </c>
      <c r="EDH789" t="s">
        <v>5265</v>
      </c>
      <c r="EDI789">
        <v>1</v>
      </c>
    </row>
    <row r="790" spans="2:741 2442:2457 3491:3493" x14ac:dyDescent="0.3">
      <c r="B790" t="s">
        <v>4275</v>
      </c>
      <c r="ABC790">
        <v>1</v>
      </c>
      <c r="CPC790">
        <v>1</v>
      </c>
      <c r="EDG790">
        <f>SUMPRODUCT(Constraint_784,Decision_variables)</f>
        <v>0</v>
      </c>
      <c r="EDH790" t="s">
        <v>5265</v>
      </c>
      <c r="EDI790">
        <v>1</v>
      </c>
    </row>
    <row r="791" spans="2:741 2442:2457 3491:3493" x14ac:dyDescent="0.3">
      <c r="B791" t="s">
        <v>4276</v>
      </c>
      <c r="ABD791">
        <v>1</v>
      </c>
      <c r="CPD791">
        <v>1</v>
      </c>
      <c r="EDG791">
        <f>SUMPRODUCT(Constraint_785,Decision_variables)</f>
        <v>1</v>
      </c>
      <c r="EDH791" t="s">
        <v>5265</v>
      </c>
      <c r="EDI791">
        <v>1</v>
      </c>
    </row>
    <row r="792" spans="2:741 2442:2457 3491:3493" x14ac:dyDescent="0.3">
      <c r="B792" t="s">
        <v>4277</v>
      </c>
      <c r="ABE792">
        <v>1</v>
      </c>
      <c r="CPE792">
        <v>1</v>
      </c>
      <c r="EDG792">
        <f>SUMPRODUCT(Constraint_786,Decision_variables)</f>
        <v>0</v>
      </c>
      <c r="EDH792" t="s">
        <v>5265</v>
      </c>
      <c r="EDI792">
        <v>1</v>
      </c>
    </row>
    <row r="793" spans="2:741 2442:2457 3491:3493" x14ac:dyDescent="0.3">
      <c r="B793" t="s">
        <v>4278</v>
      </c>
      <c r="ABF793">
        <v>1</v>
      </c>
      <c r="CPF793">
        <v>1</v>
      </c>
      <c r="EDG793">
        <f>SUMPRODUCT(Constraint_787,Decision_variables)</f>
        <v>0</v>
      </c>
      <c r="EDH793" t="s">
        <v>5265</v>
      </c>
      <c r="EDI793">
        <v>1</v>
      </c>
    </row>
    <row r="794" spans="2:741 2442:2457 3491:3493" x14ac:dyDescent="0.3">
      <c r="B794" t="s">
        <v>4279</v>
      </c>
      <c r="ABG794">
        <v>1</v>
      </c>
      <c r="CPG794">
        <v>1</v>
      </c>
      <c r="EDG794">
        <f>SUMPRODUCT(Constraint_788,Decision_variables)</f>
        <v>0</v>
      </c>
      <c r="EDH794" t="s">
        <v>5265</v>
      </c>
      <c r="EDI794">
        <v>1</v>
      </c>
    </row>
    <row r="795" spans="2:741 2442:2457 3491:3493" x14ac:dyDescent="0.3">
      <c r="B795" t="s">
        <v>4280</v>
      </c>
      <c r="ABH795">
        <v>1</v>
      </c>
      <c r="CPH795">
        <v>1</v>
      </c>
      <c r="EDG795">
        <f>SUMPRODUCT(Constraint_789,Decision_variables)</f>
        <v>0</v>
      </c>
      <c r="EDH795" t="s">
        <v>5265</v>
      </c>
      <c r="EDI795">
        <v>1</v>
      </c>
    </row>
    <row r="796" spans="2:741 2442:2457 3491:3493" x14ac:dyDescent="0.3">
      <c r="B796" t="s">
        <v>4281</v>
      </c>
      <c r="ABI796">
        <v>1</v>
      </c>
      <c r="CPI796">
        <v>1</v>
      </c>
      <c r="EDG796">
        <f>SUMPRODUCT(Constraint_790,Decision_variables)</f>
        <v>0</v>
      </c>
      <c r="EDH796" t="s">
        <v>5265</v>
      </c>
      <c r="EDI796">
        <v>1</v>
      </c>
    </row>
    <row r="797" spans="2:741 2442:2457 3491:3493" x14ac:dyDescent="0.3">
      <c r="B797" t="s">
        <v>4282</v>
      </c>
      <c r="ABJ797">
        <v>1</v>
      </c>
      <c r="CPJ797">
        <v>1</v>
      </c>
      <c r="EDG797">
        <f>SUMPRODUCT(Constraint_791,Decision_variables)</f>
        <v>0</v>
      </c>
      <c r="EDH797" t="s">
        <v>5265</v>
      </c>
      <c r="EDI797">
        <v>1</v>
      </c>
    </row>
    <row r="798" spans="2:741 2442:2457 3491:3493" x14ac:dyDescent="0.3">
      <c r="B798" t="s">
        <v>4283</v>
      </c>
      <c r="ABK798">
        <v>1</v>
      </c>
      <c r="CPK798">
        <v>1</v>
      </c>
      <c r="EDG798">
        <f>SUMPRODUCT(Constraint_792,Decision_variables)</f>
        <v>0</v>
      </c>
      <c r="EDH798" t="s">
        <v>5265</v>
      </c>
      <c r="EDI798">
        <v>1</v>
      </c>
    </row>
    <row r="799" spans="2:741 2442:2457 3491:3493" x14ac:dyDescent="0.3">
      <c r="B799" t="s">
        <v>4284</v>
      </c>
      <c r="ABL799">
        <v>1</v>
      </c>
      <c r="CPL799">
        <v>1</v>
      </c>
      <c r="EDG799">
        <f>SUMPRODUCT(Constraint_793,Decision_variables)</f>
        <v>0</v>
      </c>
      <c r="EDH799" t="s">
        <v>5265</v>
      </c>
      <c r="EDI799">
        <v>1</v>
      </c>
    </row>
    <row r="800" spans="2:741 2442:2457 3491:3493" x14ac:dyDescent="0.3">
      <c r="B800" t="s">
        <v>4285</v>
      </c>
      <c r="ABM800">
        <v>1</v>
      </c>
      <c r="CPM800">
        <v>1</v>
      </c>
      <c r="EDG800">
        <f>SUMPRODUCT(Constraint_794,Decision_variables)</f>
        <v>0</v>
      </c>
      <c r="EDH800" t="s">
        <v>5265</v>
      </c>
      <c r="EDI800">
        <v>1</v>
      </c>
    </row>
    <row r="801" spans="2:757 2458:2473 3491:3493" x14ac:dyDescent="0.3">
      <c r="B801" t="s">
        <v>4286</v>
      </c>
      <c r="ABN801">
        <v>1</v>
      </c>
      <c r="CPN801">
        <v>1</v>
      </c>
      <c r="EDG801">
        <f>SUMPRODUCT(Constraint_795,Decision_variables)</f>
        <v>0</v>
      </c>
      <c r="EDH801" t="s">
        <v>5265</v>
      </c>
      <c r="EDI801">
        <v>1</v>
      </c>
    </row>
    <row r="802" spans="2:757 2458:2473 3491:3493" x14ac:dyDescent="0.3">
      <c r="B802" t="s">
        <v>4287</v>
      </c>
      <c r="ABO802">
        <v>1</v>
      </c>
      <c r="CPO802">
        <v>1</v>
      </c>
      <c r="EDG802">
        <f>SUMPRODUCT(Constraint_796,Decision_variables)</f>
        <v>0</v>
      </c>
      <c r="EDH802" t="s">
        <v>5265</v>
      </c>
      <c r="EDI802">
        <v>1</v>
      </c>
    </row>
    <row r="803" spans="2:757 2458:2473 3491:3493" x14ac:dyDescent="0.3">
      <c r="B803" t="s">
        <v>4288</v>
      </c>
      <c r="ABP803">
        <v>1</v>
      </c>
      <c r="CPP803">
        <v>1</v>
      </c>
      <c r="EDG803">
        <f>SUMPRODUCT(Constraint_797,Decision_variables)</f>
        <v>0</v>
      </c>
      <c r="EDH803" t="s">
        <v>5265</v>
      </c>
      <c r="EDI803">
        <v>1</v>
      </c>
    </row>
    <row r="804" spans="2:757 2458:2473 3491:3493" x14ac:dyDescent="0.3">
      <c r="B804" t="s">
        <v>4289</v>
      </c>
      <c r="ABQ804">
        <v>1</v>
      </c>
      <c r="CPQ804">
        <v>1</v>
      </c>
      <c r="EDG804">
        <f>SUMPRODUCT(Constraint_798,Decision_variables)</f>
        <v>0</v>
      </c>
      <c r="EDH804" t="s">
        <v>5265</v>
      </c>
      <c r="EDI804">
        <v>1</v>
      </c>
    </row>
    <row r="805" spans="2:757 2458:2473 3491:3493" x14ac:dyDescent="0.3">
      <c r="B805" t="s">
        <v>4290</v>
      </c>
      <c r="ABR805">
        <v>1</v>
      </c>
      <c r="CPR805">
        <v>1</v>
      </c>
      <c r="EDG805">
        <f>SUMPRODUCT(Constraint_799,Decision_variables)</f>
        <v>0</v>
      </c>
      <c r="EDH805" t="s">
        <v>5265</v>
      </c>
      <c r="EDI805">
        <v>1</v>
      </c>
    </row>
    <row r="806" spans="2:757 2458:2473 3491:3493" x14ac:dyDescent="0.3">
      <c r="B806" t="s">
        <v>4291</v>
      </c>
      <c r="ABS806">
        <v>1</v>
      </c>
      <c r="CPS806">
        <v>1</v>
      </c>
      <c r="EDG806">
        <f>SUMPRODUCT(Constraint_800,Decision_variables)</f>
        <v>0</v>
      </c>
      <c r="EDH806" t="s">
        <v>5265</v>
      </c>
      <c r="EDI806">
        <v>1</v>
      </c>
    </row>
    <row r="807" spans="2:757 2458:2473 3491:3493" x14ac:dyDescent="0.3">
      <c r="B807" t="s">
        <v>4292</v>
      </c>
      <c r="ABT807">
        <v>1</v>
      </c>
      <c r="CPT807">
        <v>1</v>
      </c>
      <c r="EDG807">
        <f>SUMPRODUCT(Constraint_801,Decision_variables)</f>
        <v>0</v>
      </c>
      <c r="EDH807" t="s">
        <v>5265</v>
      </c>
      <c r="EDI807">
        <v>1</v>
      </c>
    </row>
    <row r="808" spans="2:757 2458:2473 3491:3493" x14ac:dyDescent="0.3">
      <c r="B808" t="s">
        <v>4293</v>
      </c>
      <c r="ABU808">
        <v>1</v>
      </c>
      <c r="CPU808">
        <v>1</v>
      </c>
      <c r="EDG808">
        <f>SUMPRODUCT(Constraint_802,Decision_variables)</f>
        <v>0</v>
      </c>
      <c r="EDH808" t="s">
        <v>5265</v>
      </c>
      <c r="EDI808">
        <v>1</v>
      </c>
    </row>
    <row r="809" spans="2:757 2458:2473 3491:3493" x14ac:dyDescent="0.3">
      <c r="B809" t="s">
        <v>4294</v>
      </c>
      <c r="ABV809">
        <v>1</v>
      </c>
      <c r="CPV809">
        <v>1</v>
      </c>
      <c r="EDG809">
        <f>SUMPRODUCT(Constraint_803,Decision_variables)</f>
        <v>0</v>
      </c>
      <c r="EDH809" t="s">
        <v>5265</v>
      </c>
      <c r="EDI809">
        <v>1</v>
      </c>
    </row>
    <row r="810" spans="2:757 2458:2473 3491:3493" x14ac:dyDescent="0.3">
      <c r="B810" t="s">
        <v>4295</v>
      </c>
      <c r="ABW810">
        <v>1</v>
      </c>
      <c r="CPW810">
        <v>1</v>
      </c>
      <c r="EDG810">
        <f>SUMPRODUCT(Constraint_804,Decision_variables)</f>
        <v>0</v>
      </c>
      <c r="EDH810" t="s">
        <v>5265</v>
      </c>
      <c r="EDI810">
        <v>1</v>
      </c>
    </row>
    <row r="811" spans="2:757 2458:2473 3491:3493" x14ac:dyDescent="0.3">
      <c r="B811" t="s">
        <v>4296</v>
      </c>
      <c r="ABX811">
        <v>1</v>
      </c>
      <c r="CPX811">
        <v>1</v>
      </c>
      <c r="EDG811">
        <f>SUMPRODUCT(Constraint_805,Decision_variables)</f>
        <v>0</v>
      </c>
      <c r="EDH811" t="s">
        <v>5265</v>
      </c>
      <c r="EDI811">
        <v>1</v>
      </c>
    </row>
    <row r="812" spans="2:757 2458:2473 3491:3493" x14ac:dyDescent="0.3">
      <c r="B812" t="s">
        <v>4297</v>
      </c>
      <c r="ABY812">
        <v>1</v>
      </c>
      <c r="CPY812">
        <v>1</v>
      </c>
      <c r="EDG812">
        <f>SUMPRODUCT(Constraint_806,Decision_variables)</f>
        <v>0</v>
      </c>
      <c r="EDH812" t="s">
        <v>5265</v>
      </c>
      <c r="EDI812">
        <v>1</v>
      </c>
    </row>
    <row r="813" spans="2:757 2458:2473 3491:3493" x14ac:dyDescent="0.3">
      <c r="B813" t="s">
        <v>4298</v>
      </c>
      <c r="ABZ813">
        <v>1</v>
      </c>
      <c r="CPZ813">
        <v>1</v>
      </c>
      <c r="EDG813">
        <f>SUMPRODUCT(Constraint_807,Decision_variables)</f>
        <v>0</v>
      </c>
      <c r="EDH813" t="s">
        <v>5265</v>
      </c>
      <c r="EDI813">
        <v>1</v>
      </c>
    </row>
    <row r="814" spans="2:757 2458:2473 3491:3493" x14ac:dyDescent="0.3">
      <c r="B814" t="s">
        <v>4299</v>
      </c>
      <c r="ACA814">
        <v>1</v>
      </c>
      <c r="CQA814">
        <v>1</v>
      </c>
      <c r="EDG814">
        <f>SUMPRODUCT(Constraint_808,Decision_variables)</f>
        <v>0</v>
      </c>
      <c r="EDH814" t="s">
        <v>5265</v>
      </c>
      <c r="EDI814">
        <v>1</v>
      </c>
    </row>
    <row r="815" spans="2:757 2458:2473 3491:3493" x14ac:dyDescent="0.3">
      <c r="B815" t="s">
        <v>4300</v>
      </c>
      <c r="ACB815">
        <v>1</v>
      </c>
      <c r="CQB815">
        <v>1</v>
      </c>
      <c r="EDG815">
        <f>SUMPRODUCT(Constraint_809,Decision_variables)</f>
        <v>0</v>
      </c>
      <c r="EDH815" t="s">
        <v>5265</v>
      </c>
      <c r="EDI815">
        <v>1</v>
      </c>
    </row>
    <row r="816" spans="2:757 2458:2473 3491:3493" x14ac:dyDescent="0.3">
      <c r="B816" t="s">
        <v>4301</v>
      </c>
      <c r="ACC816">
        <v>1</v>
      </c>
      <c r="CQC816">
        <v>1</v>
      </c>
      <c r="EDG816">
        <f>SUMPRODUCT(Constraint_810,Decision_variables)</f>
        <v>0</v>
      </c>
      <c r="EDH816" t="s">
        <v>5265</v>
      </c>
      <c r="EDI816">
        <v>1</v>
      </c>
    </row>
    <row r="817" spans="2:773 2474:2489 3491:3493" x14ac:dyDescent="0.3">
      <c r="B817" t="s">
        <v>4302</v>
      </c>
      <c r="ACD817">
        <v>1</v>
      </c>
      <c r="CQD817">
        <v>1</v>
      </c>
      <c r="EDG817">
        <f>SUMPRODUCT(Constraint_811,Decision_variables)</f>
        <v>0</v>
      </c>
      <c r="EDH817" t="s">
        <v>5265</v>
      </c>
      <c r="EDI817">
        <v>1</v>
      </c>
    </row>
    <row r="818" spans="2:773 2474:2489 3491:3493" x14ac:dyDescent="0.3">
      <c r="B818" t="s">
        <v>4303</v>
      </c>
      <c r="ACE818">
        <v>1</v>
      </c>
      <c r="CQE818">
        <v>1</v>
      </c>
      <c r="EDG818">
        <f>SUMPRODUCT(Constraint_812,Decision_variables)</f>
        <v>0</v>
      </c>
      <c r="EDH818" t="s">
        <v>5265</v>
      </c>
      <c r="EDI818">
        <v>1</v>
      </c>
    </row>
    <row r="819" spans="2:773 2474:2489 3491:3493" x14ac:dyDescent="0.3">
      <c r="B819" t="s">
        <v>4304</v>
      </c>
      <c r="ACF819">
        <v>1</v>
      </c>
      <c r="CQF819">
        <v>1</v>
      </c>
      <c r="EDG819">
        <f>SUMPRODUCT(Constraint_813,Decision_variables)</f>
        <v>0</v>
      </c>
      <c r="EDH819" t="s">
        <v>5265</v>
      </c>
      <c r="EDI819">
        <v>1</v>
      </c>
    </row>
    <row r="820" spans="2:773 2474:2489 3491:3493" x14ac:dyDescent="0.3">
      <c r="B820" t="s">
        <v>4305</v>
      </c>
      <c r="ACG820">
        <v>1</v>
      </c>
      <c r="CQG820">
        <v>1</v>
      </c>
      <c r="EDG820">
        <f>SUMPRODUCT(Constraint_814,Decision_variables)</f>
        <v>0</v>
      </c>
      <c r="EDH820" t="s">
        <v>5265</v>
      </c>
      <c r="EDI820">
        <v>1</v>
      </c>
    </row>
    <row r="821" spans="2:773 2474:2489 3491:3493" x14ac:dyDescent="0.3">
      <c r="B821" t="s">
        <v>4306</v>
      </c>
      <c r="ACH821">
        <v>1</v>
      </c>
      <c r="CQH821">
        <v>1</v>
      </c>
      <c r="EDG821">
        <f>SUMPRODUCT(Constraint_815,Decision_variables)</f>
        <v>0</v>
      </c>
      <c r="EDH821" t="s">
        <v>5265</v>
      </c>
      <c r="EDI821">
        <v>1</v>
      </c>
    </row>
    <row r="822" spans="2:773 2474:2489 3491:3493" x14ac:dyDescent="0.3">
      <c r="B822" t="s">
        <v>4307</v>
      </c>
      <c r="ACI822">
        <v>1</v>
      </c>
      <c r="CQI822">
        <v>1</v>
      </c>
      <c r="EDG822">
        <f>SUMPRODUCT(Constraint_816,Decision_variables)</f>
        <v>0</v>
      </c>
      <c r="EDH822" t="s">
        <v>5265</v>
      </c>
      <c r="EDI822">
        <v>1</v>
      </c>
    </row>
    <row r="823" spans="2:773 2474:2489 3491:3493" x14ac:dyDescent="0.3">
      <c r="B823" t="s">
        <v>4308</v>
      </c>
      <c r="ACJ823">
        <v>1</v>
      </c>
      <c r="CQJ823">
        <v>1</v>
      </c>
      <c r="EDG823">
        <f>SUMPRODUCT(Constraint_817,Decision_variables)</f>
        <v>0</v>
      </c>
      <c r="EDH823" t="s">
        <v>5265</v>
      </c>
      <c r="EDI823">
        <v>1</v>
      </c>
    </row>
    <row r="824" spans="2:773 2474:2489 3491:3493" x14ac:dyDescent="0.3">
      <c r="B824" t="s">
        <v>4309</v>
      </c>
      <c r="ACK824">
        <v>1</v>
      </c>
      <c r="CQK824">
        <v>1</v>
      </c>
      <c r="EDG824">
        <f>SUMPRODUCT(Constraint_818,Decision_variables)</f>
        <v>0</v>
      </c>
      <c r="EDH824" t="s">
        <v>5265</v>
      </c>
      <c r="EDI824">
        <v>1</v>
      </c>
    </row>
    <row r="825" spans="2:773 2474:2489 3491:3493" x14ac:dyDescent="0.3">
      <c r="B825" t="s">
        <v>4310</v>
      </c>
      <c r="ACL825">
        <v>1</v>
      </c>
      <c r="CQL825">
        <v>1</v>
      </c>
      <c r="EDG825">
        <f>SUMPRODUCT(Constraint_819,Decision_variables)</f>
        <v>0</v>
      </c>
      <c r="EDH825" t="s">
        <v>5265</v>
      </c>
      <c r="EDI825">
        <v>1</v>
      </c>
    </row>
    <row r="826" spans="2:773 2474:2489 3491:3493" x14ac:dyDescent="0.3">
      <c r="B826" t="s">
        <v>4311</v>
      </c>
      <c r="ACM826">
        <v>1</v>
      </c>
      <c r="CQM826">
        <v>1</v>
      </c>
      <c r="EDG826">
        <f>SUMPRODUCT(Constraint_820,Decision_variables)</f>
        <v>0</v>
      </c>
      <c r="EDH826" t="s">
        <v>5265</v>
      </c>
      <c r="EDI826">
        <v>1</v>
      </c>
    </row>
    <row r="827" spans="2:773 2474:2489 3491:3493" x14ac:dyDescent="0.3">
      <c r="B827" t="s">
        <v>4312</v>
      </c>
      <c r="ACN827">
        <v>1</v>
      </c>
      <c r="CQN827">
        <v>1</v>
      </c>
      <c r="EDG827">
        <f>SUMPRODUCT(Constraint_821,Decision_variables)</f>
        <v>0</v>
      </c>
      <c r="EDH827" t="s">
        <v>5265</v>
      </c>
      <c r="EDI827">
        <v>1</v>
      </c>
    </row>
    <row r="828" spans="2:773 2474:2489 3491:3493" x14ac:dyDescent="0.3">
      <c r="B828" t="s">
        <v>4313</v>
      </c>
      <c r="ACO828">
        <v>1</v>
      </c>
      <c r="CQO828">
        <v>1</v>
      </c>
      <c r="EDG828">
        <f>SUMPRODUCT(Constraint_822,Decision_variables)</f>
        <v>0</v>
      </c>
      <c r="EDH828" t="s">
        <v>5265</v>
      </c>
      <c r="EDI828">
        <v>1</v>
      </c>
    </row>
    <row r="829" spans="2:773 2474:2489 3491:3493" x14ac:dyDescent="0.3">
      <c r="B829" t="s">
        <v>4314</v>
      </c>
      <c r="ACP829">
        <v>1</v>
      </c>
      <c r="CQP829">
        <v>1</v>
      </c>
      <c r="EDG829">
        <f>SUMPRODUCT(Constraint_823,Decision_variables)</f>
        <v>0</v>
      </c>
      <c r="EDH829" t="s">
        <v>5265</v>
      </c>
      <c r="EDI829">
        <v>1</v>
      </c>
    </row>
    <row r="830" spans="2:773 2474:2489 3491:3493" x14ac:dyDescent="0.3">
      <c r="B830" t="s">
        <v>4315</v>
      </c>
      <c r="ACQ830">
        <v>1</v>
      </c>
      <c r="CQQ830">
        <v>1</v>
      </c>
      <c r="EDG830">
        <f>SUMPRODUCT(Constraint_824,Decision_variables)</f>
        <v>0</v>
      </c>
      <c r="EDH830" t="s">
        <v>5265</v>
      </c>
      <c r="EDI830">
        <v>1</v>
      </c>
    </row>
    <row r="831" spans="2:773 2474:2489 3491:3493" x14ac:dyDescent="0.3">
      <c r="B831" t="s">
        <v>4316</v>
      </c>
      <c r="ACR831">
        <v>1</v>
      </c>
      <c r="CQR831">
        <v>1</v>
      </c>
      <c r="EDG831">
        <f>SUMPRODUCT(Constraint_825,Decision_variables)</f>
        <v>0</v>
      </c>
      <c r="EDH831" t="s">
        <v>5265</v>
      </c>
      <c r="EDI831">
        <v>1</v>
      </c>
    </row>
    <row r="832" spans="2:773 2474:2489 3491:3493" x14ac:dyDescent="0.3">
      <c r="B832" t="s">
        <v>4317</v>
      </c>
      <c r="ACS832">
        <v>1</v>
      </c>
      <c r="CQS832">
        <v>1</v>
      </c>
      <c r="EDG832">
        <f>SUMPRODUCT(Constraint_826,Decision_variables)</f>
        <v>0</v>
      </c>
      <c r="EDH832" t="s">
        <v>5265</v>
      </c>
      <c r="EDI832">
        <v>1</v>
      </c>
    </row>
    <row r="833" spans="2:789 2490:2505 3491:3493" x14ac:dyDescent="0.3">
      <c r="B833" t="s">
        <v>4318</v>
      </c>
      <c r="ACT833">
        <v>1</v>
      </c>
      <c r="CQT833">
        <v>1</v>
      </c>
      <c r="EDG833">
        <f>SUMPRODUCT(Constraint_827,Decision_variables)</f>
        <v>0</v>
      </c>
      <c r="EDH833" t="s">
        <v>5265</v>
      </c>
      <c r="EDI833">
        <v>1</v>
      </c>
    </row>
    <row r="834" spans="2:789 2490:2505 3491:3493" x14ac:dyDescent="0.3">
      <c r="B834" t="s">
        <v>4319</v>
      </c>
      <c r="ACU834">
        <v>1</v>
      </c>
      <c r="CQU834">
        <v>1</v>
      </c>
      <c r="EDG834">
        <f>SUMPRODUCT(Constraint_828,Decision_variables)</f>
        <v>0</v>
      </c>
      <c r="EDH834" t="s">
        <v>5265</v>
      </c>
      <c r="EDI834">
        <v>1</v>
      </c>
    </row>
    <row r="835" spans="2:789 2490:2505 3491:3493" x14ac:dyDescent="0.3">
      <c r="B835" t="s">
        <v>4320</v>
      </c>
      <c r="ACV835">
        <v>1</v>
      </c>
      <c r="CQV835">
        <v>1</v>
      </c>
      <c r="EDG835">
        <f>SUMPRODUCT(Constraint_829,Decision_variables)</f>
        <v>0</v>
      </c>
      <c r="EDH835" t="s">
        <v>5265</v>
      </c>
      <c r="EDI835">
        <v>1</v>
      </c>
    </row>
    <row r="836" spans="2:789 2490:2505 3491:3493" x14ac:dyDescent="0.3">
      <c r="B836" t="s">
        <v>4321</v>
      </c>
      <c r="ACW836">
        <v>1</v>
      </c>
      <c r="CQW836">
        <v>1</v>
      </c>
      <c r="EDG836">
        <f>SUMPRODUCT(Constraint_830,Decision_variables)</f>
        <v>0</v>
      </c>
      <c r="EDH836" t="s">
        <v>5265</v>
      </c>
      <c r="EDI836">
        <v>1</v>
      </c>
    </row>
    <row r="837" spans="2:789 2490:2505 3491:3493" x14ac:dyDescent="0.3">
      <c r="B837" t="s">
        <v>4322</v>
      </c>
      <c r="ACX837">
        <v>1</v>
      </c>
      <c r="CQX837">
        <v>1</v>
      </c>
      <c r="EDG837">
        <f>SUMPRODUCT(Constraint_831,Decision_variables)</f>
        <v>0</v>
      </c>
      <c r="EDH837" t="s">
        <v>5265</v>
      </c>
      <c r="EDI837">
        <v>1</v>
      </c>
    </row>
    <row r="838" spans="2:789 2490:2505 3491:3493" x14ac:dyDescent="0.3">
      <c r="B838" t="s">
        <v>4323</v>
      </c>
      <c r="ACY838">
        <v>1</v>
      </c>
      <c r="CQY838">
        <v>1</v>
      </c>
      <c r="EDG838">
        <f>SUMPRODUCT(Constraint_832,Decision_variables)</f>
        <v>0</v>
      </c>
      <c r="EDH838" t="s">
        <v>5265</v>
      </c>
      <c r="EDI838">
        <v>1</v>
      </c>
    </row>
    <row r="839" spans="2:789 2490:2505 3491:3493" x14ac:dyDescent="0.3">
      <c r="B839" t="s">
        <v>4324</v>
      </c>
      <c r="ACZ839">
        <v>1</v>
      </c>
      <c r="CQZ839">
        <v>1</v>
      </c>
      <c r="EDG839">
        <f>SUMPRODUCT(Constraint_833,Decision_variables)</f>
        <v>0</v>
      </c>
      <c r="EDH839" t="s">
        <v>5265</v>
      </c>
      <c r="EDI839">
        <v>1</v>
      </c>
    </row>
    <row r="840" spans="2:789 2490:2505 3491:3493" x14ac:dyDescent="0.3">
      <c r="B840" t="s">
        <v>4325</v>
      </c>
      <c r="ADA840">
        <v>1</v>
      </c>
      <c r="CRA840">
        <v>1</v>
      </c>
      <c r="EDG840">
        <f>SUMPRODUCT(Constraint_834,Decision_variables)</f>
        <v>0</v>
      </c>
      <c r="EDH840" t="s">
        <v>5265</v>
      </c>
      <c r="EDI840">
        <v>1</v>
      </c>
    </row>
    <row r="841" spans="2:789 2490:2505 3491:3493" x14ac:dyDescent="0.3">
      <c r="B841" t="s">
        <v>4326</v>
      </c>
      <c r="ADB841">
        <v>1</v>
      </c>
      <c r="CRB841">
        <v>1</v>
      </c>
      <c r="EDG841">
        <f>SUMPRODUCT(Constraint_835,Decision_variables)</f>
        <v>0</v>
      </c>
      <c r="EDH841" t="s">
        <v>5265</v>
      </c>
      <c r="EDI841">
        <v>1</v>
      </c>
    </row>
    <row r="842" spans="2:789 2490:2505 3491:3493" x14ac:dyDescent="0.3">
      <c r="B842" t="s">
        <v>4327</v>
      </c>
      <c r="ADC842">
        <v>1</v>
      </c>
      <c r="CRC842">
        <v>1</v>
      </c>
      <c r="EDG842">
        <f>SUMPRODUCT(Constraint_836,Decision_variables)</f>
        <v>0</v>
      </c>
      <c r="EDH842" t="s">
        <v>5265</v>
      </c>
      <c r="EDI842">
        <v>1</v>
      </c>
    </row>
    <row r="843" spans="2:789 2490:2505 3491:3493" x14ac:dyDescent="0.3">
      <c r="B843" t="s">
        <v>4328</v>
      </c>
      <c r="ADD843">
        <v>1</v>
      </c>
      <c r="CRD843">
        <v>1</v>
      </c>
      <c r="EDG843">
        <f>SUMPRODUCT(Constraint_837,Decision_variables)</f>
        <v>0</v>
      </c>
      <c r="EDH843" t="s">
        <v>5265</v>
      </c>
      <c r="EDI843">
        <v>1</v>
      </c>
    </row>
    <row r="844" spans="2:789 2490:2505 3491:3493" x14ac:dyDescent="0.3">
      <c r="B844" t="s">
        <v>4329</v>
      </c>
      <c r="ADE844">
        <v>1</v>
      </c>
      <c r="CRE844">
        <v>1</v>
      </c>
      <c r="EDG844">
        <f>SUMPRODUCT(Constraint_838,Decision_variables)</f>
        <v>0</v>
      </c>
      <c r="EDH844" t="s">
        <v>5265</v>
      </c>
      <c r="EDI844">
        <v>1</v>
      </c>
    </row>
    <row r="845" spans="2:789 2490:2505 3491:3493" x14ac:dyDescent="0.3">
      <c r="B845" t="s">
        <v>4330</v>
      </c>
      <c r="ADF845">
        <v>1</v>
      </c>
      <c r="CRF845">
        <v>1</v>
      </c>
      <c r="EDG845">
        <f>SUMPRODUCT(Constraint_839,Decision_variables)</f>
        <v>0</v>
      </c>
      <c r="EDH845" t="s">
        <v>5265</v>
      </c>
      <c r="EDI845">
        <v>1</v>
      </c>
    </row>
    <row r="846" spans="2:789 2490:2505 3491:3493" x14ac:dyDescent="0.3">
      <c r="B846" t="s">
        <v>4331</v>
      </c>
      <c r="ADG846">
        <v>1</v>
      </c>
      <c r="CRG846">
        <v>1</v>
      </c>
      <c r="EDG846">
        <f>SUMPRODUCT(Constraint_840,Decision_variables)</f>
        <v>0</v>
      </c>
      <c r="EDH846" t="s">
        <v>5265</v>
      </c>
      <c r="EDI846">
        <v>1</v>
      </c>
    </row>
    <row r="847" spans="2:789 2490:2505 3491:3493" x14ac:dyDescent="0.3">
      <c r="B847" t="s">
        <v>4332</v>
      </c>
      <c r="ADH847">
        <v>1</v>
      </c>
      <c r="CRH847">
        <v>1</v>
      </c>
      <c r="EDG847">
        <f>SUMPRODUCT(Constraint_841,Decision_variables)</f>
        <v>0</v>
      </c>
      <c r="EDH847" t="s">
        <v>5265</v>
      </c>
      <c r="EDI847">
        <v>1</v>
      </c>
    </row>
    <row r="848" spans="2:789 2490:2505 3491:3493" x14ac:dyDescent="0.3">
      <c r="B848" t="s">
        <v>4333</v>
      </c>
      <c r="ADI848">
        <v>1</v>
      </c>
      <c r="CRI848">
        <v>1</v>
      </c>
      <c r="EDG848">
        <f>SUMPRODUCT(Constraint_842,Decision_variables)</f>
        <v>0</v>
      </c>
      <c r="EDH848" t="s">
        <v>5265</v>
      </c>
      <c r="EDI848">
        <v>1</v>
      </c>
    </row>
    <row r="849" spans="2:805 2506:2521 3491:3493" x14ac:dyDescent="0.3">
      <c r="B849" t="s">
        <v>4334</v>
      </c>
      <c r="ADJ849">
        <v>1</v>
      </c>
      <c r="CRJ849">
        <v>1</v>
      </c>
      <c r="EDG849">
        <f>SUMPRODUCT(Constraint_843,Decision_variables)</f>
        <v>0</v>
      </c>
      <c r="EDH849" t="s">
        <v>5265</v>
      </c>
      <c r="EDI849">
        <v>1</v>
      </c>
    </row>
    <row r="850" spans="2:805 2506:2521 3491:3493" x14ac:dyDescent="0.3">
      <c r="B850" t="s">
        <v>4335</v>
      </c>
      <c r="ADK850">
        <v>1</v>
      </c>
      <c r="CRK850">
        <v>1</v>
      </c>
      <c r="EDG850">
        <f>SUMPRODUCT(Constraint_844,Decision_variables)</f>
        <v>0</v>
      </c>
      <c r="EDH850" t="s">
        <v>5265</v>
      </c>
      <c r="EDI850">
        <v>1</v>
      </c>
    </row>
    <row r="851" spans="2:805 2506:2521 3491:3493" x14ac:dyDescent="0.3">
      <c r="B851" t="s">
        <v>4336</v>
      </c>
      <c r="ADL851">
        <v>1</v>
      </c>
      <c r="CRL851">
        <v>1</v>
      </c>
      <c r="EDG851">
        <f>SUMPRODUCT(Constraint_845,Decision_variables)</f>
        <v>0</v>
      </c>
      <c r="EDH851" t="s">
        <v>5265</v>
      </c>
      <c r="EDI851">
        <v>1</v>
      </c>
    </row>
    <row r="852" spans="2:805 2506:2521 3491:3493" x14ac:dyDescent="0.3">
      <c r="B852" t="s">
        <v>4337</v>
      </c>
      <c r="ADM852">
        <v>1</v>
      </c>
      <c r="CRM852">
        <v>1</v>
      </c>
      <c r="EDG852">
        <f>SUMPRODUCT(Constraint_846,Decision_variables)</f>
        <v>0</v>
      </c>
      <c r="EDH852" t="s">
        <v>5265</v>
      </c>
      <c r="EDI852">
        <v>1</v>
      </c>
    </row>
    <row r="853" spans="2:805 2506:2521 3491:3493" x14ac:dyDescent="0.3">
      <c r="B853" t="s">
        <v>4338</v>
      </c>
      <c r="ADN853">
        <v>1</v>
      </c>
      <c r="CRN853">
        <v>1</v>
      </c>
      <c r="EDG853">
        <f>SUMPRODUCT(Constraint_847,Decision_variables)</f>
        <v>0</v>
      </c>
      <c r="EDH853" t="s">
        <v>5265</v>
      </c>
      <c r="EDI853">
        <v>1</v>
      </c>
    </row>
    <row r="854" spans="2:805 2506:2521 3491:3493" x14ac:dyDescent="0.3">
      <c r="B854" t="s">
        <v>4339</v>
      </c>
      <c r="ADO854">
        <v>1</v>
      </c>
      <c r="CRO854">
        <v>1</v>
      </c>
      <c r="EDG854">
        <f>SUMPRODUCT(Constraint_848,Decision_variables)</f>
        <v>0</v>
      </c>
      <c r="EDH854" t="s">
        <v>5265</v>
      </c>
      <c r="EDI854">
        <v>1</v>
      </c>
    </row>
    <row r="855" spans="2:805 2506:2521 3491:3493" x14ac:dyDescent="0.3">
      <c r="B855" t="s">
        <v>4340</v>
      </c>
      <c r="ADP855">
        <v>1</v>
      </c>
      <c r="CRP855">
        <v>1</v>
      </c>
      <c r="EDG855">
        <f>SUMPRODUCT(Constraint_849,Decision_variables)</f>
        <v>0</v>
      </c>
      <c r="EDH855" t="s">
        <v>5265</v>
      </c>
      <c r="EDI855">
        <v>1</v>
      </c>
    </row>
    <row r="856" spans="2:805 2506:2521 3491:3493" x14ac:dyDescent="0.3">
      <c r="B856" t="s">
        <v>4341</v>
      </c>
      <c r="ADQ856">
        <v>1</v>
      </c>
      <c r="CRQ856">
        <v>1</v>
      </c>
      <c r="EDG856">
        <f>SUMPRODUCT(Constraint_850,Decision_variables)</f>
        <v>0</v>
      </c>
      <c r="EDH856" t="s">
        <v>5265</v>
      </c>
      <c r="EDI856">
        <v>1</v>
      </c>
    </row>
    <row r="857" spans="2:805 2506:2521 3491:3493" x14ac:dyDescent="0.3">
      <c r="B857" t="s">
        <v>4342</v>
      </c>
      <c r="ADR857">
        <v>1</v>
      </c>
      <c r="CRR857">
        <v>1</v>
      </c>
      <c r="EDG857">
        <f>SUMPRODUCT(Constraint_851,Decision_variables)</f>
        <v>0</v>
      </c>
      <c r="EDH857" t="s">
        <v>5265</v>
      </c>
      <c r="EDI857">
        <v>1</v>
      </c>
    </row>
    <row r="858" spans="2:805 2506:2521 3491:3493" x14ac:dyDescent="0.3">
      <c r="B858" t="s">
        <v>4343</v>
      </c>
      <c r="ADS858">
        <v>1</v>
      </c>
      <c r="CRS858">
        <v>1</v>
      </c>
      <c r="EDG858">
        <f>SUMPRODUCT(Constraint_852,Decision_variables)</f>
        <v>0</v>
      </c>
      <c r="EDH858" t="s">
        <v>5265</v>
      </c>
      <c r="EDI858">
        <v>1</v>
      </c>
    </row>
    <row r="859" spans="2:805 2506:2521 3491:3493" x14ac:dyDescent="0.3">
      <c r="B859" t="s">
        <v>4344</v>
      </c>
      <c r="ADT859">
        <v>1</v>
      </c>
      <c r="CRT859">
        <v>1</v>
      </c>
      <c r="EDG859">
        <f>SUMPRODUCT(Constraint_853,Decision_variables)</f>
        <v>1</v>
      </c>
      <c r="EDH859" t="s">
        <v>5265</v>
      </c>
      <c r="EDI859">
        <v>1</v>
      </c>
    </row>
    <row r="860" spans="2:805 2506:2521 3491:3493" x14ac:dyDescent="0.3">
      <c r="B860" t="s">
        <v>4345</v>
      </c>
      <c r="ADU860">
        <v>1</v>
      </c>
      <c r="CRU860">
        <v>1</v>
      </c>
      <c r="EDG860">
        <f>SUMPRODUCT(Constraint_854,Decision_variables)</f>
        <v>0</v>
      </c>
      <c r="EDH860" t="s">
        <v>5265</v>
      </c>
      <c r="EDI860">
        <v>1</v>
      </c>
    </row>
    <row r="861" spans="2:805 2506:2521 3491:3493" x14ac:dyDescent="0.3">
      <c r="B861" t="s">
        <v>4346</v>
      </c>
      <c r="ADV861">
        <v>1</v>
      </c>
      <c r="CRV861">
        <v>1</v>
      </c>
      <c r="EDG861">
        <f>SUMPRODUCT(Constraint_855,Decision_variables)</f>
        <v>0</v>
      </c>
      <c r="EDH861" t="s">
        <v>5265</v>
      </c>
      <c r="EDI861">
        <v>1</v>
      </c>
    </row>
    <row r="862" spans="2:805 2506:2521 3491:3493" x14ac:dyDescent="0.3">
      <c r="B862" t="s">
        <v>4347</v>
      </c>
      <c r="ADW862">
        <v>1</v>
      </c>
      <c r="CRW862">
        <v>1</v>
      </c>
      <c r="EDG862">
        <f>SUMPRODUCT(Constraint_856,Decision_variables)</f>
        <v>0</v>
      </c>
      <c r="EDH862" t="s">
        <v>5265</v>
      </c>
      <c r="EDI862">
        <v>1</v>
      </c>
    </row>
    <row r="863" spans="2:805 2506:2521 3491:3493" x14ac:dyDescent="0.3">
      <c r="B863" t="s">
        <v>4348</v>
      </c>
      <c r="ADX863">
        <v>1</v>
      </c>
      <c r="CRX863">
        <v>1</v>
      </c>
      <c r="EDG863">
        <f>SUMPRODUCT(Constraint_857,Decision_variables)</f>
        <v>0</v>
      </c>
      <c r="EDH863" t="s">
        <v>5265</v>
      </c>
      <c r="EDI863">
        <v>1</v>
      </c>
    </row>
    <row r="864" spans="2:805 2506:2521 3491:3493" x14ac:dyDescent="0.3">
      <c r="B864" t="s">
        <v>4349</v>
      </c>
      <c r="ADY864">
        <v>1</v>
      </c>
      <c r="CRY864">
        <v>1</v>
      </c>
      <c r="EDG864">
        <f>SUMPRODUCT(Constraint_858,Decision_variables)</f>
        <v>0</v>
      </c>
      <c r="EDH864" t="s">
        <v>5265</v>
      </c>
      <c r="EDI864">
        <v>1</v>
      </c>
    </row>
    <row r="865" spans="2:821 2522:2537 3491:3493" x14ac:dyDescent="0.3">
      <c r="B865" t="s">
        <v>4350</v>
      </c>
      <c r="ADZ865">
        <v>1</v>
      </c>
      <c r="CRZ865">
        <v>1</v>
      </c>
      <c r="EDG865">
        <f>SUMPRODUCT(Constraint_859,Decision_variables)</f>
        <v>0</v>
      </c>
      <c r="EDH865" t="s">
        <v>5265</v>
      </c>
      <c r="EDI865">
        <v>1</v>
      </c>
    </row>
    <row r="866" spans="2:821 2522:2537 3491:3493" x14ac:dyDescent="0.3">
      <c r="B866" t="s">
        <v>4351</v>
      </c>
      <c r="AEA866">
        <v>1</v>
      </c>
      <c r="CSA866">
        <v>1</v>
      </c>
      <c r="EDG866">
        <f>SUMPRODUCT(Constraint_860,Decision_variables)</f>
        <v>0</v>
      </c>
      <c r="EDH866" t="s">
        <v>5265</v>
      </c>
      <c r="EDI866">
        <v>1</v>
      </c>
    </row>
    <row r="867" spans="2:821 2522:2537 3491:3493" x14ac:dyDescent="0.3">
      <c r="B867" t="s">
        <v>4352</v>
      </c>
      <c r="AEB867">
        <v>1</v>
      </c>
      <c r="CSB867">
        <v>1</v>
      </c>
      <c r="EDG867">
        <f>SUMPRODUCT(Constraint_861,Decision_variables)</f>
        <v>0</v>
      </c>
      <c r="EDH867" t="s">
        <v>5265</v>
      </c>
      <c r="EDI867">
        <v>1</v>
      </c>
    </row>
    <row r="868" spans="2:821 2522:2537 3491:3493" x14ac:dyDescent="0.3">
      <c r="B868" t="s">
        <v>4353</v>
      </c>
      <c r="AEC868">
        <v>1</v>
      </c>
      <c r="CSC868">
        <v>1</v>
      </c>
      <c r="EDG868">
        <f>SUMPRODUCT(Constraint_862,Decision_variables)</f>
        <v>0</v>
      </c>
      <c r="EDH868" t="s">
        <v>5265</v>
      </c>
      <c r="EDI868">
        <v>1</v>
      </c>
    </row>
    <row r="869" spans="2:821 2522:2537 3491:3493" x14ac:dyDescent="0.3">
      <c r="B869" t="s">
        <v>4354</v>
      </c>
      <c r="AED869">
        <v>1</v>
      </c>
      <c r="CSD869">
        <v>1</v>
      </c>
      <c r="EDG869">
        <f>SUMPRODUCT(Constraint_863,Decision_variables)</f>
        <v>0</v>
      </c>
      <c r="EDH869" t="s">
        <v>5265</v>
      </c>
      <c r="EDI869">
        <v>1</v>
      </c>
    </row>
    <row r="870" spans="2:821 2522:2537 3491:3493" x14ac:dyDescent="0.3">
      <c r="B870" t="s">
        <v>4355</v>
      </c>
      <c r="AEE870">
        <v>1</v>
      </c>
      <c r="CSE870">
        <v>1</v>
      </c>
      <c r="EDG870">
        <f>SUMPRODUCT(Constraint_864,Decision_variables)</f>
        <v>0</v>
      </c>
      <c r="EDH870" t="s">
        <v>5265</v>
      </c>
      <c r="EDI870">
        <v>1</v>
      </c>
    </row>
    <row r="871" spans="2:821 2522:2537 3491:3493" x14ac:dyDescent="0.3">
      <c r="B871" t="s">
        <v>4356</v>
      </c>
      <c r="AEF871">
        <v>1</v>
      </c>
      <c r="CSF871">
        <v>1</v>
      </c>
      <c r="EDG871">
        <f>SUMPRODUCT(Constraint_865,Decision_variables)</f>
        <v>0</v>
      </c>
      <c r="EDH871" t="s">
        <v>5265</v>
      </c>
      <c r="EDI871">
        <v>1</v>
      </c>
    </row>
    <row r="872" spans="2:821 2522:2537 3491:3493" x14ac:dyDescent="0.3">
      <c r="B872" t="s">
        <v>4357</v>
      </c>
      <c r="AEG872">
        <v>1</v>
      </c>
      <c r="CSG872">
        <v>1</v>
      </c>
      <c r="EDG872">
        <f>SUMPRODUCT(Constraint_866,Decision_variables)</f>
        <v>0</v>
      </c>
      <c r="EDH872" t="s">
        <v>5265</v>
      </c>
      <c r="EDI872">
        <v>1</v>
      </c>
    </row>
    <row r="873" spans="2:821 2522:2537 3491:3493" x14ac:dyDescent="0.3">
      <c r="B873" t="s">
        <v>4358</v>
      </c>
      <c r="AEH873">
        <v>1</v>
      </c>
      <c r="CSH873">
        <v>1</v>
      </c>
      <c r="EDG873">
        <f>SUMPRODUCT(Constraint_867,Decision_variables)</f>
        <v>0</v>
      </c>
      <c r="EDH873" t="s">
        <v>5265</v>
      </c>
      <c r="EDI873">
        <v>1</v>
      </c>
    </row>
    <row r="874" spans="2:821 2522:2537 3491:3493" x14ac:dyDescent="0.3">
      <c r="B874" t="s">
        <v>4359</v>
      </c>
      <c r="AEI874">
        <v>1</v>
      </c>
      <c r="CSI874">
        <v>1</v>
      </c>
      <c r="EDG874">
        <f>SUMPRODUCT(Constraint_868,Decision_variables)</f>
        <v>0</v>
      </c>
      <c r="EDH874" t="s">
        <v>5265</v>
      </c>
      <c r="EDI874">
        <v>1</v>
      </c>
    </row>
    <row r="875" spans="2:821 2522:2537 3491:3493" x14ac:dyDescent="0.3">
      <c r="B875" t="s">
        <v>4360</v>
      </c>
      <c r="AEJ875">
        <v>1</v>
      </c>
      <c r="CSJ875">
        <v>1</v>
      </c>
      <c r="EDG875">
        <f>SUMPRODUCT(Constraint_869,Decision_variables)</f>
        <v>0</v>
      </c>
      <c r="EDH875" t="s">
        <v>5265</v>
      </c>
      <c r="EDI875">
        <v>1</v>
      </c>
    </row>
    <row r="876" spans="2:821 2522:2537 3491:3493" x14ac:dyDescent="0.3">
      <c r="B876" t="s">
        <v>4361</v>
      </c>
      <c r="AEK876">
        <v>1</v>
      </c>
      <c r="CSK876">
        <v>1</v>
      </c>
      <c r="EDG876">
        <f>SUMPRODUCT(Constraint_870,Decision_variables)</f>
        <v>0</v>
      </c>
      <c r="EDH876" t="s">
        <v>5265</v>
      </c>
      <c r="EDI876">
        <v>1</v>
      </c>
    </row>
    <row r="877" spans="2:821 2522:2537 3491:3493" x14ac:dyDescent="0.3">
      <c r="B877" t="s">
        <v>4362</v>
      </c>
      <c r="AEL877">
        <v>1</v>
      </c>
      <c r="CSL877">
        <v>1</v>
      </c>
      <c r="EDG877">
        <f>SUMPRODUCT(Constraint_871,Decision_variables)</f>
        <v>0</v>
      </c>
      <c r="EDH877" t="s">
        <v>5265</v>
      </c>
      <c r="EDI877">
        <v>1</v>
      </c>
    </row>
    <row r="878" spans="2:821 2522:2537 3491:3493" x14ac:dyDescent="0.3">
      <c r="B878" t="s">
        <v>4363</v>
      </c>
      <c r="AEM878">
        <v>1</v>
      </c>
      <c r="CSM878">
        <v>1</v>
      </c>
      <c r="EDG878">
        <f>SUMPRODUCT(Constraint_872,Decision_variables)</f>
        <v>0</v>
      </c>
      <c r="EDH878" t="s">
        <v>5265</v>
      </c>
      <c r="EDI878">
        <v>1</v>
      </c>
    </row>
    <row r="879" spans="2:821 2522:2537 3491:3493" x14ac:dyDescent="0.3">
      <c r="B879" t="s">
        <v>4364</v>
      </c>
      <c r="AEN879">
        <v>1</v>
      </c>
      <c r="CSN879">
        <v>1</v>
      </c>
      <c r="EDG879">
        <f>SUMPRODUCT(Constraint_873,Decision_variables)</f>
        <v>0</v>
      </c>
      <c r="EDH879" t="s">
        <v>5265</v>
      </c>
      <c r="EDI879">
        <v>1</v>
      </c>
    </row>
    <row r="880" spans="2:821 2522:2537 3491:3493" x14ac:dyDescent="0.3">
      <c r="B880" t="s">
        <v>4365</v>
      </c>
      <c r="AEO880">
        <v>1</v>
      </c>
      <c r="CSO880">
        <v>1</v>
      </c>
      <c r="EDG880">
        <f>SUMPRODUCT(Constraint_874,Decision_variables)</f>
        <v>0</v>
      </c>
      <c r="EDH880" t="s">
        <v>5265</v>
      </c>
      <c r="EDI880">
        <v>1</v>
      </c>
    </row>
    <row r="881" spans="2:837 2538:2553 3491:3493" x14ac:dyDescent="0.3">
      <c r="B881" t="s">
        <v>4366</v>
      </c>
      <c r="AEP881">
        <v>1</v>
      </c>
      <c r="CSP881">
        <v>1</v>
      </c>
      <c r="EDG881">
        <f>SUMPRODUCT(Constraint_875,Decision_variables)</f>
        <v>0</v>
      </c>
      <c r="EDH881" t="s">
        <v>5265</v>
      </c>
      <c r="EDI881">
        <v>1</v>
      </c>
    </row>
    <row r="882" spans="2:837 2538:2553 3491:3493" x14ac:dyDescent="0.3">
      <c r="B882" t="s">
        <v>4367</v>
      </c>
      <c r="AEQ882">
        <v>1</v>
      </c>
      <c r="CSQ882">
        <v>1</v>
      </c>
      <c r="EDG882">
        <f>SUMPRODUCT(Constraint_876,Decision_variables)</f>
        <v>0</v>
      </c>
      <c r="EDH882" t="s">
        <v>5265</v>
      </c>
      <c r="EDI882">
        <v>1</v>
      </c>
    </row>
    <row r="883" spans="2:837 2538:2553 3491:3493" x14ac:dyDescent="0.3">
      <c r="B883" t="s">
        <v>4368</v>
      </c>
      <c r="AER883">
        <v>1</v>
      </c>
      <c r="CSR883">
        <v>1</v>
      </c>
      <c r="EDG883">
        <f>SUMPRODUCT(Constraint_877,Decision_variables)</f>
        <v>0</v>
      </c>
      <c r="EDH883" t="s">
        <v>5265</v>
      </c>
      <c r="EDI883">
        <v>1</v>
      </c>
    </row>
    <row r="884" spans="2:837 2538:2553 3491:3493" x14ac:dyDescent="0.3">
      <c r="B884" t="s">
        <v>4369</v>
      </c>
      <c r="AES884">
        <v>1</v>
      </c>
      <c r="CSS884">
        <v>1</v>
      </c>
      <c r="EDG884">
        <f>SUMPRODUCT(Constraint_878,Decision_variables)</f>
        <v>0</v>
      </c>
      <c r="EDH884" t="s">
        <v>5265</v>
      </c>
      <c r="EDI884">
        <v>1</v>
      </c>
    </row>
    <row r="885" spans="2:837 2538:2553 3491:3493" x14ac:dyDescent="0.3">
      <c r="B885" t="s">
        <v>4370</v>
      </c>
      <c r="AET885">
        <v>1</v>
      </c>
      <c r="CST885">
        <v>1</v>
      </c>
      <c r="EDG885">
        <f>SUMPRODUCT(Constraint_879,Decision_variables)</f>
        <v>0</v>
      </c>
      <c r="EDH885" t="s">
        <v>5265</v>
      </c>
      <c r="EDI885">
        <v>1</v>
      </c>
    </row>
    <row r="886" spans="2:837 2538:2553 3491:3493" x14ac:dyDescent="0.3">
      <c r="B886" t="s">
        <v>4371</v>
      </c>
      <c r="AEU886">
        <v>1</v>
      </c>
      <c r="CSU886">
        <v>1</v>
      </c>
      <c r="EDG886">
        <f>SUMPRODUCT(Constraint_880,Decision_variables)</f>
        <v>0</v>
      </c>
      <c r="EDH886" t="s">
        <v>5265</v>
      </c>
      <c r="EDI886">
        <v>1</v>
      </c>
    </row>
    <row r="887" spans="2:837 2538:2553 3491:3493" x14ac:dyDescent="0.3">
      <c r="B887" t="s">
        <v>4372</v>
      </c>
      <c r="AEV887">
        <v>1</v>
      </c>
      <c r="CSV887">
        <v>1</v>
      </c>
      <c r="EDG887">
        <f>SUMPRODUCT(Constraint_881,Decision_variables)</f>
        <v>0</v>
      </c>
      <c r="EDH887" t="s">
        <v>5265</v>
      </c>
      <c r="EDI887">
        <v>1</v>
      </c>
    </row>
    <row r="888" spans="2:837 2538:2553 3491:3493" x14ac:dyDescent="0.3">
      <c r="B888" t="s">
        <v>4373</v>
      </c>
      <c r="AEW888">
        <v>1</v>
      </c>
      <c r="CSW888">
        <v>1</v>
      </c>
      <c r="EDG888">
        <f>SUMPRODUCT(Constraint_882,Decision_variables)</f>
        <v>0</v>
      </c>
      <c r="EDH888" t="s">
        <v>5265</v>
      </c>
      <c r="EDI888">
        <v>1</v>
      </c>
    </row>
    <row r="889" spans="2:837 2538:2553 3491:3493" x14ac:dyDescent="0.3">
      <c r="B889" t="s">
        <v>4374</v>
      </c>
      <c r="AEX889">
        <v>1</v>
      </c>
      <c r="CSX889">
        <v>1</v>
      </c>
      <c r="EDG889">
        <f>SUMPRODUCT(Constraint_883,Decision_variables)</f>
        <v>0</v>
      </c>
      <c r="EDH889" t="s">
        <v>5265</v>
      </c>
      <c r="EDI889">
        <v>1</v>
      </c>
    </row>
    <row r="890" spans="2:837 2538:2553 3491:3493" x14ac:dyDescent="0.3">
      <c r="B890" t="s">
        <v>4375</v>
      </c>
      <c r="AEY890">
        <v>1</v>
      </c>
      <c r="CSY890">
        <v>1</v>
      </c>
      <c r="EDG890">
        <f>SUMPRODUCT(Constraint_884,Decision_variables)</f>
        <v>0</v>
      </c>
      <c r="EDH890" t="s">
        <v>5265</v>
      </c>
      <c r="EDI890">
        <v>1</v>
      </c>
    </row>
    <row r="891" spans="2:837 2538:2553 3491:3493" x14ac:dyDescent="0.3">
      <c r="B891" t="s">
        <v>4376</v>
      </c>
      <c r="AEZ891">
        <v>1</v>
      </c>
      <c r="CSZ891">
        <v>1</v>
      </c>
      <c r="EDG891">
        <f>SUMPRODUCT(Constraint_885,Decision_variables)</f>
        <v>0</v>
      </c>
      <c r="EDH891" t="s">
        <v>5265</v>
      </c>
      <c r="EDI891">
        <v>1</v>
      </c>
    </row>
    <row r="892" spans="2:837 2538:2553 3491:3493" x14ac:dyDescent="0.3">
      <c r="B892" t="s">
        <v>4377</v>
      </c>
      <c r="AFA892">
        <v>1</v>
      </c>
      <c r="CTA892">
        <v>1</v>
      </c>
      <c r="EDG892">
        <f>SUMPRODUCT(Constraint_886,Decision_variables)</f>
        <v>0</v>
      </c>
      <c r="EDH892" t="s">
        <v>5265</v>
      </c>
      <c r="EDI892">
        <v>1</v>
      </c>
    </row>
    <row r="893" spans="2:837 2538:2553 3491:3493" x14ac:dyDescent="0.3">
      <c r="B893" t="s">
        <v>4378</v>
      </c>
      <c r="AFB893">
        <v>1</v>
      </c>
      <c r="CTB893">
        <v>1</v>
      </c>
      <c r="EDG893">
        <f>SUMPRODUCT(Constraint_887,Decision_variables)</f>
        <v>0</v>
      </c>
      <c r="EDH893" t="s">
        <v>5265</v>
      </c>
      <c r="EDI893">
        <v>1</v>
      </c>
    </row>
    <row r="894" spans="2:837 2538:2553 3491:3493" x14ac:dyDescent="0.3">
      <c r="B894" t="s">
        <v>4379</v>
      </c>
      <c r="AFC894">
        <v>1</v>
      </c>
      <c r="CTC894">
        <v>1</v>
      </c>
      <c r="EDG894">
        <f>SUMPRODUCT(Constraint_888,Decision_variables)</f>
        <v>0</v>
      </c>
      <c r="EDH894" t="s">
        <v>5265</v>
      </c>
      <c r="EDI894">
        <v>1</v>
      </c>
    </row>
    <row r="895" spans="2:837 2538:2553 3491:3493" x14ac:dyDescent="0.3">
      <c r="B895" t="s">
        <v>4380</v>
      </c>
      <c r="AFD895">
        <v>1</v>
      </c>
      <c r="CTD895">
        <v>1</v>
      </c>
      <c r="EDG895">
        <f>SUMPRODUCT(Constraint_889,Decision_variables)</f>
        <v>0</v>
      </c>
      <c r="EDH895" t="s">
        <v>5265</v>
      </c>
      <c r="EDI895">
        <v>1</v>
      </c>
    </row>
    <row r="896" spans="2:837 2538:2553 3491:3493" x14ac:dyDescent="0.3">
      <c r="B896" t="s">
        <v>4381</v>
      </c>
      <c r="AFE896">
        <v>1</v>
      </c>
      <c r="CTE896">
        <v>1</v>
      </c>
      <c r="EDG896">
        <f>SUMPRODUCT(Constraint_890,Decision_variables)</f>
        <v>0</v>
      </c>
      <c r="EDH896" t="s">
        <v>5265</v>
      </c>
      <c r="EDI896">
        <v>1</v>
      </c>
    </row>
    <row r="897" spans="2:853 2554:2569 3491:3493" x14ac:dyDescent="0.3">
      <c r="B897" t="s">
        <v>4382</v>
      </c>
      <c r="AFF897">
        <v>1</v>
      </c>
      <c r="CTF897">
        <v>1</v>
      </c>
      <c r="EDG897">
        <f>SUMPRODUCT(Constraint_891,Decision_variables)</f>
        <v>0</v>
      </c>
      <c r="EDH897" t="s">
        <v>5265</v>
      </c>
      <c r="EDI897">
        <v>1</v>
      </c>
    </row>
    <row r="898" spans="2:853 2554:2569 3491:3493" x14ac:dyDescent="0.3">
      <c r="B898" t="s">
        <v>4383</v>
      </c>
      <c r="AFG898">
        <v>1</v>
      </c>
      <c r="CTG898">
        <v>1</v>
      </c>
      <c r="EDG898">
        <f>SUMPRODUCT(Constraint_892,Decision_variables)</f>
        <v>0</v>
      </c>
      <c r="EDH898" t="s">
        <v>5265</v>
      </c>
      <c r="EDI898">
        <v>1</v>
      </c>
    </row>
    <row r="899" spans="2:853 2554:2569 3491:3493" x14ac:dyDescent="0.3">
      <c r="B899" t="s">
        <v>4384</v>
      </c>
      <c r="AFH899">
        <v>1</v>
      </c>
      <c r="CTH899">
        <v>1</v>
      </c>
      <c r="EDG899">
        <f>SUMPRODUCT(Constraint_893,Decision_variables)</f>
        <v>0</v>
      </c>
      <c r="EDH899" t="s">
        <v>5265</v>
      </c>
      <c r="EDI899">
        <v>1</v>
      </c>
    </row>
    <row r="900" spans="2:853 2554:2569 3491:3493" x14ac:dyDescent="0.3">
      <c r="B900" t="s">
        <v>4385</v>
      </c>
      <c r="AFI900">
        <v>1</v>
      </c>
      <c r="CTI900">
        <v>1</v>
      </c>
      <c r="EDG900">
        <f>SUMPRODUCT(Constraint_894,Decision_variables)</f>
        <v>0</v>
      </c>
      <c r="EDH900" t="s">
        <v>5265</v>
      </c>
      <c r="EDI900">
        <v>1</v>
      </c>
    </row>
    <row r="901" spans="2:853 2554:2569 3491:3493" x14ac:dyDescent="0.3">
      <c r="B901" t="s">
        <v>4386</v>
      </c>
      <c r="AFJ901">
        <v>1</v>
      </c>
      <c r="CTJ901">
        <v>1</v>
      </c>
      <c r="EDG901">
        <f>SUMPRODUCT(Constraint_895,Decision_variables)</f>
        <v>0</v>
      </c>
      <c r="EDH901" t="s">
        <v>5265</v>
      </c>
      <c r="EDI901">
        <v>1</v>
      </c>
    </row>
    <row r="902" spans="2:853 2554:2569 3491:3493" x14ac:dyDescent="0.3">
      <c r="B902" t="s">
        <v>4387</v>
      </c>
      <c r="AFK902">
        <v>1</v>
      </c>
      <c r="CTK902">
        <v>1</v>
      </c>
      <c r="EDG902">
        <f>SUMPRODUCT(Constraint_896,Decision_variables)</f>
        <v>0</v>
      </c>
      <c r="EDH902" t="s">
        <v>5265</v>
      </c>
      <c r="EDI902">
        <v>1</v>
      </c>
    </row>
    <row r="903" spans="2:853 2554:2569 3491:3493" x14ac:dyDescent="0.3">
      <c r="B903" t="s">
        <v>4388</v>
      </c>
      <c r="AFL903">
        <v>1</v>
      </c>
      <c r="CTL903">
        <v>1</v>
      </c>
      <c r="EDG903">
        <f>SUMPRODUCT(Constraint_897,Decision_variables)</f>
        <v>0</v>
      </c>
      <c r="EDH903" t="s">
        <v>5265</v>
      </c>
      <c r="EDI903">
        <v>1</v>
      </c>
    </row>
    <row r="904" spans="2:853 2554:2569 3491:3493" x14ac:dyDescent="0.3">
      <c r="B904" t="s">
        <v>4389</v>
      </c>
      <c r="AFM904">
        <v>1</v>
      </c>
      <c r="CTM904">
        <v>1</v>
      </c>
      <c r="EDG904">
        <f>SUMPRODUCT(Constraint_898,Decision_variables)</f>
        <v>0</v>
      </c>
      <c r="EDH904" t="s">
        <v>5265</v>
      </c>
      <c r="EDI904">
        <v>1</v>
      </c>
    </row>
    <row r="905" spans="2:853 2554:2569 3491:3493" x14ac:dyDescent="0.3">
      <c r="B905" t="s">
        <v>4390</v>
      </c>
      <c r="AFN905">
        <v>1</v>
      </c>
      <c r="CTN905">
        <v>1</v>
      </c>
      <c r="EDG905">
        <f>SUMPRODUCT(Constraint_899,Decision_variables)</f>
        <v>0</v>
      </c>
      <c r="EDH905" t="s">
        <v>5265</v>
      </c>
      <c r="EDI905">
        <v>1</v>
      </c>
    </row>
    <row r="906" spans="2:853 2554:2569 3491:3493" x14ac:dyDescent="0.3">
      <c r="B906" t="s">
        <v>4391</v>
      </c>
      <c r="AFO906">
        <v>1</v>
      </c>
      <c r="CTO906">
        <v>1</v>
      </c>
      <c r="EDG906">
        <f>SUMPRODUCT(Constraint_900,Decision_variables)</f>
        <v>0</v>
      </c>
      <c r="EDH906" t="s">
        <v>5265</v>
      </c>
      <c r="EDI906">
        <v>1</v>
      </c>
    </row>
    <row r="907" spans="2:853 2554:2569 3491:3493" x14ac:dyDescent="0.3">
      <c r="B907" t="s">
        <v>4392</v>
      </c>
      <c r="AFP907">
        <v>1</v>
      </c>
      <c r="CTP907">
        <v>1</v>
      </c>
      <c r="EDG907">
        <f>SUMPRODUCT(Constraint_901,Decision_variables)</f>
        <v>0</v>
      </c>
      <c r="EDH907" t="s">
        <v>5265</v>
      </c>
      <c r="EDI907">
        <v>1</v>
      </c>
    </row>
    <row r="908" spans="2:853 2554:2569 3491:3493" x14ac:dyDescent="0.3">
      <c r="B908" t="s">
        <v>4393</v>
      </c>
      <c r="AFQ908">
        <v>1</v>
      </c>
      <c r="CTQ908">
        <v>1</v>
      </c>
      <c r="EDG908">
        <f>SUMPRODUCT(Constraint_902,Decision_variables)</f>
        <v>0</v>
      </c>
      <c r="EDH908" t="s">
        <v>5265</v>
      </c>
      <c r="EDI908">
        <v>1</v>
      </c>
    </row>
    <row r="909" spans="2:853 2554:2569 3491:3493" x14ac:dyDescent="0.3">
      <c r="B909" t="s">
        <v>4394</v>
      </c>
      <c r="AFR909">
        <v>1</v>
      </c>
      <c r="CTR909">
        <v>1</v>
      </c>
      <c r="EDG909">
        <f>SUMPRODUCT(Constraint_903,Decision_variables)</f>
        <v>0</v>
      </c>
      <c r="EDH909" t="s">
        <v>5265</v>
      </c>
      <c r="EDI909">
        <v>1</v>
      </c>
    </row>
    <row r="910" spans="2:853 2554:2569 3491:3493" x14ac:dyDescent="0.3">
      <c r="B910" t="s">
        <v>4395</v>
      </c>
      <c r="AFS910">
        <v>1</v>
      </c>
      <c r="CTS910">
        <v>1</v>
      </c>
      <c r="EDG910">
        <f>SUMPRODUCT(Constraint_904,Decision_variables)</f>
        <v>0</v>
      </c>
      <c r="EDH910" t="s">
        <v>5265</v>
      </c>
      <c r="EDI910">
        <v>1</v>
      </c>
    </row>
    <row r="911" spans="2:853 2554:2569 3491:3493" x14ac:dyDescent="0.3">
      <c r="B911" t="s">
        <v>4396</v>
      </c>
      <c r="AFT911">
        <v>1</v>
      </c>
      <c r="CTT911">
        <v>1</v>
      </c>
      <c r="EDG911">
        <f>SUMPRODUCT(Constraint_905,Decision_variables)</f>
        <v>0</v>
      </c>
      <c r="EDH911" t="s">
        <v>5265</v>
      </c>
      <c r="EDI911">
        <v>1</v>
      </c>
    </row>
    <row r="912" spans="2:853 2554:2569 3491:3493" x14ac:dyDescent="0.3">
      <c r="B912" t="s">
        <v>4397</v>
      </c>
      <c r="AFU912">
        <v>1</v>
      </c>
      <c r="CTU912">
        <v>1</v>
      </c>
      <c r="EDG912">
        <f>SUMPRODUCT(Constraint_906,Decision_variables)</f>
        <v>0</v>
      </c>
      <c r="EDH912" t="s">
        <v>5265</v>
      </c>
      <c r="EDI912">
        <v>1</v>
      </c>
    </row>
    <row r="913" spans="2:869 2570:2585 3491:3493" x14ac:dyDescent="0.3">
      <c r="B913" t="s">
        <v>4398</v>
      </c>
      <c r="AFV913">
        <v>1</v>
      </c>
      <c r="CTV913">
        <v>1</v>
      </c>
      <c r="EDG913">
        <f>SUMPRODUCT(Constraint_907,Decision_variables)</f>
        <v>0</v>
      </c>
      <c r="EDH913" t="s">
        <v>5265</v>
      </c>
      <c r="EDI913">
        <v>1</v>
      </c>
    </row>
    <row r="914" spans="2:869 2570:2585 3491:3493" x14ac:dyDescent="0.3">
      <c r="B914" t="s">
        <v>4399</v>
      </c>
      <c r="AFW914">
        <v>1</v>
      </c>
      <c r="CTW914">
        <v>1</v>
      </c>
      <c r="EDG914">
        <f>SUMPRODUCT(Constraint_908,Decision_variables)</f>
        <v>0</v>
      </c>
      <c r="EDH914" t="s">
        <v>5265</v>
      </c>
      <c r="EDI914">
        <v>1</v>
      </c>
    </row>
    <row r="915" spans="2:869 2570:2585 3491:3493" x14ac:dyDescent="0.3">
      <c r="B915" t="s">
        <v>4400</v>
      </c>
      <c r="AFX915">
        <v>1</v>
      </c>
      <c r="CTX915">
        <v>1</v>
      </c>
      <c r="EDG915">
        <f>SUMPRODUCT(Constraint_909,Decision_variables)</f>
        <v>0</v>
      </c>
      <c r="EDH915" t="s">
        <v>5265</v>
      </c>
      <c r="EDI915">
        <v>1</v>
      </c>
    </row>
    <row r="916" spans="2:869 2570:2585 3491:3493" x14ac:dyDescent="0.3">
      <c r="B916" t="s">
        <v>4401</v>
      </c>
      <c r="AFY916">
        <v>1</v>
      </c>
      <c r="CTY916">
        <v>1</v>
      </c>
      <c r="EDG916">
        <f>SUMPRODUCT(Constraint_910,Decision_variables)</f>
        <v>0</v>
      </c>
      <c r="EDH916" t="s">
        <v>5265</v>
      </c>
      <c r="EDI916">
        <v>1</v>
      </c>
    </row>
    <row r="917" spans="2:869 2570:2585 3491:3493" x14ac:dyDescent="0.3">
      <c r="B917" t="s">
        <v>4402</v>
      </c>
      <c r="AFZ917">
        <v>1</v>
      </c>
      <c r="CTZ917">
        <v>1</v>
      </c>
      <c r="EDG917">
        <f>SUMPRODUCT(Constraint_911,Decision_variables)</f>
        <v>0</v>
      </c>
      <c r="EDH917" t="s">
        <v>5265</v>
      </c>
      <c r="EDI917">
        <v>1</v>
      </c>
    </row>
    <row r="918" spans="2:869 2570:2585 3491:3493" x14ac:dyDescent="0.3">
      <c r="B918" t="s">
        <v>4403</v>
      </c>
      <c r="AGA918">
        <v>1</v>
      </c>
      <c r="CUA918">
        <v>1</v>
      </c>
      <c r="EDG918">
        <f>SUMPRODUCT(Constraint_912,Decision_variables)</f>
        <v>0</v>
      </c>
      <c r="EDH918" t="s">
        <v>5265</v>
      </c>
      <c r="EDI918">
        <v>1</v>
      </c>
    </row>
    <row r="919" spans="2:869 2570:2585 3491:3493" x14ac:dyDescent="0.3">
      <c r="B919" t="s">
        <v>4404</v>
      </c>
      <c r="AGB919">
        <v>1</v>
      </c>
      <c r="CUB919">
        <v>1</v>
      </c>
      <c r="EDG919">
        <f>SUMPRODUCT(Constraint_913,Decision_variables)</f>
        <v>0</v>
      </c>
      <c r="EDH919" t="s">
        <v>5265</v>
      </c>
      <c r="EDI919">
        <v>1</v>
      </c>
    </row>
    <row r="920" spans="2:869 2570:2585 3491:3493" x14ac:dyDescent="0.3">
      <c r="B920" t="s">
        <v>4405</v>
      </c>
      <c r="AGC920">
        <v>1</v>
      </c>
      <c r="CUC920">
        <v>1</v>
      </c>
      <c r="EDG920">
        <f>SUMPRODUCT(Constraint_914,Decision_variables)</f>
        <v>0</v>
      </c>
      <c r="EDH920" t="s">
        <v>5265</v>
      </c>
      <c r="EDI920">
        <v>1</v>
      </c>
    </row>
    <row r="921" spans="2:869 2570:2585 3491:3493" x14ac:dyDescent="0.3">
      <c r="B921" t="s">
        <v>4406</v>
      </c>
      <c r="AGD921">
        <v>1</v>
      </c>
      <c r="CUD921">
        <v>1</v>
      </c>
      <c r="EDG921">
        <f>SUMPRODUCT(Constraint_915,Decision_variables)</f>
        <v>0</v>
      </c>
      <c r="EDH921" t="s">
        <v>5265</v>
      </c>
      <c r="EDI921">
        <v>1</v>
      </c>
    </row>
    <row r="922" spans="2:869 2570:2585 3491:3493" x14ac:dyDescent="0.3">
      <c r="B922" t="s">
        <v>4407</v>
      </c>
      <c r="AGE922">
        <v>1</v>
      </c>
      <c r="CUE922">
        <v>1</v>
      </c>
      <c r="EDG922">
        <f>SUMPRODUCT(Constraint_916,Decision_variables)</f>
        <v>0</v>
      </c>
      <c r="EDH922" t="s">
        <v>5265</v>
      </c>
      <c r="EDI922">
        <v>1</v>
      </c>
    </row>
    <row r="923" spans="2:869 2570:2585 3491:3493" x14ac:dyDescent="0.3">
      <c r="B923" t="s">
        <v>4408</v>
      </c>
      <c r="AGF923">
        <v>1</v>
      </c>
      <c r="CUF923">
        <v>1</v>
      </c>
      <c r="EDG923">
        <f>SUMPRODUCT(Constraint_917,Decision_variables)</f>
        <v>0</v>
      </c>
      <c r="EDH923" t="s">
        <v>5265</v>
      </c>
      <c r="EDI923">
        <v>1</v>
      </c>
    </row>
    <row r="924" spans="2:869 2570:2585 3491:3493" x14ac:dyDescent="0.3">
      <c r="B924" t="s">
        <v>4409</v>
      </c>
      <c r="AGG924">
        <v>1</v>
      </c>
      <c r="CUG924">
        <v>1</v>
      </c>
      <c r="EDG924">
        <f>SUMPRODUCT(Constraint_918,Decision_variables)</f>
        <v>0</v>
      </c>
      <c r="EDH924" t="s">
        <v>5265</v>
      </c>
      <c r="EDI924">
        <v>1</v>
      </c>
    </row>
    <row r="925" spans="2:869 2570:2585 3491:3493" x14ac:dyDescent="0.3">
      <c r="B925" t="s">
        <v>4410</v>
      </c>
      <c r="AGH925">
        <v>1</v>
      </c>
      <c r="CUH925">
        <v>1</v>
      </c>
      <c r="EDG925">
        <f>SUMPRODUCT(Constraint_919,Decision_variables)</f>
        <v>0</v>
      </c>
      <c r="EDH925" t="s">
        <v>5265</v>
      </c>
      <c r="EDI925">
        <v>1</v>
      </c>
    </row>
    <row r="926" spans="2:869 2570:2585 3491:3493" x14ac:dyDescent="0.3">
      <c r="B926" t="s">
        <v>4411</v>
      </c>
      <c r="AGI926">
        <v>1</v>
      </c>
      <c r="CUI926">
        <v>1</v>
      </c>
      <c r="EDG926">
        <f>SUMPRODUCT(Constraint_920,Decision_variables)</f>
        <v>0</v>
      </c>
      <c r="EDH926" t="s">
        <v>5265</v>
      </c>
      <c r="EDI926">
        <v>1</v>
      </c>
    </row>
    <row r="927" spans="2:869 2570:2585 3491:3493" x14ac:dyDescent="0.3">
      <c r="B927" t="s">
        <v>4412</v>
      </c>
      <c r="AGJ927">
        <v>1</v>
      </c>
      <c r="CUJ927">
        <v>1</v>
      </c>
      <c r="EDG927">
        <f>SUMPRODUCT(Constraint_921,Decision_variables)</f>
        <v>0</v>
      </c>
      <c r="EDH927" t="s">
        <v>5265</v>
      </c>
      <c r="EDI927">
        <v>1</v>
      </c>
    </row>
    <row r="928" spans="2:869 2570:2585 3491:3493" x14ac:dyDescent="0.3">
      <c r="B928" t="s">
        <v>4413</v>
      </c>
      <c r="AGK928">
        <v>1</v>
      </c>
      <c r="CUK928">
        <v>1</v>
      </c>
      <c r="EDG928">
        <f>SUMPRODUCT(Constraint_922,Decision_variables)</f>
        <v>0</v>
      </c>
      <c r="EDH928" t="s">
        <v>5265</v>
      </c>
      <c r="EDI928">
        <v>1</v>
      </c>
    </row>
    <row r="929" spans="2:885 2586:2601 3491:3493" x14ac:dyDescent="0.3">
      <c r="B929" t="s">
        <v>4414</v>
      </c>
      <c r="AGL929">
        <v>1</v>
      </c>
      <c r="CUL929">
        <v>1</v>
      </c>
      <c r="EDG929">
        <f>SUMPRODUCT(Constraint_923,Decision_variables)</f>
        <v>0</v>
      </c>
      <c r="EDH929" t="s">
        <v>5265</v>
      </c>
      <c r="EDI929">
        <v>1</v>
      </c>
    </row>
    <row r="930" spans="2:885 2586:2601 3491:3493" x14ac:dyDescent="0.3">
      <c r="B930" t="s">
        <v>4415</v>
      </c>
      <c r="AGM930">
        <v>1</v>
      </c>
      <c r="CUM930">
        <v>1</v>
      </c>
      <c r="EDG930">
        <f>SUMPRODUCT(Constraint_924,Decision_variables)</f>
        <v>0</v>
      </c>
      <c r="EDH930" t="s">
        <v>5265</v>
      </c>
      <c r="EDI930">
        <v>1</v>
      </c>
    </row>
    <row r="931" spans="2:885 2586:2601 3491:3493" x14ac:dyDescent="0.3">
      <c r="B931" t="s">
        <v>4416</v>
      </c>
      <c r="AGN931">
        <v>1</v>
      </c>
      <c r="CUN931">
        <v>1</v>
      </c>
      <c r="EDG931">
        <f>SUMPRODUCT(Constraint_925,Decision_variables)</f>
        <v>0</v>
      </c>
      <c r="EDH931" t="s">
        <v>5265</v>
      </c>
      <c r="EDI931">
        <v>1</v>
      </c>
    </row>
    <row r="932" spans="2:885 2586:2601 3491:3493" x14ac:dyDescent="0.3">
      <c r="B932" t="s">
        <v>4417</v>
      </c>
      <c r="AGO932">
        <v>1</v>
      </c>
      <c r="CUO932">
        <v>1</v>
      </c>
      <c r="EDG932">
        <f>SUMPRODUCT(Constraint_926,Decision_variables)</f>
        <v>0</v>
      </c>
      <c r="EDH932" t="s">
        <v>5265</v>
      </c>
      <c r="EDI932">
        <v>1</v>
      </c>
    </row>
    <row r="933" spans="2:885 2586:2601 3491:3493" x14ac:dyDescent="0.3">
      <c r="B933" t="s">
        <v>4418</v>
      </c>
      <c r="AGP933">
        <v>1</v>
      </c>
      <c r="CUP933">
        <v>1</v>
      </c>
      <c r="EDG933">
        <f>SUMPRODUCT(Constraint_927,Decision_variables)</f>
        <v>0</v>
      </c>
      <c r="EDH933" t="s">
        <v>5265</v>
      </c>
      <c r="EDI933">
        <v>1</v>
      </c>
    </row>
    <row r="934" spans="2:885 2586:2601 3491:3493" x14ac:dyDescent="0.3">
      <c r="B934" t="s">
        <v>4419</v>
      </c>
      <c r="AGQ934">
        <v>1</v>
      </c>
      <c r="CUQ934">
        <v>1</v>
      </c>
      <c r="EDG934">
        <f>SUMPRODUCT(Constraint_928,Decision_variables)</f>
        <v>0</v>
      </c>
      <c r="EDH934" t="s">
        <v>5265</v>
      </c>
      <c r="EDI934">
        <v>1</v>
      </c>
    </row>
    <row r="935" spans="2:885 2586:2601 3491:3493" x14ac:dyDescent="0.3">
      <c r="B935" t="s">
        <v>4420</v>
      </c>
      <c r="AGR935">
        <v>1</v>
      </c>
      <c r="CUR935">
        <v>1</v>
      </c>
      <c r="EDG935">
        <f>SUMPRODUCT(Constraint_929,Decision_variables)</f>
        <v>0</v>
      </c>
      <c r="EDH935" t="s">
        <v>5265</v>
      </c>
      <c r="EDI935">
        <v>1</v>
      </c>
    </row>
    <row r="936" spans="2:885 2586:2601 3491:3493" x14ac:dyDescent="0.3">
      <c r="B936" t="s">
        <v>4421</v>
      </c>
      <c r="AGS936">
        <v>1</v>
      </c>
      <c r="CUS936">
        <v>1</v>
      </c>
      <c r="EDG936">
        <f>SUMPRODUCT(Constraint_930,Decision_variables)</f>
        <v>0</v>
      </c>
      <c r="EDH936" t="s">
        <v>5265</v>
      </c>
      <c r="EDI936">
        <v>1</v>
      </c>
    </row>
    <row r="937" spans="2:885 2586:2601 3491:3493" x14ac:dyDescent="0.3">
      <c r="B937" t="s">
        <v>4422</v>
      </c>
      <c r="AGT937">
        <v>1</v>
      </c>
      <c r="CUT937">
        <v>1</v>
      </c>
      <c r="EDG937">
        <f>SUMPRODUCT(Constraint_931,Decision_variables)</f>
        <v>0</v>
      </c>
      <c r="EDH937" t="s">
        <v>5265</v>
      </c>
      <c r="EDI937">
        <v>1</v>
      </c>
    </row>
    <row r="938" spans="2:885 2586:2601 3491:3493" x14ac:dyDescent="0.3">
      <c r="B938" t="s">
        <v>4423</v>
      </c>
      <c r="AGU938">
        <v>1</v>
      </c>
      <c r="CUU938">
        <v>1</v>
      </c>
      <c r="EDG938">
        <f>SUMPRODUCT(Constraint_932,Decision_variables)</f>
        <v>0</v>
      </c>
      <c r="EDH938" t="s">
        <v>5265</v>
      </c>
      <c r="EDI938">
        <v>1</v>
      </c>
    </row>
    <row r="939" spans="2:885 2586:2601 3491:3493" x14ac:dyDescent="0.3">
      <c r="B939" t="s">
        <v>4424</v>
      </c>
      <c r="AGV939">
        <v>1</v>
      </c>
      <c r="CUV939">
        <v>1</v>
      </c>
      <c r="EDG939">
        <f>SUMPRODUCT(Constraint_933,Decision_variables)</f>
        <v>0</v>
      </c>
      <c r="EDH939" t="s">
        <v>5265</v>
      </c>
      <c r="EDI939">
        <v>1</v>
      </c>
    </row>
    <row r="940" spans="2:885 2586:2601 3491:3493" x14ac:dyDescent="0.3">
      <c r="B940" t="s">
        <v>4425</v>
      </c>
      <c r="AGW940">
        <v>1</v>
      </c>
      <c r="CUW940">
        <v>1</v>
      </c>
      <c r="EDG940">
        <f>SUMPRODUCT(Constraint_934,Decision_variables)</f>
        <v>0</v>
      </c>
      <c r="EDH940" t="s">
        <v>5265</v>
      </c>
      <c r="EDI940">
        <v>1</v>
      </c>
    </row>
    <row r="941" spans="2:885 2586:2601 3491:3493" x14ac:dyDescent="0.3">
      <c r="B941" t="s">
        <v>4426</v>
      </c>
      <c r="AGX941">
        <v>1</v>
      </c>
      <c r="CUX941">
        <v>1</v>
      </c>
      <c r="EDG941">
        <f>SUMPRODUCT(Constraint_935,Decision_variables)</f>
        <v>0</v>
      </c>
      <c r="EDH941" t="s">
        <v>5265</v>
      </c>
      <c r="EDI941">
        <v>1</v>
      </c>
    </row>
    <row r="942" spans="2:885 2586:2601 3491:3493" x14ac:dyDescent="0.3">
      <c r="B942" t="s">
        <v>4427</v>
      </c>
      <c r="AGY942">
        <v>1</v>
      </c>
      <c r="CUY942">
        <v>1</v>
      </c>
      <c r="EDG942">
        <f>SUMPRODUCT(Constraint_936,Decision_variables)</f>
        <v>0</v>
      </c>
      <c r="EDH942" t="s">
        <v>5265</v>
      </c>
      <c r="EDI942">
        <v>1</v>
      </c>
    </row>
    <row r="943" spans="2:885 2586:2601 3491:3493" x14ac:dyDescent="0.3">
      <c r="B943" t="s">
        <v>4428</v>
      </c>
      <c r="AGZ943">
        <v>1</v>
      </c>
      <c r="CUZ943">
        <v>1</v>
      </c>
      <c r="EDG943">
        <f>SUMPRODUCT(Constraint_937,Decision_variables)</f>
        <v>0</v>
      </c>
      <c r="EDH943" t="s">
        <v>5265</v>
      </c>
      <c r="EDI943">
        <v>1</v>
      </c>
    </row>
    <row r="944" spans="2:885 2586:2601 3491:3493" x14ac:dyDescent="0.3">
      <c r="B944" t="s">
        <v>4429</v>
      </c>
      <c r="AHA944">
        <v>1</v>
      </c>
      <c r="CVA944">
        <v>1</v>
      </c>
      <c r="EDG944">
        <f>SUMPRODUCT(Constraint_938,Decision_variables)</f>
        <v>0</v>
      </c>
      <c r="EDH944" t="s">
        <v>5265</v>
      </c>
      <c r="EDI944">
        <v>1</v>
      </c>
    </row>
    <row r="945" spans="2:901 2602:2617 3491:3493" x14ac:dyDescent="0.3">
      <c r="B945" t="s">
        <v>4430</v>
      </c>
      <c r="AHB945">
        <v>1</v>
      </c>
      <c r="CVB945">
        <v>1</v>
      </c>
      <c r="EDG945">
        <f>SUMPRODUCT(Constraint_939,Decision_variables)</f>
        <v>0</v>
      </c>
      <c r="EDH945" t="s">
        <v>5265</v>
      </c>
      <c r="EDI945">
        <v>1</v>
      </c>
    </row>
    <row r="946" spans="2:901 2602:2617 3491:3493" x14ac:dyDescent="0.3">
      <c r="B946" t="s">
        <v>4431</v>
      </c>
      <c r="AHC946">
        <v>1</v>
      </c>
      <c r="CVC946">
        <v>1</v>
      </c>
      <c r="EDG946">
        <f>SUMPRODUCT(Constraint_940,Decision_variables)</f>
        <v>0</v>
      </c>
      <c r="EDH946" t="s">
        <v>5265</v>
      </c>
      <c r="EDI946">
        <v>1</v>
      </c>
    </row>
    <row r="947" spans="2:901 2602:2617 3491:3493" x14ac:dyDescent="0.3">
      <c r="B947" t="s">
        <v>4432</v>
      </c>
      <c r="AHD947">
        <v>1</v>
      </c>
      <c r="CVD947">
        <v>1</v>
      </c>
      <c r="EDG947">
        <f>SUMPRODUCT(Constraint_941,Decision_variables)</f>
        <v>0</v>
      </c>
      <c r="EDH947" t="s">
        <v>5265</v>
      </c>
      <c r="EDI947">
        <v>1</v>
      </c>
    </row>
    <row r="948" spans="2:901 2602:2617 3491:3493" x14ac:dyDescent="0.3">
      <c r="B948" t="s">
        <v>4433</v>
      </c>
      <c r="AHE948">
        <v>1</v>
      </c>
      <c r="CVE948">
        <v>1</v>
      </c>
      <c r="EDG948">
        <f>SUMPRODUCT(Constraint_942,Decision_variables)</f>
        <v>0</v>
      </c>
      <c r="EDH948" t="s">
        <v>5265</v>
      </c>
      <c r="EDI948">
        <v>1</v>
      </c>
    </row>
    <row r="949" spans="2:901 2602:2617 3491:3493" x14ac:dyDescent="0.3">
      <c r="B949" t="s">
        <v>4434</v>
      </c>
      <c r="AHF949">
        <v>1</v>
      </c>
      <c r="CVF949">
        <v>1</v>
      </c>
      <c r="EDG949">
        <f>SUMPRODUCT(Constraint_943,Decision_variables)</f>
        <v>0</v>
      </c>
      <c r="EDH949" t="s">
        <v>5265</v>
      </c>
      <c r="EDI949">
        <v>1</v>
      </c>
    </row>
    <row r="950" spans="2:901 2602:2617 3491:3493" x14ac:dyDescent="0.3">
      <c r="B950" t="s">
        <v>4435</v>
      </c>
      <c r="AHG950">
        <v>1</v>
      </c>
      <c r="CVG950">
        <v>1</v>
      </c>
      <c r="EDG950">
        <f>SUMPRODUCT(Constraint_944,Decision_variables)</f>
        <v>0</v>
      </c>
      <c r="EDH950" t="s">
        <v>5265</v>
      </c>
      <c r="EDI950">
        <v>1</v>
      </c>
    </row>
    <row r="951" spans="2:901 2602:2617 3491:3493" x14ac:dyDescent="0.3">
      <c r="B951" t="s">
        <v>4436</v>
      </c>
      <c r="AHH951">
        <v>1</v>
      </c>
      <c r="CVH951">
        <v>1</v>
      </c>
      <c r="EDG951">
        <f>SUMPRODUCT(Constraint_945,Decision_variables)</f>
        <v>0</v>
      </c>
      <c r="EDH951" t="s">
        <v>5265</v>
      </c>
      <c r="EDI951">
        <v>1</v>
      </c>
    </row>
    <row r="952" spans="2:901 2602:2617 3491:3493" x14ac:dyDescent="0.3">
      <c r="B952" t="s">
        <v>4437</v>
      </c>
      <c r="AHI952">
        <v>1</v>
      </c>
      <c r="CVI952">
        <v>1</v>
      </c>
      <c r="EDG952">
        <f>SUMPRODUCT(Constraint_946,Decision_variables)</f>
        <v>0</v>
      </c>
      <c r="EDH952" t="s">
        <v>5265</v>
      </c>
      <c r="EDI952">
        <v>1</v>
      </c>
    </row>
    <row r="953" spans="2:901 2602:2617 3491:3493" x14ac:dyDescent="0.3">
      <c r="B953" t="s">
        <v>4438</v>
      </c>
      <c r="AHJ953">
        <v>1</v>
      </c>
      <c r="CVJ953">
        <v>1</v>
      </c>
      <c r="EDG953">
        <f>SUMPRODUCT(Constraint_947,Decision_variables)</f>
        <v>0</v>
      </c>
      <c r="EDH953" t="s">
        <v>5265</v>
      </c>
      <c r="EDI953">
        <v>1</v>
      </c>
    </row>
    <row r="954" spans="2:901 2602:2617 3491:3493" x14ac:dyDescent="0.3">
      <c r="B954" t="s">
        <v>4439</v>
      </c>
      <c r="AHK954">
        <v>1</v>
      </c>
      <c r="CVK954">
        <v>1</v>
      </c>
      <c r="EDG954">
        <f>SUMPRODUCT(Constraint_948,Decision_variables)</f>
        <v>0</v>
      </c>
      <c r="EDH954" t="s">
        <v>5265</v>
      </c>
      <c r="EDI954">
        <v>1</v>
      </c>
    </row>
    <row r="955" spans="2:901 2602:2617 3491:3493" x14ac:dyDescent="0.3">
      <c r="B955" t="s">
        <v>4440</v>
      </c>
      <c r="AHL955">
        <v>1</v>
      </c>
      <c r="CVL955">
        <v>1</v>
      </c>
      <c r="EDG955">
        <f>SUMPRODUCT(Constraint_949,Decision_variables)</f>
        <v>0</v>
      </c>
      <c r="EDH955" t="s">
        <v>5265</v>
      </c>
      <c r="EDI955">
        <v>1</v>
      </c>
    </row>
    <row r="956" spans="2:901 2602:2617 3491:3493" x14ac:dyDescent="0.3">
      <c r="B956" t="s">
        <v>4441</v>
      </c>
      <c r="AHM956">
        <v>1</v>
      </c>
      <c r="CVM956">
        <v>1</v>
      </c>
      <c r="EDG956">
        <f>SUMPRODUCT(Constraint_950,Decision_variables)</f>
        <v>0</v>
      </c>
      <c r="EDH956" t="s">
        <v>5265</v>
      </c>
      <c r="EDI956">
        <v>1</v>
      </c>
    </row>
    <row r="957" spans="2:901 2602:2617 3491:3493" x14ac:dyDescent="0.3">
      <c r="B957" t="s">
        <v>4442</v>
      </c>
      <c r="AHN957">
        <v>1</v>
      </c>
      <c r="CVN957">
        <v>1</v>
      </c>
      <c r="EDG957">
        <f>SUMPRODUCT(Constraint_951,Decision_variables)</f>
        <v>0</v>
      </c>
      <c r="EDH957" t="s">
        <v>5265</v>
      </c>
      <c r="EDI957">
        <v>1</v>
      </c>
    </row>
    <row r="958" spans="2:901 2602:2617 3491:3493" x14ac:dyDescent="0.3">
      <c r="B958" t="s">
        <v>4443</v>
      </c>
      <c r="AHO958">
        <v>1</v>
      </c>
      <c r="CVO958">
        <v>1</v>
      </c>
      <c r="EDG958">
        <f>SUMPRODUCT(Constraint_952,Decision_variables)</f>
        <v>0</v>
      </c>
      <c r="EDH958" t="s">
        <v>5265</v>
      </c>
      <c r="EDI958">
        <v>1</v>
      </c>
    </row>
    <row r="959" spans="2:901 2602:2617 3491:3493" x14ac:dyDescent="0.3">
      <c r="B959" t="s">
        <v>4444</v>
      </c>
      <c r="AHP959">
        <v>1</v>
      </c>
      <c r="CVP959">
        <v>1</v>
      </c>
      <c r="EDG959">
        <f>SUMPRODUCT(Constraint_953,Decision_variables)</f>
        <v>0</v>
      </c>
      <c r="EDH959" t="s">
        <v>5265</v>
      </c>
      <c r="EDI959">
        <v>1</v>
      </c>
    </row>
    <row r="960" spans="2:901 2602:2617 3491:3493" x14ac:dyDescent="0.3">
      <c r="B960" t="s">
        <v>4445</v>
      </c>
      <c r="AHQ960">
        <v>1</v>
      </c>
      <c r="CVQ960">
        <v>1</v>
      </c>
      <c r="EDG960">
        <f>SUMPRODUCT(Constraint_954,Decision_variables)</f>
        <v>0</v>
      </c>
      <c r="EDH960" t="s">
        <v>5265</v>
      </c>
      <c r="EDI960">
        <v>1</v>
      </c>
    </row>
    <row r="961" spans="2:917 2618:2633 3491:3493" x14ac:dyDescent="0.3">
      <c r="B961" t="s">
        <v>4446</v>
      </c>
      <c r="AHR961">
        <v>1</v>
      </c>
      <c r="CVR961">
        <v>1</v>
      </c>
      <c r="EDG961">
        <f>SUMPRODUCT(Constraint_955,Decision_variables)</f>
        <v>0</v>
      </c>
      <c r="EDH961" t="s">
        <v>5265</v>
      </c>
      <c r="EDI961">
        <v>1</v>
      </c>
    </row>
    <row r="962" spans="2:917 2618:2633 3491:3493" x14ac:dyDescent="0.3">
      <c r="B962" t="s">
        <v>4447</v>
      </c>
      <c r="AHS962">
        <v>1</v>
      </c>
      <c r="CVS962">
        <v>1</v>
      </c>
      <c r="EDG962">
        <f>SUMPRODUCT(Constraint_956,Decision_variables)</f>
        <v>0</v>
      </c>
      <c r="EDH962" t="s">
        <v>5265</v>
      </c>
      <c r="EDI962">
        <v>1</v>
      </c>
    </row>
    <row r="963" spans="2:917 2618:2633 3491:3493" x14ac:dyDescent="0.3">
      <c r="B963" t="s">
        <v>4448</v>
      </c>
      <c r="AHT963">
        <v>1</v>
      </c>
      <c r="CVT963">
        <v>1</v>
      </c>
      <c r="EDG963">
        <f>SUMPRODUCT(Constraint_957,Decision_variables)</f>
        <v>0</v>
      </c>
      <c r="EDH963" t="s">
        <v>5265</v>
      </c>
      <c r="EDI963">
        <v>1</v>
      </c>
    </row>
    <row r="964" spans="2:917 2618:2633 3491:3493" x14ac:dyDescent="0.3">
      <c r="B964" t="s">
        <v>4449</v>
      </c>
      <c r="AHU964">
        <v>1</v>
      </c>
      <c r="CVU964">
        <v>1</v>
      </c>
      <c r="EDG964">
        <f>SUMPRODUCT(Constraint_958,Decision_variables)</f>
        <v>0</v>
      </c>
      <c r="EDH964" t="s">
        <v>5265</v>
      </c>
      <c r="EDI964">
        <v>1</v>
      </c>
    </row>
    <row r="965" spans="2:917 2618:2633 3491:3493" x14ac:dyDescent="0.3">
      <c r="B965" t="s">
        <v>4450</v>
      </c>
      <c r="AHV965">
        <v>1</v>
      </c>
      <c r="CVV965">
        <v>1</v>
      </c>
      <c r="EDG965">
        <f>SUMPRODUCT(Constraint_959,Decision_variables)</f>
        <v>0</v>
      </c>
      <c r="EDH965" t="s">
        <v>5265</v>
      </c>
      <c r="EDI965">
        <v>1</v>
      </c>
    </row>
    <row r="966" spans="2:917 2618:2633 3491:3493" x14ac:dyDescent="0.3">
      <c r="B966" t="s">
        <v>4451</v>
      </c>
      <c r="AHW966">
        <v>1</v>
      </c>
      <c r="CVW966">
        <v>1</v>
      </c>
      <c r="EDG966">
        <f>SUMPRODUCT(Constraint_960,Decision_variables)</f>
        <v>0</v>
      </c>
      <c r="EDH966" t="s">
        <v>5265</v>
      </c>
      <c r="EDI966">
        <v>1</v>
      </c>
    </row>
    <row r="967" spans="2:917 2618:2633 3491:3493" x14ac:dyDescent="0.3">
      <c r="B967" t="s">
        <v>4452</v>
      </c>
      <c r="AHX967">
        <v>1</v>
      </c>
      <c r="CVX967">
        <v>1</v>
      </c>
      <c r="EDG967">
        <f>SUMPRODUCT(Constraint_961,Decision_variables)</f>
        <v>0</v>
      </c>
      <c r="EDH967" t="s">
        <v>5265</v>
      </c>
      <c r="EDI967">
        <v>1</v>
      </c>
    </row>
    <row r="968" spans="2:917 2618:2633 3491:3493" x14ac:dyDescent="0.3">
      <c r="B968" t="s">
        <v>4453</v>
      </c>
      <c r="AHY968">
        <v>1</v>
      </c>
      <c r="CVY968">
        <v>1</v>
      </c>
      <c r="EDG968">
        <f>SUMPRODUCT(Constraint_962,Decision_variables)</f>
        <v>0</v>
      </c>
      <c r="EDH968" t="s">
        <v>5265</v>
      </c>
      <c r="EDI968">
        <v>1</v>
      </c>
    </row>
    <row r="969" spans="2:917 2618:2633 3491:3493" x14ac:dyDescent="0.3">
      <c r="B969" t="s">
        <v>4454</v>
      </c>
      <c r="AHZ969">
        <v>1</v>
      </c>
      <c r="CVZ969">
        <v>1</v>
      </c>
      <c r="EDG969">
        <f>SUMPRODUCT(Constraint_963,Decision_variables)</f>
        <v>0</v>
      </c>
      <c r="EDH969" t="s">
        <v>5265</v>
      </c>
      <c r="EDI969">
        <v>1</v>
      </c>
    </row>
    <row r="970" spans="2:917 2618:2633 3491:3493" x14ac:dyDescent="0.3">
      <c r="B970" t="s">
        <v>4455</v>
      </c>
      <c r="AIA970">
        <v>1</v>
      </c>
      <c r="CWA970">
        <v>1</v>
      </c>
      <c r="EDG970">
        <f>SUMPRODUCT(Constraint_964,Decision_variables)</f>
        <v>0</v>
      </c>
      <c r="EDH970" t="s">
        <v>5265</v>
      </c>
      <c r="EDI970">
        <v>1</v>
      </c>
    </row>
    <row r="971" spans="2:917 2618:2633 3491:3493" x14ac:dyDescent="0.3">
      <c r="B971" t="s">
        <v>4456</v>
      </c>
      <c r="AIB971">
        <v>1</v>
      </c>
      <c r="CWB971">
        <v>1</v>
      </c>
      <c r="EDG971">
        <f>SUMPRODUCT(Constraint_965,Decision_variables)</f>
        <v>0</v>
      </c>
      <c r="EDH971" t="s">
        <v>5265</v>
      </c>
      <c r="EDI971">
        <v>1</v>
      </c>
    </row>
    <row r="972" spans="2:917 2618:2633 3491:3493" x14ac:dyDescent="0.3">
      <c r="B972" t="s">
        <v>4457</v>
      </c>
      <c r="AIC972">
        <v>1</v>
      </c>
      <c r="CWC972">
        <v>1</v>
      </c>
      <c r="EDG972">
        <f>SUMPRODUCT(Constraint_966,Decision_variables)</f>
        <v>0</v>
      </c>
      <c r="EDH972" t="s">
        <v>5265</v>
      </c>
      <c r="EDI972">
        <v>1</v>
      </c>
    </row>
    <row r="973" spans="2:917 2618:2633 3491:3493" x14ac:dyDescent="0.3">
      <c r="B973" t="s">
        <v>4458</v>
      </c>
      <c r="AID973">
        <v>1</v>
      </c>
      <c r="CWD973">
        <v>1</v>
      </c>
      <c r="EDG973">
        <f>SUMPRODUCT(Constraint_967,Decision_variables)</f>
        <v>0</v>
      </c>
      <c r="EDH973" t="s">
        <v>5265</v>
      </c>
      <c r="EDI973">
        <v>1</v>
      </c>
    </row>
    <row r="974" spans="2:917 2618:2633 3491:3493" x14ac:dyDescent="0.3">
      <c r="B974" t="s">
        <v>4459</v>
      </c>
      <c r="AIE974">
        <v>1</v>
      </c>
      <c r="CWE974">
        <v>1</v>
      </c>
      <c r="EDG974">
        <f>SUMPRODUCT(Constraint_968,Decision_variables)</f>
        <v>0</v>
      </c>
      <c r="EDH974" t="s">
        <v>5265</v>
      </c>
      <c r="EDI974">
        <v>1</v>
      </c>
    </row>
    <row r="975" spans="2:917 2618:2633 3491:3493" x14ac:dyDescent="0.3">
      <c r="B975" t="s">
        <v>4460</v>
      </c>
      <c r="AIF975">
        <v>1</v>
      </c>
      <c r="CWF975">
        <v>1</v>
      </c>
      <c r="EDG975">
        <f>SUMPRODUCT(Constraint_969,Decision_variables)</f>
        <v>0</v>
      </c>
      <c r="EDH975" t="s">
        <v>5265</v>
      </c>
      <c r="EDI975">
        <v>1</v>
      </c>
    </row>
    <row r="976" spans="2:917 2618:2633 3491:3493" x14ac:dyDescent="0.3">
      <c r="B976" t="s">
        <v>4461</v>
      </c>
      <c r="AIG976">
        <v>1</v>
      </c>
      <c r="CWG976">
        <v>1</v>
      </c>
      <c r="EDG976">
        <f>SUMPRODUCT(Constraint_970,Decision_variables)</f>
        <v>0</v>
      </c>
      <c r="EDH976" t="s">
        <v>5265</v>
      </c>
      <c r="EDI976">
        <v>1</v>
      </c>
    </row>
    <row r="977" spans="2:933 2634:2649 3491:3493" x14ac:dyDescent="0.3">
      <c r="B977" t="s">
        <v>4462</v>
      </c>
      <c r="AIH977">
        <v>1</v>
      </c>
      <c r="CWH977">
        <v>1</v>
      </c>
      <c r="EDG977">
        <f>SUMPRODUCT(Constraint_971,Decision_variables)</f>
        <v>0</v>
      </c>
      <c r="EDH977" t="s">
        <v>5265</v>
      </c>
      <c r="EDI977">
        <v>1</v>
      </c>
    </row>
    <row r="978" spans="2:933 2634:2649 3491:3493" x14ac:dyDescent="0.3">
      <c r="B978" t="s">
        <v>4463</v>
      </c>
      <c r="AII978">
        <v>1</v>
      </c>
      <c r="CWI978">
        <v>1</v>
      </c>
      <c r="EDG978">
        <f>SUMPRODUCT(Constraint_972,Decision_variables)</f>
        <v>0</v>
      </c>
      <c r="EDH978" t="s">
        <v>5265</v>
      </c>
      <c r="EDI978">
        <v>1</v>
      </c>
    </row>
    <row r="979" spans="2:933 2634:2649 3491:3493" x14ac:dyDescent="0.3">
      <c r="B979" t="s">
        <v>4464</v>
      </c>
      <c r="AIJ979">
        <v>1</v>
      </c>
      <c r="CWJ979">
        <v>1</v>
      </c>
      <c r="EDG979">
        <f>SUMPRODUCT(Constraint_973,Decision_variables)</f>
        <v>0</v>
      </c>
      <c r="EDH979" t="s">
        <v>5265</v>
      </c>
      <c r="EDI979">
        <v>1</v>
      </c>
    </row>
    <row r="980" spans="2:933 2634:2649 3491:3493" x14ac:dyDescent="0.3">
      <c r="B980" t="s">
        <v>4465</v>
      </c>
      <c r="AIK980">
        <v>1</v>
      </c>
      <c r="CWK980">
        <v>1</v>
      </c>
      <c r="EDG980">
        <f>SUMPRODUCT(Constraint_974,Decision_variables)</f>
        <v>0</v>
      </c>
      <c r="EDH980" t="s">
        <v>5265</v>
      </c>
      <c r="EDI980">
        <v>1</v>
      </c>
    </row>
    <row r="981" spans="2:933 2634:2649 3491:3493" x14ac:dyDescent="0.3">
      <c r="B981" t="s">
        <v>4466</v>
      </c>
      <c r="AIL981">
        <v>1</v>
      </c>
      <c r="CWL981">
        <v>1</v>
      </c>
      <c r="EDG981">
        <f>SUMPRODUCT(Constraint_975,Decision_variables)</f>
        <v>0</v>
      </c>
      <c r="EDH981" t="s">
        <v>5265</v>
      </c>
      <c r="EDI981">
        <v>1</v>
      </c>
    </row>
    <row r="982" spans="2:933 2634:2649 3491:3493" x14ac:dyDescent="0.3">
      <c r="B982" t="s">
        <v>4467</v>
      </c>
      <c r="AIM982">
        <v>1</v>
      </c>
      <c r="CWM982">
        <v>1</v>
      </c>
      <c r="EDG982">
        <f>SUMPRODUCT(Constraint_976,Decision_variables)</f>
        <v>0</v>
      </c>
      <c r="EDH982" t="s">
        <v>5265</v>
      </c>
      <c r="EDI982">
        <v>1</v>
      </c>
    </row>
    <row r="983" spans="2:933 2634:2649 3491:3493" x14ac:dyDescent="0.3">
      <c r="B983" t="s">
        <v>4468</v>
      </c>
      <c r="AIN983">
        <v>1</v>
      </c>
      <c r="CWN983">
        <v>1</v>
      </c>
      <c r="EDG983">
        <f>SUMPRODUCT(Constraint_977,Decision_variables)</f>
        <v>0</v>
      </c>
      <c r="EDH983" t="s">
        <v>5265</v>
      </c>
      <c r="EDI983">
        <v>1</v>
      </c>
    </row>
    <row r="984" spans="2:933 2634:2649 3491:3493" x14ac:dyDescent="0.3">
      <c r="B984" t="s">
        <v>4469</v>
      </c>
      <c r="AIO984">
        <v>1</v>
      </c>
      <c r="CWO984">
        <v>1</v>
      </c>
      <c r="EDG984">
        <f>SUMPRODUCT(Constraint_978,Decision_variables)</f>
        <v>0</v>
      </c>
      <c r="EDH984" t="s">
        <v>5265</v>
      </c>
      <c r="EDI984">
        <v>1</v>
      </c>
    </row>
    <row r="985" spans="2:933 2634:2649 3491:3493" x14ac:dyDescent="0.3">
      <c r="B985" t="s">
        <v>4470</v>
      </c>
      <c r="AIP985">
        <v>1</v>
      </c>
      <c r="CWP985">
        <v>1</v>
      </c>
      <c r="EDG985">
        <f>SUMPRODUCT(Constraint_979,Decision_variables)</f>
        <v>0</v>
      </c>
      <c r="EDH985" t="s">
        <v>5265</v>
      </c>
      <c r="EDI985">
        <v>1</v>
      </c>
    </row>
    <row r="986" spans="2:933 2634:2649 3491:3493" x14ac:dyDescent="0.3">
      <c r="B986" t="s">
        <v>4471</v>
      </c>
      <c r="AIQ986">
        <v>1</v>
      </c>
      <c r="CWQ986">
        <v>1</v>
      </c>
      <c r="EDG986">
        <f>SUMPRODUCT(Constraint_980,Decision_variables)</f>
        <v>0</v>
      </c>
      <c r="EDH986" t="s">
        <v>5265</v>
      </c>
      <c r="EDI986">
        <v>1</v>
      </c>
    </row>
    <row r="987" spans="2:933 2634:2649 3491:3493" x14ac:dyDescent="0.3">
      <c r="B987" t="s">
        <v>4472</v>
      </c>
      <c r="AIR987">
        <v>1</v>
      </c>
      <c r="CWR987">
        <v>1</v>
      </c>
      <c r="EDG987">
        <f>SUMPRODUCT(Constraint_981,Decision_variables)</f>
        <v>0</v>
      </c>
      <c r="EDH987" t="s">
        <v>5265</v>
      </c>
      <c r="EDI987">
        <v>1</v>
      </c>
    </row>
    <row r="988" spans="2:933 2634:2649 3491:3493" x14ac:dyDescent="0.3">
      <c r="B988" t="s">
        <v>4473</v>
      </c>
      <c r="AIS988">
        <v>1</v>
      </c>
      <c r="CWS988">
        <v>1</v>
      </c>
      <c r="EDG988">
        <f>SUMPRODUCT(Constraint_982,Decision_variables)</f>
        <v>0</v>
      </c>
      <c r="EDH988" t="s">
        <v>5265</v>
      </c>
      <c r="EDI988">
        <v>1</v>
      </c>
    </row>
    <row r="989" spans="2:933 2634:2649 3491:3493" x14ac:dyDescent="0.3">
      <c r="B989" t="s">
        <v>4474</v>
      </c>
      <c r="AIT989">
        <v>1</v>
      </c>
      <c r="CWT989">
        <v>1</v>
      </c>
      <c r="EDG989">
        <f>SUMPRODUCT(Constraint_983,Decision_variables)</f>
        <v>0</v>
      </c>
      <c r="EDH989" t="s">
        <v>5265</v>
      </c>
      <c r="EDI989">
        <v>1</v>
      </c>
    </row>
    <row r="990" spans="2:933 2634:2649 3491:3493" x14ac:dyDescent="0.3">
      <c r="B990" t="s">
        <v>4475</v>
      </c>
      <c r="AIU990">
        <v>1</v>
      </c>
      <c r="CWU990">
        <v>1</v>
      </c>
      <c r="EDG990">
        <f>SUMPRODUCT(Constraint_984,Decision_variables)</f>
        <v>0</v>
      </c>
      <c r="EDH990" t="s">
        <v>5265</v>
      </c>
      <c r="EDI990">
        <v>1</v>
      </c>
    </row>
    <row r="991" spans="2:933 2634:2649 3491:3493" x14ac:dyDescent="0.3">
      <c r="B991" t="s">
        <v>4476</v>
      </c>
      <c r="AIV991">
        <v>1</v>
      </c>
      <c r="CWV991">
        <v>1</v>
      </c>
      <c r="EDG991">
        <f>SUMPRODUCT(Constraint_985,Decision_variables)</f>
        <v>0</v>
      </c>
      <c r="EDH991" t="s">
        <v>5265</v>
      </c>
      <c r="EDI991">
        <v>1</v>
      </c>
    </row>
    <row r="992" spans="2:933 2634:2649 3491:3493" x14ac:dyDescent="0.3">
      <c r="B992" t="s">
        <v>4477</v>
      </c>
      <c r="AIW992">
        <v>1</v>
      </c>
      <c r="CWW992">
        <v>1</v>
      </c>
      <c r="EDG992">
        <f>SUMPRODUCT(Constraint_986,Decision_variables)</f>
        <v>0</v>
      </c>
      <c r="EDH992" t="s">
        <v>5265</v>
      </c>
      <c r="EDI992">
        <v>1</v>
      </c>
    </row>
    <row r="993" spans="2:949 2650:2665 3491:3493" x14ac:dyDescent="0.3">
      <c r="B993" t="s">
        <v>4478</v>
      </c>
      <c r="AIX993">
        <v>1</v>
      </c>
      <c r="CWX993">
        <v>1</v>
      </c>
      <c r="EDG993">
        <f>SUMPRODUCT(Constraint_987,Decision_variables)</f>
        <v>0</v>
      </c>
      <c r="EDH993" t="s">
        <v>5265</v>
      </c>
      <c r="EDI993">
        <v>1</v>
      </c>
    </row>
    <row r="994" spans="2:949 2650:2665 3491:3493" x14ac:dyDescent="0.3">
      <c r="B994" t="s">
        <v>4479</v>
      </c>
      <c r="AIY994">
        <v>1</v>
      </c>
      <c r="CWY994">
        <v>1</v>
      </c>
      <c r="EDG994">
        <f>SUMPRODUCT(Constraint_988,Decision_variables)</f>
        <v>0</v>
      </c>
      <c r="EDH994" t="s">
        <v>5265</v>
      </c>
      <c r="EDI994">
        <v>1</v>
      </c>
    </row>
    <row r="995" spans="2:949 2650:2665 3491:3493" x14ac:dyDescent="0.3">
      <c r="B995" t="s">
        <v>4480</v>
      </c>
      <c r="AIZ995">
        <v>1</v>
      </c>
      <c r="CWZ995">
        <v>1</v>
      </c>
      <c r="EDG995">
        <f>SUMPRODUCT(Constraint_989,Decision_variables)</f>
        <v>0</v>
      </c>
      <c r="EDH995" t="s">
        <v>5265</v>
      </c>
      <c r="EDI995">
        <v>1</v>
      </c>
    </row>
    <row r="996" spans="2:949 2650:2665 3491:3493" x14ac:dyDescent="0.3">
      <c r="B996" t="s">
        <v>4481</v>
      </c>
      <c r="AJA996">
        <v>1</v>
      </c>
      <c r="CXA996">
        <v>1</v>
      </c>
      <c r="EDG996">
        <f>SUMPRODUCT(Constraint_990,Decision_variables)</f>
        <v>0</v>
      </c>
      <c r="EDH996" t="s">
        <v>5265</v>
      </c>
      <c r="EDI996">
        <v>1</v>
      </c>
    </row>
    <row r="997" spans="2:949 2650:2665 3491:3493" x14ac:dyDescent="0.3">
      <c r="B997" t="s">
        <v>4482</v>
      </c>
      <c r="AJB997">
        <v>1</v>
      </c>
      <c r="CXB997">
        <v>1</v>
      </c>
      <c r="EDG997">
        <f>SUMPRODUCT(Constraint_991,Decision_variables)</f>
        <v>0</v>
      </c>
      <c r="EDH997" t="s">
        <v>5265</v>
      </c>
      <c r="EDI997">
        <v>1</v>
      </c>
    </row>
    <row r="998" spans="2:949 2650:2665 3491:3493" x14ac:dyDescent="0.3">
      <c r="B998" t="s">
        <v>4483</v>
      </c>
      <c r="AJC998">
        <v>1</v>
      </c>
      <c r="CXC998">
        <v>1</v>
      </c>
      <c r="EDG998">
        <f>SUMPRODUCT(Constraint_992,Decision_variables)</f>
        <v>0</v>
      </c>
      <c r="EDH998" t="s">
        <v>5265</v>
      </c>
      <c r="EDI998">
        <v>1</v>
      </c>
    </row>
    <row r="999" spans="2:949 2650:2665 3491:3493" x14ac:dyDescent="0.3">
      <c r="B999" t="s">
        <v>4484</v>
      </c>
      <c r="AJD999">
        <v>1</v>
      </c>
      <c r="CXD999">
        <v>1</v>
      </c>
      <c r="EDG999">
        <f>SUMPRODUCT(Constraint_993,Decision_variables)</f>
        <v>0</v>
      </c>
      <c r="EDH999" t="s">
        <v>5265</v>
      </c>
      <c r="EDI999">
        <v>1</v>
      </c>
    </row>
    <row r="1000" spans="2:949 2650:2665 3491:3493" x14ac:dyDescent="0.3">
      <c r="B1000" t="s">
        <v>4485</v>
      </c>
      <c r="AJE1000">
        <v>1</v>
      </c>
      <c r="CXE1000">
        <v>1</v>
      </c>
      <c r="EDG1000">
        <f>SUMPRODUCT(Constraint_994,Decision_variables)</f>
        <v>0</v>
      </c>
      <c r="EDH1000" t="s">
        <v>5265</v>
      </c>
      <c r="EDI1000">
        <v>1</v>
      </c>
    </row>
    <row r="1001" spans="2:949 2650:2665 3491:3493" x14ac:dyDescent="0.3">
      <c r="B1001" t="s">
        <v>4486</v>
      </c>
      <c r="AJF1001">
        <v>1</v>
      </c>
      <c r="CXF1001">
        <v>1</v>
      </c>
      <c r="EDG1001">
        <f>SUMPRODUCT(Constraint_995,Decision_variables)</f>
        <v>0</v>
      </c>
      <c r="EDH1001" t="s">
        <v>5265</v>
      </c>
      <c r="EDI1001">
        <v>1</v>
      </c>
    </row>
    <row r="1002" spans="2:949 2650:2665 3491:3493" x14ac:dyDescent="0.3">
      <c r="B1002" t="s">
        <v>4487</v>
      </c>
      <c r="AJG1002">
        <v>1</v>
      </c>
      <c r="CXG1002">
        <v>1</v>
      </c>
      <c r="EDG1002">
        <f>SUMPRODUCT(Constraint_996,Decision_variables)</f>
        <v>0</v>
      </c>
      <c r="EDH1002" t="s">
        <v>5265</v>
      </c>
      <c r="EDI1002">
        <v>1</v>
      </c>
    </row>
    <row r="1003" spans="2:949 2650:2665 3491:3493" x14ac:dyDescent="0.3">
      <c r="B1003" t="s">
        <v>4488</v>
      </c>
      <c r="AJH1003">
        <v>1</v>
      </c>
      <c r="CXH1003">
        <v>1</v>
      </c>
      <c r="EDG1003">
        <f>SUMPRODUCT(Constraint_997,Decision_variables)</f>
        <v>0</v>
      </c>
      <c r="EDH1003" t="s">
        <v>5265</v>
      </c>
      <c r="EDI1003">
        <v>1</v>
      </c>
    </row>
    <row r="1004" spans="2:949 2650:2665 3491:3493" x14ac:dyDescent="0.3">
      <c r="B1004" t="s">
        <v>4489</v>
      </c>
      <c r="AJI1004">
        <v>1</v>
      </c>
      <c r="CXI1004">
        <v>1</v>
      </c>
      <c r="EDG1004">
        <f>SUMPRODUCT(Constraint_998,Decision_variables)</f>
        <v>0</v>
      </c>
      <c r="EDH1004" t="s">
        <v>5265</v>
      </c>
      <c r="EDI1004">
        <v>1</v>
      </c>
    </row>
    <row r="1005" spans="2:949 2650:2665 3491:3493" x14ac:dyDescent="0.3">
      <c r="B1005" t="s">
        <v>4490</v>
      </c>
      <c r="AJJ1005">
        <v>1</v>
      </c>
      <c r="CXJ1005">
        <v>1</v>
      </c>
      <c r="EDG1005">
        <f>SUMPRODUCT(Constraint_999,Decision_variables)</f>
        <v>0</v>
      </c>
      <c r="EDH1005" t="s">
        <v>5265</v>
      </c>
      <c r="EDI1005">
        <v>1</v>
      </c>
    </row>
    <row r="1006" spans="2:949 2650:2665 3491:3493" x14ac:dyDescent="0.3">
      <c r="B1006" t="s">
        <v>4491</v>
      </c>
      <c r="AJK1006">
        <v>1</v>
      </c>
      <c r="CXK1006">
        <v>1</v>
      </c>
      <c r="EDG1006">
        <f>SUMPRODUCT(Constraint_1000,Decision_variables)</f>
        <v>0</v>
      </c>
      <c r="EDH1006" t="s">
        <v>5265</v>
      </c>
      <c r="EDI1006">
        <v>1</v>
      </c>
    </row>
    <row r="1007" spans="2:949 2650:2665 3491:3493" x14ac:dyDescent="0.3">
      <c r="B1007" t="s">
        <v>4492</v>
      </c>
      <c r="AJL1007">
        <v>1</v>
      </c>
      <c r="CXL1007">
        <v>1</v>
      </c>
      <c r="EDG1007">
        <f>SUMPRODUCT(Constraint_1001,Decision_variables)</f>
        <v>0</v>
      </c>
      <c r="EDH1007" t="s">
        <v>5265</v>
      </c>
      <c r="EDI1007">
        <v>1</v>
      </c>
    </row>
    <row r="1008" spans="2:949 2650:2665 3491:3493" x14ac:dyDescent="0.3">
      <c r="B1008" t="s">
        <v>4493</v>
      </c>
      <c r="AJM1008">
        <v>1</v>
      </c>
      <c r="CXM1008">
        <v>1</v>
      </c>
      <c r="EDG1008">
        <f>SUMPRODUCT(Constraint_1002,Decision_variables)</f>
        <v>0</v>
      </c>
      <c r="EDH1008" t="s">
        <v>5265</v>
      </c>
      <c r="EDI1008">
        <v>1</v>
      </c>
    </row>
    <row r="1009" spans="2:965 2666:2681 3491:3493" x14ac:dyDescent="0.3">
      <c r="B1009" t="s">
        <v>4494</v>
      </c>
      <c r="AJN1009">
        <v>1</v>
      </c>
      <c r="CXN1009">
        <v>1</v>
      </c>
      <c r="EDG1009">
        <f>SUMPRODUCT(Constraint_1003,Decision_variables)</f>
        <v>0</v>
      </c>
      <c r="EDH1009" t="s">
        <v>5265</v>
      </c>
      <c r="EDI1009">
        <v>1</v>
      </c>
    </row>
    <row r="1010" spans="2:965 2666:2681 3491:3493" x14ac:dyDescent="0.3">
      <c r="B1010" t="s">
        <v>4495</v>
      </c>
      <c r="AJO1010">
        <v>1</v>
      </c>
      <c r="CXO1010">
        <v>1</v>
      </c>
      <c r="EDG1010">
        <f>SUMPRODUCT(Constraint_1004,Decision_variables)</f>
        <v>0</v>
      </c>
      <c r="EDH1010" t="s">
        <v>5265</v>
      </c>
      <c r="EDI1010">
        <v>1</v>
      </c>
    </row>
    <row r="1011" spans="2:965 2666:2681 3491:3493" x14ac:dyDescent="0.3">
      <c r="B1011" t="s">
        <v>4496</v>
      </c>
      <c r="AJP1011">
        <v>1</v>
      </c>
      <c r="CXP1011">
        <v>1</v>
      </c>
      <c r="EDG1011">
        <f>SUMPRODUCT(Constraint_1005,Decision_variables)</f>
        <v>0</v>
      </c>
      <c r="EDH1011" t="s">
        <v>5265</v>
      </c>
      <c r="EDI1011">
        <v>1</v>
      </c>
    </row>
    <row r="1012" spans="2:965 2666:2681 3491:3493" x14ac:dyDescent="0.3">
      <c r="B1012" t="s">
        <v>4497</v>
      </c>
      <c r="AJQ1012">
        <v>1</v>
      </c>
      <c r="CXQ1012">
        <v>1</v>
      </c>
      <c r="EDG1012">
        <f>SUMPRODUCT(Constraint_1006,Decision_variables)</f>
        <v>0</v>
      </c>
      <c r="EDH1012" t="s">
        <v>5265</v>
      </c>
      <c r="EDI1012">
        <v>1</v>
      </c>
    </row>
    <row r="1013" spans="2:965 2666:2681 3491:3493" x14ac:dyDescent="0.3">
      <c r="B1013" t="s">
        <v>4498</v>
      </c>
      <c r="AJR1013">
        <v>1</v>
      </c>
      <c r="CXR1013">
        <v>1</v>
      </c>
      <c r="EDG1013">
        <f>SUMPRODUCT(Constraint_1007,Decision_variables)</f>
        <v>0</v>
      </c>
      <c r="EDH1013" t="s">
        <v>5265</v>
      </c>
      <c r="EDI1013">
        <v>1</v>
      </c>
    </row>
    <row r="1014" spans="2:965 2666:2681 3491:3493" x14ac:dyDescent="0.3">
      <c r="B1014" t="s">
        <v>4499</v>
      </c>
      <c r="AJS1014">
        <v>1</v>
      </c>
      <c r="CXS1014">
        <v>1</v>
      </c>
      <c r="EDG1014">
        <f>SUMPRODUCT(Constraint_1008,Decision_variables)</f>
        <v>0</v>
      </c>
      <c r="EDH1014" t="s">
        <v>5265</v>
      </c>
      <c r="EDI1014">
        <v>1</v>
      </c>
    </row>
    <row r="1015" spans="2:965 2666:2681 3491:3493" x14ac:dyDescent="0.3">
      <c r="B1015" t="s">
        <v>4500</v>
      </c>
      <c r="AJT1015">
        <v>1</v>
      </c>
      <c r="CXT1015">
        <v>1</v>
      </c>
      <c r="EDG1015">
        <f>SUMPRODUCT(Constraint_1009,Decision_variables)</f>
        <v>0</v>
      </c>
      <c r="EDH1015" t="s">
        <v>5265</v>
      </c>
      <c r="EDI1015">
        <v>1</v>
      </c>
    </row>
    <row r="1016" spans="2:965 2666:2681 3491:3493" x14ac:dyDescent="0.3">
      <c r="B1016" t="s">
        <v>4501</v>
      </c>
      <c r="AJU1016">
        <v>1</v>
      </c>
      <c r="CXU1016">
        <v>1</v>
      </c>
      <c r="EDG1016">
        <f>SUMPRODUCT(Constraint_1010,Decision_variables)</f>
        <v>0</v>
      </c>
      <c r="EDH1016" t="s">
        <v>5265</v>
      </c>
      <c r="EDI1016">
        <v>1</v>
      </c>
    </row>
    <row r="1017" spans="2:965 2666:2681 3491:3493" x14ac:dyDescent="0.3">
      <c r="B1017" t="s">
        <v>4502</v>
      </c>
      <c r="AJV1017">
        <v>1</v>
      </c>
      <c r="CXV1017">
        <v>1</v>
      </c>
      <c r="EDG1017">
        <f>SUMPRODUCT(Constraint_1011,Decision_variables)</f>
        <v>0</v>
      </c>
      <c r="EDH1017" t="s">
        <v>5265</v>
      </c>
      <c r="EDI1017">
        <v>1</v>
      </c>
    </row>
    <row r="1018" spans="2:965 2666:2681 3491:3493" x14ac:dyDescent="0.3">
      <c r="B1018" t="s">
        <v>4503</v>
      </c>
      <c r="AJW1018">
        <v>1</v>
      </c>
      <c r="CXW1018">
        <v>1</v>
      </c>
      <c r="EDG1018">
        <f>SUMPRODUCT(Constraint_1012,Decision_variables)</f>
        <v>0</v>
      </c>
      <c r="EDH1018" t="s">
        <v>5265</v>
      </c>
      <c r="EDI1018">
        <v>1</v>
      </c>
    </row>
    <row r="1019" spans="2:965 2666:2681 3491:3493" x14ac:dyDescent="0.3">
      <c r="B1019" t="s">
        <v>4504</v>
      </c>
      <c r="AJX1019">
        <v>1</v>
      </c>
      <c r="CXX1019">
        <v>1</v>
      </c>
      <c r="EDG1019">
        <f>SUMPRODUCT(Constraint_1013,Decision_variables)</f>
        <v>0</v>
      </c>
      <c r="EDH1019" t="s">
        <v>5265</v>
      </c>
      <c r="EDI1019">
        <v>1</v>
      </c>
    </row>
    <row r="1020" spans="2:965 2666:2681 3491:3493" x14ac:dyDescent="0.3">
      <c r="B1020" t="s">
        <v>4505</v>
      </c>
      <c r="AJY1020">
        <v>1</v>
      </c>
      <c r="CXY1020">
        <v>1</v>
      </c>
      <c r="EDG1020">
        <f>SUMPRODUCT(Constraint_1014,Decision_variables)</f>
        <v>0</v>
      </c>
      <c r="EDH1020" t="s">
        <v>5265</v>
      </c>
      <c r="EDI1020">
        <v>1</v>
      </c>
    </row>
    <row r="1021" spans="2:965 2666:2681 3491:3493" x14ac:dyDescent="0.3">
      <c r="B1021" t="s">
        <v>4506</v>
      </c>
      <c r="AJZ1021">
        <v>1</v>
      </c>
      <c r="CXZ1021">
        <v>1</v>
      </c>
      <c r="EDG1021">
        <f>SUMPRODUCT(Constraint_1015,Decision_variables)</f>
        <v>0</v>
      </c>
      <c r="EDH1021" t="s">
        <v>5265</v>
      </c>
      <c r="EDI1021">
        <v>1</v>
      </c>
    </row>
    <row r="1022" spans="2:965 2666:2681 3491:3493" x14ac:dyDescent="0.3">
      <c r="B1022" t="s">
        <v>4507</v>
      </c>
      <c r="AKA1022">
        <v>1</v>
      </c>
      <c r="CYA1022">
        <v>1</v>
      </c>
      <c r="EDG1022">
        <f>SUMPRODUCT(Constraint_1016,Decision_variables)</f>
        <v>0</v>
      </c>
      <c r="EDH1022" t="s">
        <v>5265</v>
      </c>
      <c r="EDI1022">
        <v>1</v>
      </c>
    </row>
    <row r="1023" spans="2:965 2666:2681 3491:3493" x14ac:dyDescent="0.3">
      <c r="B1023" t="s">
        <v>4508</v>
      </c>
      <c r="AKB1023">
        <v>1</v>
      </c>
      <c r="CYB1023">
        <v>1</v>
      </c>
      <c r="EDG1023">
        <f>SUMPRODUCT(Constraint_1017,Decision_variables)</f>
        <v>0</v>
      </c>
      <c r="EDH1023" t="s">
        <v>5265</v>
      </c>
      <c r="EDI1023">
        <v>1</v>
      </c>
    </row>
    <row r="1024" spans="2:965 2666:2681 3491:3493" x14ac:dyDescent="0.3">
      <c r="B1024" t="s">
        <v>4509</v>
      </c>
      <c r="AKC1024">
        <v>1</v>
      </c>
      <c r="CYC1024">
        <v>1</v>
      </c>
      <c r="EDG1024">
        <f>SUMPRODUCT(Constraint_1018,Decision_variables)</f>
        <v>0</v>
      </c>
      <c r="EDH1024" t="s">
        <v>5265</v>
      </c>
      <c r="EDI1024">
        <v>1</v>
      </c>
    </row>
    <row r="1025" spans="2:981 2682:2697 3491:3493" x14ac:dyDescent="0.3">
      <c r="B1025" t="s">
        <v>4510</v>
      </c>
      <c r="AKD1025">
        <v>1</v>
      </c>
      <c r="CYD1025">
        <v>1</v>
      </c>
      <c r="EDG1025">
        <f>SUMPRODUCT(Constraint_1019,Decision_variables)</f>
        <v>0</v>
      </c>
      <c r="EDH1025" t="s">
        <v>5265</v>
      </c>
      <c r="EDI1025">
        <v>1</v>
      </c>
    </row>
    <row r="1026" spans="2:981 2682:2697 3491:3493" x14ac:dyDescent="0.3">
      <c r="B1026" t="s">
        <v>4511</v>
      </c>
      <c r="AKE1026">
        <v>1</v>
      </c>
      <c r="CYE1026">
        <v>1</v>
      </c>
      <c r="EDG1026">
        <f>SUMPRODUCT(Constraint_1020,Decision_variables)</f>
        <v>0</v>
      </c>
      <c r="EDH1026" t="s">
        <v>5265</v>
      </c>
      <c r="EDI1026">
        <v>1</v>
      </c>
    </row>
    <row r="1027" spans="2:981 2682:2697 3491:3493" x14ac:dyDescent="0.3">
      <c r="B1027" t="s">
        <v>4512</v>
      </c>
      <c r="AKF1027">
        <v>1</v>
      </c>
      <c r="CYF1027">
        <v>1</v>
      </c>
      <c r="EDG1027">
        <f>SUMPRODUCT(Constraint_1021,Decision_variables)</f>
        <v>0</v>
      </c>
      <c r="EDH1027" t="s">
        <v>5265</v>
      </c>
      <c r="EDI1027">
        <v>1</v>
      </c>
    </row>
    <row r="1028" spans="2:981 2682:2697 3491:3493" x14ac:dyDescent="0.3">
      <c r="B1028" t="s">
        <v>4513</v>
      </c>
      <c r="AKG1028">
        <v>1</v>
      </c>
      <c r="CYG1028">
        <v>1</v>
      </c>
      <c r="EDG1028">
        <f>SUMPRODUCT(Constraint_1022,Decision_variables)</f>
        <v>0</v>
      </c>
      <c r="EDH1028" t="s">
        <v>5265</v>
      </c>
      <c r="EDI1028">
        <v>1</v>
      </c>
    </row>
    <row r="1029" spans="2:981 2682:2697 3491:3493" x14ac:dyDescent="0.3">
      <c r="B1029" t="s">
        <v>4514</v>
      </c>
      <c r="AKH1029">
        <v>1</v>
      </c>
      <c r="CYH1029">
        <v>1</v>
      </c>
      <c r="EDG1029">
        <f>SUMPRODUCT(Constraint_1023,Decision_variables)</f>
        <v>0</v>
      </c>
      <c r="EDH1029" t="s">
        <v>5265</v>
      </c>
      <c r="EDI1029">
        <v>1</v>
      </c>
    </row>
    <row r="1030" spans="2:981 2682:2697 3491:3493" x14ac:dyDescent="0.3">
      <c r="B1030" t="s">
        <v>4515</v>
      </c>
      <c r="AKI1030">
        <v>1</v>
      </c>
      <c r="CYI1030">
        <v>1</v>
      </c>
      <c r="EDG1030">
        <f>SUMPRODUCT(Constraint_1024,Decision_variables)</f>
        <v>0</v>
      </c>
      <c r="EDH1030" t="s">
        <v>5265</v>
      </c>
      <c r="EDI1030">
        <v>1</v>
      </c>
    </row>
    <row r="1031" spans="2:981 2682:2697 3491:3493" x14ac:dyDescent="0.3">
      <c r="B1031" t="s">
        <v>4516</v>
      </c>
      <c r="AKJ1031">
        <v>1</v>
      </c>
      <c r="CYJ1031">
        <v>1</v>
      </c>
      <c r="EDG1031">
        <f>SUMPRODUCT(Constraint_1025,Decision_variables)</f>
        <v>0</v>
      </c>
      <c r="EDH1031" t="s">
        <v>5265</v>
      </c>
      <c r="EDI1031">
        <v>1</v>
      </c>
    </row>
    <row r="1032" spans="2:981 2682:2697 3491:3493" x14ac:dyDescent="0.3">
      <c r="B1032" t="s">
        <v>4517</v>
      </c>
      <c r="AKK1032">
        <v>1</v>
      </c>
      <c r="CYK1032">
        <v>1</v>
      </c>
      <c r="EDG1032">
        <f>SUMPRODUCT(Constraint_1026,Decision_variables)</f>
        <v>0</v>
      </c>
      <c r="EDH1032" t="s">
        <v>5265</v>
      </c>
      <c r="EDI1032">
        <v>1</v>
      </c>
    </row>
    <row r="1033" spans="2:981 2682:2697 3491:3493" x14ac:dyDescent="0.3">
      <c r="B1033" t="s">
        <v>4518</v>
      </c>
      <c r="AKL1033">
        <v>1</v>
      </c>
      <c r="CYL1033">
        <v>1</v>
      </c>
      <c r="EDG1033">
        <f>SUMPRODUCT(Constraint_1027,Decision_variables)</f>
        <v>0</v>
      </c>
      <c r="EDH1033" t="s">
        <v>5265</v>
      </c>
      <c r="EDI1033">
        <v>1</v>
      </c>
    </row>
    <row r="1034" spans="2:981 2682:2697 3491:3493" x14ac:dyDescent="0.3">
      <c r="B1034" t="s">
        <v>4519</v>
      </c>
      <c r="AKM1034">
        <v>1</v>
      </c>
      <c r="CYM1034">
        <v>1</v>
      </c>
      <c r="EDG1034">
        <f>SUMPRODUCT(Constraint_1028,Decision_variables)</f>
        <v>0</v>
      </c>
      <c r="EDH1034" t="s">
        <v>5265</v>
      </c>
      <c r="EDI1034">
        <v>1</v>
      </c>
    </row>
    <row r="1035" spans="2:981 2682:2697 3491:3493" x14ac:dyDescent="0.3">
      <c r="B1035" t="s">
        <v>4520</v>
      </c>
      <c r="AKN1035">
        <v>1</v>
      </c>
      <c r="CYN1035">
        <v>1</v>
      </c>
      <c r="EDG1035">
        <f>SUMPRODUCT(Constraint_1029,Decision_variables)</f>
        <v>0</v>
      </c>
      <c r="EDH1035" t="s">
        <v>5265</v>
      </c>
      <c r="EDI1035">
        <v>1</v>
      </c>
    </row>
    <row r="1036" spans="2:981 2682:2697 3491:3493" x14ac:dyDescent="0.3">
      <c r="B1036" t="s">
        <v>4521</v>
      </c>
      <c r="AKO1036">
        <v>1</v>
      </c>
      <c r="CYO1036">
        <v>1</v>
      </c>
      <c r="EDG1036">
        <f>SUMPRODUCT(Constraint_1030,Decision_variables)</f>
        <v>0</v>
      </c>
      <c r="EDH1036" t="s">
        <v>5265</v>
      </c>
      <c r="EDI1036">
        <v>1</v>
      </c>
    </row>
    <row r="1037" spans="2:981 2682:2697 3491:3493" x14ac:dyDescent="0.3">
      <c r="B1037" t="s">
        <v>4522</v>
      </c>
      <c r="AKP1037">
        <v>1</v>
      </c>
      <c r="CYP1037">
        <v>1</v>
      </c>
      <c r="EDG1037">
        <f>SUMPRODUCT(Constraint_1031,Decision_variables)</f>
        <v>0</v>
      </c>
      <c r="EDH1037" t="s">
        <v>5265</v>
      </c>
      <c r="EDI1037">
        <v>1</v>
      </c>
    </row>
    <row r="1038" spans="2:981 2682:2697 3491:3493" x14ac:dyDescent="0.3">
      <c r="B1038" t="s">
        <v>4523</v>
      </c>
      <c r="AKQ1038">
        <v>1</v>
      </c>
      <c r="CYQ1038">
        <v>1</v>
      </c>
      <c r="EDG1038">
        <f>SUMPRODUCT(Constraint_1032,Decision_variables)</f>
        <v>0</v>
      </c>
      <c r="EDH1038" t="s">
        <v>5265</v>
      </c>
      <c r="EDI1038">
        <v>1</v>
      </c>
    </row>
    <row r="1039" spans="2:981 2682:2697 3491:3493" x14ac:dyDescent="0.3">
      <c r="B1039" t="s">
        <v>4524</v>
      </c>
      <c r="AKR1039">
        <v>1</v>
      </c>
      <c r="CYR1039">
        <v>1</v>
      </c>
      <c r="EDG1039">
        <f>SUMPRODUCT(Constraint_1033,Decision_variables)</f>
        <v>0</v>
      </c>
      <c r="EDH1039" t="s">
        <v>5265</v>
      </c>
      <c r="EDI1039">
        <v>1</v>
      </c>
    </row>
    <row r="1040" spans="2:981 2682:2697 3491:3493" x14ac:dyDescent="0.3">
      <c r="B1040" t="s">
        <v>4525</v>
      </c>
      <c r="AKS1040">
        <v>1</v>
      </c>
      <c r="CYS1040">
        <v>1</v>
      </c>
      <c r="EDG1040">
        <f>SUMPRODUCT(Constraint_1034,Decision_variables)</f>
        <v>0</v>
      </c>
      <c r="EDH1040" t="s">
        <v>5265</v>
      </c>
      <c r="EDI1040">
        <v>1</v>
      </c>
    </row>
    <row r="1041" spans="2:997 2698:2713 3491:3493" x14ac:dyDescent="0.3">
      <c r="B1041" t="s">
        <v>4526</v>
      </c>
      <c r="AKT1041">
        <v>1</v>
      </c>
      <c r="CYT1041">
        <v>1</v>
      </c>
      <c r="EDG1041">
        <f>SUMPRODUCT(Constraint_1035,Decision_variables)</f>
        <v>0</v>
      </c>
      <c r="EDH1041" t="s">
        <v>5265</v>
      </c>
      <c r="EDI1041">
        <v>1</v>
      </c>
    </row>
    <row r="1042" spans="2:997 2698:2713 3491:3493" x14ac:dyDescent="0.3">
      <c r="B1042" t="s">
        <v>4527</v>
      </c>
      <c r="AKU1042">
        <v>1</v>
      </c>
      <c r="CYU1042">
        <v>1</v>
      </c>
      <c r="EDG1042">
        <f>SUMPRODUCT(Constraint_1036,Decision_variables)</f>
        <v>0</v>
      </c>
      <c r="EDH1042" t="s">
        <v>5265</v>
      </c>
      <c r="EDI1042">
        <v>1</v>
      </c>
    </row>
    <row r="1043" spans="2:997 2698:2713 3491:3493" x14ac:dyDescent="0.3">
      <c r="B1043" t="s">
        <v>4528</v>
      </c>
      <c r="AKV1043">
        <v>1</v>
      </c>
      <c r="CYV1043">
        <v>1</v>
      </c>
      <c r="EDG1043">
        <f>SUMPRODUCT(Constraint_1037,Decision_variables)</f>
        <v>0</v>
      </c>
      <c r="EDH1043" t="s">
        <v>5265</v>
      </c>
      <c r="EDI1043">
        <v>1</v>
      </c>
    </row>
    <row r="1044" spans="2:997 2698:2713 3491:3493" x14ac:dyDescent="0.3">
      <c r="B1044" t="s">
        <v>4529</v>
      </c>
      <c r="AKW1044">
        <v>1</v>
      </c>
      <c r="CYW1044">
        <v>1</v>
      </c>
      <c r="EDG1044">
        <f>SUMPRODUCT(Constraint_1038,Decision_variables)</f>
        <v>0</v>
      </c>
      <c r="EDH1044" t="s">
        <v>5265</v>
      </c>
      <c r="EDI1044">
        <v>1</v>
      </c>
    </row>
    <row r="1045" spans="2:997 2698:2713 3491:3493" x14ac:dyDescent="0.3">
      <c r="B1045" t="s">
        <v>4530</v>
      </c>
      <c r="AKX1045">
        <v>1</v>
      </c>
      <c r="CYX1045">
        <v>1</v>
      </c>
      <c r="EDG1045">
        <f>SUMPRODUCT(Constraint_1039,Decision_variables)</f>
        <v>0</v>
      </c>
      <c r="EDH1045" t="s">
        <v>5265</v>
      </c>
      <c r="EDI1045">
        <v>1</v>
      </c>
    </row>
    <row r="1046" spans="2:997 2698:2713 3491:3493" x14ac:dyDescent="0.3">
      <c r="B1046" t="s">
        <v>4531</v>
      </c>
      <c r="AKY1046">
        <v>1</v>
      </c>
      <c r="CYY1046">
        <v>1</v>
      </c>
      <c r="EDG1046">
        <f>SUMPRODUCT(Constraint_1040,Decision_variables)</f>
        <v>0</v>
      </c>
      <c r="EDH1046" t="s">
        <v>5265</v>
      </c>
      <c r="EDI1046">
        <v>1</v>
      </c>
    </row>
    <row r="1047" spans="2:997 2698:2713 3491:3493" x14ac:dyDescent="0.3">
      <c r="B1047" t="s">
        <v>4532</v>
      </c>
      <c r="AKZ1047">
        <v>1</v>
      </c>
      <c r="CYZ1047">
        <v>1</v>
      </c>
      <c r="EDG1047">
        <f>SUMPRODUCT(Constraint_1041,Decision_variables)</f>
        <v>0</v>
      </c>
      <c r="EDH1047" t="s">
        <v>5265</v>
      </c>
      <c r="EDI1047">
        <v>1</v>
      </c>
    </row>
    <row r="1048" spans="2:997 2698:2713 3491:3493" x14ac:dyDescent="0.3">
      <c r="B1048" t="s">
        <v>4533</v>
      </c>
      <c r="ALA1048">
        <v>1</v>
      </c>
      <c r="CZA1048">
        <v>1</v>
      </c>
      <c r="EDG1048">
        <f>SUMPRODUCT(Constraint_1042,Decision_variables)</f>
        <v>0</v>
      </c>
      <c r="EDH1048" t="s">
        <v>5265</v>
      </c>
      <c r="EDI1048">
        <v>1</v>
      </c>
    </row>
    <row r="1049" spans="2:997 2698:2713 3491:3493" x14ac:dyDescent="0.3">
      <c r="B1049" t="s">
        <v>4534</v>
      </c>
      <c r="ALB1049">
        <v>1</v>
      </c>
      <c r="CZB1049">
        <v>1</v>
      </c>
      <c r="EDG1049">
        <f>SUMPRODUCT(Constraint_1043,Decision_variables)</f>
        <v>0</v>
      </c>
      <c r="EDH1049" t="s">
        <v>5265</v>
      </c>
      <c r="EDI1049">
        <v>1</v>
      </c>
    </row>
    <row r="1050" spans="2:997 2698:2713 3491:3493" x14ac:dyDescent="0.3">
      <c r="B1050" t="s">
        <v>4535</v>
      </c>
      <c r="ALC1050">
        <v>1</v>
      </c>
      <c r="CZC1050">
        <v>1</v>
      </c>
      <c r="EDG1050">
        <f>SUMPRODUCT(Constraint_1044,Decision_variables)</f>
        <v>0</v>
      </c>
      <c r="EDH1050" t="s">
        <v>5265</v>
      </c>
      <c r="EDI1050">
        <v>1</v>
      </c>
    </row>
    <row r="1051" spans="2:997 2698:2713 3491:3493" x14ac:dyDescent="0.3">
      <c r="B1051" t="s">
        <v>4536</v>
      </c>
      <c r="ALD1051">
        <v>1</v>
      </c>
      <c r="CZD1051">
        <v>1</v>
      </c>
      <c r="EDG1051">
        <f>SUMPRODUCT(Constraint_1045,Decision_variables)</f>
        <v>0</v>
      </c>
      <c r="EDH1051" t="s">
        <v>5265</v>
      </c>
      <c r="EDI1051">
        <v>1</v>
      </c>
    </row>
    <row r="1052" spans="2:997 2698:2713 3491:3493" x14ac:dyDescent="0.3">
      <c r="B1052" t="s">
        <v>4537</v>
      </c>
      <c r="ALE1052">
        <v>1</v>
      </c>
      <c r="CZE1052">
        <v>1</v>
      </c>
      <c r="EDG1052">
        <f>SUMPRODUCT(Constraint_1046,Decision_variables)</f>
        <v>0</v>
      </c>
      <c r="EDH1052" t="s">
        <v>5265</v>
      </c>
      <c r="EDI1052">
        <v>1</v>
      </c>
    </row>
    <row r="1053" spans="2:997 2698:2713 3491:3493" x14ac:dyDescent="0.3">
      <c r="B1053" t="s">
        <v>4538</v>
      </c>
      <c r="ALF1053">
        <v>1</v>
      </c>
      <c r="CZF1053">
        <v>1</v>
      </c>
      <c r="EDG1053">
        <f>SUMPRODUCT(Constraint_1047,Decision_variables)</f>
        <v>0</v>
      </c>
      <c r="EDH1053" t="s">
        <v>5265</v>
      </c>
      <c r="EDI1053">
        <v>1</v>
      </c>
    </row>
    <row r="1054" spans="2:997 2698:2713 3491:3493" x14ac:dyDescent="0.3">
      <c r="B1054" t="s">
        <v>4539</v>
      </c>
      <c r="ALG1054">
        <v>1</v>
      </c>
      <c r="CZG1054">
        <v>1</v>
      </c>
      <c r="EDG1054">
        <f>SUMPRODUCT(Constraint_1048,Decision_variables)</f>
        <v>0</v>
      </c>
      <c r="EDH1054" t="s">
        <v>5265</v>
      </c>
      <c r="EDI1054">
        <v>1</v>
      </c>
    </row>
    <row r="1055" spans="2:997 2698:2713 3491:3493" x14ac:dyDescent="0.3">
      <c r="B1055" t="s">
        <v>4540</v>
      </c>
      <c r="ALH1055">
        <v>1</v>
      </c>
      <c r="CZH1055">
        <v>1</v>
      </c>
      <c r="EDG1055">
        <f>SUMPRODUCT(Constraint_1049,Decision_variables)</f>
        <v>0</v>
      </c>
      <c r="EDH1055" t="s">
        <v>5265</v>
      </c>
      <c r="EDI1055">
        <v>1</v>
      </c>
    </row>
    <row r="1056" spans="2:997 2698:2713 3491:3493" x14ac:dyDescent="0.3">
      <c r="B1056" t="s">
        <v>4541</v>
      </c>
      <c r="ALI1056">
        <v>1</v>
      </c>
      <c r="CZI1056">
        <v>1</v>
      </c>
      <c r="EDG1056">
        <f>SUMPRODUCT(Constraint_1050,Decision_variables)</f>
        <v>0</v>
      </c>
      <c r="EDH1056" t="s">
        <v>5265</v>
      </c>
      <c r="EDI1056">
        <v>1</v>
      </c>
    </row>
    <row r="1057" spans="2:1013 2714:2729 3491:3493" x14ac:dyDescent="0.3">
      <c r="B1057" t="s">
        <v>4542</v>
      </c>
      <c r="ALJ1057">
        <v>1</v>
      </c>
      <c r="CZJ1057">
        <v>1</v>
      </c>
      <c r="EDG1057">
        <f>SUMPRODUCT(Constraint_1051,Decision_variables)</f>
        <v>0</v>
      </c>
      <c r="EDH1057" t="s">
        <v>5265</v>
      </c>
      <c r="EDI1057">
        <v>1</v>
      </c>
    </row>
    <row r="1058" spans="2:1013 2714:2729 3491:3493" x14ac:dyDescent="0.3">
      <c r="B1058" t="s">
        <v>4543</v>
      </c>
      <c r="ALK1058">
        <v>1</v>
      </c>
      <c r="CZK1058">
        <v>1</v>
      </c>
      <c r="EDG1058">
        <f>SUMPRODUCT(Constraint_1052,Decision_variables)</f>
        <v>0</v>
      </c>
      <c r="EDH1058" t="s">
        <v>5265</v>
      </c>
      <c r="EDI1058">
        <v>1</v>
      </c>
    </row>
    <row r="1059" spans="2:1013 2714:2729 3491:3493" x14ac:dyDescent="0.3">
      <c r="B1059" t="s">
        <v>4544</v>
      </c>
      <c r="ALL1059">
        <v>1</v>
      </c>
      <c r="CZL1059">
        <v>1</v>
      </c>
      <c r="EDG1059">
        <f>SUMPRODUCT(Constraint_1053,Decision_variables)</f>
        <v>0</v>
      </c>
      <c r="EDH1059" t="s">
        <v>5265</v>
      </c>
      <c r="EDI1059">
        <v>1</v>
      </c>
    </row>
    <row r="1060" spans="2:1013 2714:2729 3491:3493" x14ac:dyDescent="0.3">
      <c r="B1060" t="s">
        <v>4545</v>
      </c>
      <c r="ALM1060">
        <v>1</v>
      </c>
      <c r="CZM1060">
        <v>1</v>
      </c>
      <c r="EDG1060">
        <f>SUMPRODUCT(Constraint_1054,Decision_variables)</f>
        <v>0</v>
      </c>
      <c r="EDH1060" t="s">
        <v>5265</v>
      </c>
      <c r="EDI1060">
        <v>1</v>
      </c>
    </row>
    <row r="1061" spans="2:1013 2714:2729 3491:3493" x14ac:dyDescent="0.3">
      <c r="B1061" t="s">
        <v>4546</v>
      </c>
      <c r="ALN1061">
        <v>1</v>
      </c>
      <c r="CZN1061">
        <v>1</v>
      </c>
      <c r="EDG1061">
        <f>SUMPRODUCT(Constraint_1055,Decision_variables)</f>
        <v>0</v>
      </c>
      <c r="EDH1061" t="s">
        <v>5265</v>
      </c>
      <c r="EDI1061">
        <v>1</v>
      </c>
    </row>
    <row r="1062" spans="2:1013 2714:2729 3491:3493" x14ac:dyDescent="0.3">
      <c r="B1062" t="s">
        <v>4547</v>
      </c>
      <c r="ALO1062">
        <v>1</v>
      </c>
      <c r="CZO1062">
        <v>1</v>
      </c>
      <c r="EDG1062">
        <f>SUMPRODUCT(Constraint_1056,Decision_variables)</f>
        <v>0</v>
      </c>
      <c r="EDH1062" t="s">
        <v>5265</v>
      </c>
      <c r="EDI1062">
        <v>1</v>
      </c>
    </row>
    <row r="1063" spans="2:1013 2714:2729 3491:3493" x14ac:dyDescent="0.3">
      <c r="B1063" t="s">
        <v>4548</v>
      </c>
      <c r="ALP1063">
        <v>1</v>
      </c>
      <c r="CZP1063">
        <v>1</v>
      </c>
      <c r="EDG1063">
        <f>SUMPRODUCT(Constraint_1057,Decision_variables)</f>
        <v>0</v>
      </c>
      <c r="EDH1063" t="s">
        <v>5265</v>
      </c>
      <c r="EDI1063">
        <v>1</v>
      </c>
    </row>
    <row r="1064" spans="2:1013 2714:2729 3491:3493" x14ac:dyDescent="0.3">
      <c r="B1064" t="s">
        <v>4549</v>
      </c>
      <c r="ALQ1064">
        <v>1</v>
      </c>
      <c r="CZQ1064">
        <v>1</v>
      </c>
      <c r="EDG1064">
        <f>SUMPRODUCT(Constraint_1058,Decision_variables)</f>
        <v>0</v>
      </c>
      <c r="EDH1064" t="s">
        <v>5265</v>
      </c>
      <c r="EDI1064">
        <v>1</v>
      </c>
    </row>
    <row r="1065" spans="2:1013 2714:2729 3491:3493" x14ac:dyDescent="0.3">
      <c r="B1065" t="s">
        <v>4550</v>
      </c>
      <c r="ALR1065">
        <v>1</v>
      </c>
      <c r="CZR1065">
        <v>1</v>
      </c>
      <c r="EDG1065">
        <f>SUMPRODUCT(Constraint_1059,Decision_variables)</f>
        <v>0</v>
      </c>
      <c r="EDH1065" t="s">
        <v>5265</v>
      </c>
      <c r="EDI1065">
        <v>1</v>
      </c>
    </row>
    <row r="1066" spans="2:1013 2714:2729 3491:3493" x14ac:dyDescent="0.3">
      <c r="B1066" t="s">
        <v>4551</v>
      </c>
      <c r="ALS1066">
        <v>1</v>
      </c>
      <c r="CZS1066">
        <v>1</v>
      </c>
      <c r="EDG1066">
        <f>SUMPRODUCT(Constraint_1060,Decision_variables)</f>
        <v>0</v>
      </c>
      <c r="EDH1066" t="s">
        <v>5265</v>
      </c>
      <c r="EDI1066">
        <v>1</v>
      </c>
    </row>
    <row r="1067" spans="2:1013 2714:2729 3491:3493" x14ac:dyDescent="0.3">
      <c r="B1067" t="s">
        <v>4552</v>
      </c>
      <c r="ALT1067">
        <v>1</v>
      </c>
      <c r="CZT1067">
        <v>1</v>
      </c>
      <c r="EDG1067">
        <f>SUMPRODUCT(Constraint_1061,Decision_variables)</f>
        <v>0</v>
      </c>
      <c r="EDH1067" t="s">
        <v>5265</v>
      </c>
      <c r="EDI1067">
        <v>1</v>
      </c>
    </row>
    <row r="1068" spans="2:1013 2714:2729 3491:3493" x14ac:dyDescent="0.3">
      <c r="B1068" t="s">
        <v>4553</v>
      </c>
      <c r="ALU1068">
        <v>1</v>
      </c>
      <c r="CZU1068">
        <v>1</v>
      </c>
      <c r="EDG1068">
        <f>SUMPRODUCT(Constraint_1062,Decision_variables)</f>
        <v>0</v>
      </c>
      <c r="EDH1068" t="s">
        <v>5265</v>
      </c>
      <c r="EDI1068">
        <v>1</v>
      </c>
    </row>
    <row r="1069" spans="2:1013 2714:2729 3491:3493" x14ac:dyDescent="0.3">
      <c r="B1069" t="s">
        <v>4554</v>
      </c>
      <c r="ALV1069">
        <v>1</v>
      </c>
      <c r="CZV1069">
        <v>1</v>
      </c>
      <c r="EDG1069">
        <f>SUMPRODUCT(Constraint_1063,Decision_variables)</f>
        <v>0</v>
      </c>
      <c r="EDH1069" t="s">
        <v>5265</v>
      </c>
      <c r="EDI1069">
        <v>1</v>
      </c>
    </row>
    <row r="1070" spans="2:1013 2714:2729 3491:3493" x14ac:dyDescent="0.3">
      <c r="B1070" t="s">
        <v>4555</v>
      </c>
      <c r="ALW1070">
        <v>1</v>
      </c>
      <c r="CZW1070">
        <v>1</v>
      </c>
      <c r="EDG1070">
        <f>SUMPRODUCT(Constraint_1064,Decision_variables)</f>
        <v>0</v>
      </c>
      <c r="EDH1070" t="s">
        <v>5265</v>
      </c>
      <c r="EDI1070">
        <v>1</v>
      </c>
    </row>
    <row r="1071" spans="2:1013 2714:2729 3491:3493" x14ac:dyDescent="0.3">
      <c r="B1071" t="s">
        <v>4556</v>
      </c>
      <c r="ALX1071">
        <v>1</v>
      </c>
      <c r="CZX1071">
        <v>1</v>
      </c>
      <c r="EDG1071">
        <f>SUMPRODUCT(Constraint_1065,Decision_variables)</f>
        <v>0</v>
      </c>
      <c r="EDH1071" t="s">
        <v>5265</v>
      </c>
      <c r="EDI1071">
        <v>1</v>
      </c>
    </row>
    <row r="1072" spans="2:1013 2714:2729 3491:3493" x14ac:dyDescent="0.3">
      <c r="B1072" t="s">
        <v>4557</v>
      </c>
      <c r="ALY1072">
        <v>1</v>
      </c>
      <c r="CZY1072">
        <v>1</v>
      </c>
      <c r="EDG1072">
        <f>SUMPRODUCT(Constraint_1066,Decision_variables)</f>
        <v>0</v>
      </c>
      <c r="EDH1072" t="s">
        <v>5265</v>
      </c>
      <c r="EDI1072">
        <v>1</v>
      </c>
    </row>
    <row r="1073" spans="2:1029 2730:2745 3491:3493" x14ac:dyDescent="0.3">
      <c r="B1073" t="s">
        <v>4558</v>
      </c>
      <c r="ALZ1073">
        <v>1</v>
      </c>
      <c r="CZZ1073">
        <v>1</v>
      </c>
      <c r="EDG1073">
        <f>SUMPRODUCT(Constraint_1067,Decision_variables)</f>
        <v>0</v>
      </c>
      <c r="EDH1073" t="s">
        <v>5265</v>
      </c>
      <c r="EDI1073">
        <v>1</v>
      </c>
    </row>
    <row r="1074" spans="2:1029 2730:2745 3491:3493" x14ac:dyDescent="0.3">
      <c r="B1074" t="s">
        <v>4559</v>
      </c>
      <c r="AMA1074">
        <v>1</v>
      </c>
      <c r="DAA1074">
        <v>1</v>
      </c>
      <c r="EDG1074">
        <f>SUMPRODUCT(Constraint_1068,Decision_variables)</f>
        <v>0</v>
      </c>
      <c r="EDH1074" t="s">
        <v>5265</v>
      </c>
      <c r="EDI1074">
        <v>1</v>
      </c>
    </row>
    <row r="1075" spans="2:1029 2730:2745 3491:3493" x14ac:dyDescent="0.3">
      <c r="B1075" t="s">
        <v>4560</v>
      </c>
      <c r="AMB1075">
        <v>1</v>
      </c>
      <c r="DAB1075">
        <v>1</v>
      </c>
      <c r="EDG1075">
        <f>SUMPRODUCT(Constraint_1069,Decision_variables)</f>
        <v>0</v>
      </c>
      <c r="EDH1075" t="s">
        <v>5265</v>
      </c>
      <c r="EDI1075">
        <v>1</v>
      </c>
    </row>
    <row r="1076" spans="2:1029 2730:2745 3491:3493" x14ac:dyDescent="0.3">
      <c r="B1076" t="s">
        <v>4561</v>
      </c>
      <c r="AMC1076">
        <v>1</v>
      </c>
      <c r="DAC1076">
        <v>1</v>
      </c>
      <c r="EDG1076">
        <f>SUMPRODUCT(Constraint_1070,Decision_variables)</f>
        <v>0</v>
      </c>
      <c r="EDH1076" t="s">
        <v>5265</v>
      </c>
      <c r="EDI1076">
        <v>1</v>
      </c>
    </row>
    <row r="1077" spans="2:1029 2730:2745 3491:3493" x14ac:dyDescent="0.3">
      <c r="B1077" t="s">
        <v>4562</v>
      </c>
      <c r="AMD1077">
        <v>1</v>
      </c>
      <c r="DAD1077">
        <v>1</v>
      </c>
      <c r="EDG1077">
        <f>SUMPRODUCT(Constraint_1071,Decision_variables)</f>
        <v>0</v>
      </c>
      <c r="EDH1077" t="s">
        <v>5265</v>
      </c>
      <c r="EDI1077">
        <v>1</v>
      </c>
    </row>
    <row r="1078" spans="2:1029 2730:2745 3491:3493" x14ac:dyDescent="0.3">
      <c r="B1078" t="s">
        <v>4563</v>
      </c>
      <c r="AME1078">
        <v>1</v>
      </c>
      <c r="DAE1078">
        <v>1</v>
      </c>
      <c r="EDG1078">
        <f>SUMPRODUCT(Constraint_1072,Decision_variables)</f>
        <v>0</v>
      </c>
      <c r="EDH1078" t="s">
        <v>5265</v>
      </c>
      <c r="EDI1078">
        <v>1</v>
      </c>
    </row>
    <row r="1079" spans="2:1029 2730:2745 3491:3493" x14ac:dyDescent="0.3">
      <c r="B1079" t="s">
        <v>4564</v>
      </c>
      <c r="AMF1079">
        <v>1</v>
      </c>
      <c r="DAF1079">
        <v>1</v>
      </c>
      <c r="EDG1079">
        <f>SUMPRODUCT(Constraint_1073,Decision_variables)</f>
        <v>0</v>
      </c>
      <c r="EDH1079" t="s">
        <v>5265</v>
      </c>
      <c r="EDI1079">
        <v>1</v>
      </c>
    </row>
    <row r="1080" spans="2:1029 2730:2745 3491:3493" x14ac:dyDescent="0.3">
      <c r="B1080" t="s">
        <v>4565</v>
      </c>
      <c r="AMG1080">
        <v>1</v>
      </c>
      <c r="DAG1080">
        <v>1</v>
      </c>
      <c r="EDG1080">
        <f>SUMPRODUCT(Constraint_1074,Decision_variables)</f>
        <v>0</v>
      </c>
      <c r="EDH1080" t="s">
        <v>5265</v>
      </c>
      <c r="EDI1080">
        <v>1</v>
      </c>
    </row>
    <row r="1081" spans="2:1029 2730:2745 3491:3493" x14ac:dyDescent="0.3">
      <c r="B1081" t="s">
        <v>4566</v>
      </c>
      <c r="AMH1081">
        <v>1</v>
      </c>
      <c r="DAH1081">
        <v>1</v>
      </c>
      <c r="EDG1081">
        <f>SUMPRODUCT(Constraint_1075,Decision_variables)</f>
        <v>0</v>
      </c>
      <c r="EDH1081" t="s">
        <v>5265</v>
      </c>
      <c r="EDI1081">
        <v>1</v>
      </c>
    </row>
    <row r="1082" spans="2:1029 2730:2745 3491:3493" x14ac:dyDescent="0.3">
      <c r="B1082" t="s">
        <v>4567</v>
      </c>
      <c r="AMI1082">
        <v>1</v>
      </c>
      <c r="DAI1082">
        <v>1</v>
      </c>
      <c r="EDG1082">
        <f>SUMPRODUCT(Constraint_1076,Decision_variables)</f>
        <v>0</v>
      </c>
      <c r="EDH1082" t="s">
        <v>5265</v>
      </c>
      <c r="EDI1082">
        <v>1</v>
      </c>
    </row>
    <row r="1083" spans="2:1029 2730:2745 3491:3493" x14ac:dyDescent="0.3">
      <c r="B1083" t="s">
        <v>4568</v>
      </c>
      <c r="AMJ1083">
        <v>1</v>
      </c>
      <c r="DAJ1083">
        <v>1</v>
      </c>
      <c r="EDG1083">
        <f>SUMPRODUCT(Constraint_1077,Decision_variables)</f>
        <v>0</v>
      </c>
      <c r="EDH1083" t="s">
        <v>5265</v>
      </c>
      <c r="EDI1083">
        <v>1</v>
      </c>
    </row>
    <row r="1084" spans="2:1029 2730:2745 3491:3493" x14ac:dyDescent="0.3">
      <c r="B1084" t="s">
        <v>4569</v>
      </c>
      <c r="AMK1084">
        <v>1</v>
      </c>
      <c r="DAK1084">
        <v>1</v>
      </c>
      <c r="EDG1084">
        <f>SUMPRODUCT(Constraint_1078,Decision_variables)</f>
        <v>0</v>
      </c>
      <c r="EDH1084" t="s">
        <v>5265</v>
      </c>
      <c r="EDI1084">
        <v>1</v>
      </c>
    </row>
    <row r="1085" spans="2:1029 2730:2745 3491:3493" x14ac:dyDescent="0.3">
      <c r="B1085" t="s">
        <v>4570</v>
      </c>
      <c r="AML1085">
        <v>1</v>
      </c>
      <c r="DAL1085">
        <v>1</v>
      </c>
      <c r="EDG1085">
        <f>SUMPRODUCT(Constraint_1079,Decision_variables)</f>
        <v>0</v>
      </c>
      <c r="EDH1085" t="s">
        <v>5265</v>
      </c>
      <c r="EDI1085">
        <v>1</v>
      </c>
    </row>
    <row r="1086" spans="2:1029 2730:2745 3491:3493" x14ac:dyDescent="0.3">
      <c r="B1086" t="s">
        <v>4571</v>
      </c>
      <c r="AMM1086">
        <v>1</v>
      </c>
      <c r="DAM1086">
        <v>1</v>
      </c>
      <c r="EDG1086">
        <f>SUMPRODUCT(Constraint_1080,Decision_variables)</f>
        <v>0</v>
      </c>
      <c r="EDH1086" t="s">
        <v>5265</v>
      </c>
      <c r="EDI1086">
        <v>1</v>
      </c>
    </row>
    <row r="1087" spans="2:1029 2730:2745 3491:3493" x14ac:dyDescent="0.3">
      <c r="B1087" t="s">
        <v>4572</v>
      </c>
      <c r="AMN1087">
        <v>1</v>
      </c>
      <c r="DAN1087">
        <v>1</v>
      </c>
      <c r="EDG1087">
        <f>SUMPRODUCT(Constraint_1081,Decision_variables)</f>
        <v>0</v>
      </c>
      <c r="EDH1087" t="s">
        <v>5265</v>
      </c>
      <c r="EDI1087">
        <v>1</v>
      </c>
    </row>
    <row r="1088" spans="2:1029 2730:2745 3491:3493" x14ac:dyDescent="0.3">
      <c r="B1088" t="s">
        <v>4573</v>
      </c>
      <c r="AMO1088">
        <v>1</v>
      </c>
      <c r="DAO1088">
        <v>1</v>
      </c>
      <c r="EDG1088">
        <f>SUMPRODUCT(Constraint_1082,Decision_variables)</f>
        <v>0</v>
      </c>
      <c r="EDH1088" t="s">
        <v>5265</v>
      </c>
      <c r="EDI1088">
        <v>1</v>
      </c>
    </row>
    <row r="1089" spans="2:2 1030:1045 2746:2761 3491:3493" x14ac:dyDescent="0.3">
      <c r="B1089" t="s">
        <v>4574</v>
      </c>
      <c r="AMP1089">
        <v>1</v>
      </c>
      <c r="DAP1089">
        <v>1</v>
      </c>
      <c r="EDG1089">
        <f>SUMPRODUCT(Constraint_1083,Decision_variables)</f>
        <v>0</v>
      </c>
      <c r="EDH1089" t="s">
        <v>5265</v>
      </c>
      <c r="EDI1089">
        <v>1</v>
      </c>
    </row>
    <row r="1090" spans="2:2 1030:1045 2746:2761 3491:3493" x14ac:dyDescent="0.3">
      <c r="B1090" t="s">
        <v>4575</v>
      </c>
      <c r="AMQ1090">
        <v>1</v>
      </c>
      <c r="DAQ1090">
        <v>1</v>
      </c>
      <c r="EDG1090">
        <f>SUMPRODUCT(Constraint_1084,Decision_variables)</f>
        <v>0</v>
      </c>
      <c r="EDH1090" t="s">
        <v>5265</v>
      </c>
      <c r="EDI1090">
        <v>1</v>
      </c>
    </row>
    <row r="1091" spans="2:2 1030:1045 2746:2761 3491:3493" x14ac:dyDescent="0.3">
      <c r="B1091" t="s">
        <v>4576</v>
      </c>
      <c r="AMR1091">
        <v>1</v>
      </c>
      <c r="DAR1091">
        <v>1</v>
      </c>
      <c r="EDG1091">
        <f>SUMPRODUCT(Constraint_1085,Decision_variables)</f>
        <v>0</v>
      </c>
      <c r="EDH1091" t="s">
        <v>5265</v>
      </c>
      <c r="EDI1091">
        <v>1</v>
      </c>
    </row>
    <row r="1092" spans="2:2 1030:1045 2746:2761 3491:3493" x14ac:dyDescent="0.3">
      <c r="B1092" t="s">
        <v>4577</v>
      </c>
      <c r="AMS1092">
        <v>1</v>
      </c>
      <c r="DAS1092">
        <v>1</v>
      </c>
      <c r="EDG1092">
        <f>SUMPRODUCT(Constraint_1086,Decision_variables)</f>
        <v>0</v>
      </c>
      <c r="EDH1092" t="s">
        <v>5265</v>
      </c>
      <c r="EDI1092">
        <v>1</v>
      </c>
    </row>
    <row r="1093" spans="2:2 1030:1045 2746:2761 3491:3493" x14ac:dyDescent="0.3">
      <c r="B1093" t="s">
        <v>4578</v>
      </c>
      <c r="AMT1093">
        <v>1</v>
      </c>
      <c r="DAT1093">
        <v>1</v>
      </c>
      <c r="EDG1093">
        <f>SUMPRODUCT(Constraint_1087,Decision_variables)</f>
        <v>0</v>
      </c>
      <c r="EDH1093" t="s">
        <v>5265</v>
      </c>
      <c r="EDI1093">
        <v>1</v>
      </c>
    </row>
    <row r="1094" spans="2:2 1030:1045 2746:2761 3491:3493" x14ac:dyDescent="0.3">
      <c r="B1094" t="s">
        <v>4579</v>
      </c>
      <c r="AMU1094">
        <v>1</v>
      </c>
      <c r="DAU1094">
        <v>1</v>
      </c>
      <c r="EDG1094">
        <f>SUMPRODUCT(Constraint_1088,Decision_variables)</f>
        <v>0</v>
      </c>
      <c r="EDH1094" t="s">
        <v>5265</v>
      </c>
      <c r="EDI1094">
        <v>1</v>
      </c>
    </row>
    <row r="1095" spans="2:2 1030:1045 2746:2761 3491:3493" x14ac:dyDescent="0.3">
      <c r="B1095" t="s">
        <v>4580</v>
      </c>
      <c r="AMV1095">
        <v>1</v>
      </c>
      <c r="DAV1095">
        <v>1</v>
      </c>
      <c r="EDG1095">
        <f>SUMPRODUCT(Constraint_1089,Decision_variables)</f>
        <v>0</v>
      </c>
      <c r="EDH1095" t="s">
        <v>5265</v>
      </c>
      <c r="EDI1095">
        <v>1</v>
      </c>
    </row>
    <row r="1096" spans="2:2 1030:1045 2746:2761 3491:3493" x14ac:dyDescent="0.3">
      <c r="B1096" t="s">
        <v>4581</v>
      </c>
      <c r="AMW1096">
        <v>1</v>
      </c>
      <c r="DAW1096">
        <v>1</v>
      </c>
      <c r="EDG1096">
        <f>SUMPRODUCT(Constraint_1090,Decision_variables)</f>
        <v>0</v>
      </c>
      <c r="EDH1096" t="s">
        <v>5265</v>
      </c>
      <c r="EDI1096">
        <v>1</v>
      </c>
    </row>
    <row r="1097" spans="2:2 1030:1045 2746:2761 3491:3493" x14ac:dyDescent="0.3">
      <c r="B1097" t="s">
        <v>4582</v>
      </c>
      <c r="AMX1097">
        <v>1</v>
      </c>
      <c r="DAX1097">
        <v>1</v>
      </c>
      <c r="EDG1097">
        <f>SUMPRODUCT(Constraint_1091,Decision_variables)</f>
        <v>0</v>
      </c>
      <c r="EDH1097" t="s">
        <v>5265</v>
      </c>
      <c r="EDI1097">
        <v>1</v>
      </c>
    </row>
    <row r="1098" spans="2:2 1030:1045 2746:2761 3491:3493" x14ac:dyDescent="0.3">
      <c r="B1098" t="s">
        <v>4583</v>
      </c>
      <c r="AMY1098">
        <v>1</v>
      </c>
      <c r="DAY1098">
        <v>1</v>
      </c>
      <c r="EDG1098">
        <f>SUMPRODUCT(Constraint_1092,Decision_variables)</f>
        <v>0</v>
      </c>
      <c r="EDH1098" t="s">
        <v>5265</v>
      </c>
      <c r="EDI1098">
        <v>1</v>
      </c>
    </row>
    <row r="1099" spans="2:2 1030:1045 2746:2761 3491:3493" x14ac:dyDescent="0.3">
      <c r="B1099" t="s">
        <v>4584</v>
      </c>
      <c r="AMZ1099">
        <v>1</v>
      </c>
      <c r="DAZ1099">
        <v>1</v>
      </c>
      <c r="EDG1099">
        <f>SUMPRODUCT(Constraint_1093,Decision_variables)</f>
        <v>0</v>
      </c>
      <c r="EDH1099" t="s">
        <v>5265</v>
      </c>
      <c r="EDI1099">
        <v>1</v>
      </c>
    </row>
    <row r="1100" spans="2:2 1030:1045 2746:2761 3491:3493" x14ac:dyDescent="0.3">
      <c r="B1100" t="s">
        <v>4585</v>
      </c>
      <c r="ANA1100">
        <v>1</v>
      </c>
      <c r="DBA1100">
        <v>1</v>
      </c>
      <c r="EDG1100">
        <f>SUMPRODUCT(Constraint_1094,Decision_variables)</f>
        <v>0</v>
      </c>
      <c r="EDH1100" t="s">
        <v>5265</v>
      </c>
      <c r="EDI1100">
        <v>1</v>
      </c>
    </row>
    <row r="1101" spans="2:2 1030:1045 2746:2761 3491:3493" x14ac:dyDescent="0.3">
      <c r="B1101" t="s">
        <v>4586</v>
      </c>
      <c r="ANB1101">
        <v>1</v>
      </c>
      <c r="DBB1101">
        <v>1</v>
      </c>
      <c r="EDG1101">
        <f>SUMPRODUCT(Constraint_1095,Decision_variables)</f>
        <v>0</v>
      </c>
      <c r="EDH1101" t="s">
        <v>5265</v>
      </c>
      <c r="EDI1101">
        <v>1</v>
      </c>
    </row>
    <row r="1102" spans="2:2 1030:1045 2746:2761 3491:3493" x14ac:dyDescent="0.3">
      <c r="B1102" t="s">
        <v>4587</v>
      </c>
      <c r="ANC1102">
        <v>1</v>
      </c>
      <c r="DBC1102">
        <v>1</v>
      </c>
      <c r="EDG1102">
        <f>SUMPRODUCT(Constraint_1096,Decision_variables)</f>
        <v>0</v>
      </c>
      <c r="EDH1102" t="s">
        <v>5265</v>
      </c>
      <c r="EDI1102">
        <v>1</v>
      </c>
    </row>
    <row r="1103" spans="2:2 1030:1045 2746:2761 3491:3493" x14ac:dyDescent="0.3">
      <c r="B1103" t="s">
        <v>4588</v>
      </c>
      <c r="AND1103">
        <v>1</v>
      </c>
      <c r="DBD1103">
        <v>1</v>
      </c>
      <c r="EDG1103">
        <f>SUMPRODUCT(Constraint_1097,Decision_variables)</f>
        <v>0</v>
      </c>
      <c r="EDH1103" t="s">
        <v>5265</v>
      </c>
      <c r="EDI1103">
        <v>1</v>
      </c>
    </row>
    <row r="1104" spans="2:2 1030:1045 2746:2761 3491:3493" x14ac:dyDescent="0.3">
      <c r="B1104" t="s">
        <v>4589</v>
      </c>
      <c r="ANE1104">
        <v>1</v>
      </c>
      <c r="DBE1104">
        <v>1</v>
      </c>
      <c r="EDG1104">
        <f>SUMPRODUCT(Constraint_1098,Decision_variables)</f>
        <v>0</v>
      </c>
      <c r="EDH1104" t="s">
        <v>5265</v>
      </c>
      <c r="EDI1104">
        <v>1</v>
      </c>
    </row>
    <row r="1105" spans="2:2 1046:1061 2762:2777 3491:3493" x14ac:dyDescent="0.3">
      <c r="B1105" t="s">
        <v>4590</v>
      </c>
      <c r="ANF1105">
        <v>1</v>
      </c>
      <c r="DBF1105">
        <v>1</v>
      </c>
      <c r="EDG1105">
        <f>SUMPRODUCT(Constraint_1099,Decision_variables)</f>
        <v>0</v>
      </c>
      <c r="EDH1105" t="s">
        <v>5265</v>
      </c>
      <c r="EDI1105">
        <v>1</v>
      </c>
    </row>
    <row r="1106" spans="2:2 1046:1061 2762:2777 3491:3493" x14ac:dyDescent="0.3">
      <c r="B1106" t="s">
        <v>4591</v>
      </c>
      <c r="ANG1106">
        <v>1</v>
      </c>
      <c r="DBG1106">
        <v>1</v>
      </c>
      <c r="EDG1106">
        <f>SUMPRODUCT(Constraint_1100,Decision_variables)</f>
        <v>0</v>
      </c>
      <c r="EDH1106" t="s">
        <v>5265</v>
      </c>
      <c r="EDI1106">
        <v>1</v>
      </c>
    </row>
    <row r="1107" spans="2:2 1046:1061 2762:2777 3491:3493" x14ac:dyDescent="0.3">
      <c r="B1107" t="s">
        <v>4592</v>
      </c>
      <c r="ANH1107">
        <v>1</v>
      </c>
      <c r="DBH1107">
        <v>1</v>
      </c>
      <c r="EDG1107">
        <f>SUMPRODUCT(Constraint_1101,Decision_variables)</f>
        <v>0</v>
      </c>
      <c r="EDH1107" t="s">
        <v>5265</v>
      </c>
      <c r="EDI1107">
        <v>1</v>
      </c>
    </row>
    <row r="1108" spans="2:2 1046:1061 2762:2777 3491:3493" x14ac:dyDescent="0.3">
      <c r="B1108" t="s">
        <v>4593</v>
      </c>
      <c r="ANI1108">
        <v>1</v>
      </c>
      <c r="DBI1108">
        <v>1</v>
      </c>
      <c r="EDG1108">
        <f>SUMPRODUCT(Constraint_1102,Decision_variables)</f>
        <v>0</v>
      </c>
      <c r="EDH1108" t="s">
        <v>5265</v>
      </c>
      <c r="EDI1108">
        <v>1</v>
      </c>
    </row>
    <row r="1109" spans="2:2 1046:1061 2762:2777 3491:3493" x14ac:dyDescent="0.3">
      <c r="B1109" t="s">
        <v>4594</v>
      </c>
      <c r="ANJ1109">
        <v>1</v>
      </c>
      <c r="DBJ1109">
        <v>1</v>
      </c>
      <c r="EDG1109">
        <f>SUMPRODUCT(Constraint_1103,Decision_variables)</f>
        <v>0</v>
      </c>
      <c r="EDH1109" t="s">
        <v>5265</v>
      </c>
      <c r="EDI1109">
        <v>1</v>
      </c>
    </row>
    <row r="1110" spans="2:2 1046:1061 2762:2777 3491:3493" x14ac:dyDescent="0.3">
      <c r="B1110" t="s">
        <v>4595</v>
      </c>
      <c r="ANK1110">
        <v>1</v>
      </c>
      <c r="DBK1110">
        <v>1</v>
      </c>
      <c r="EDG1110">
        <f>SUMPRODUCT(Constraint_1104,Decision_variables)</f>
        <v>0</v>
      </c>
      <c r="EDH1110" t="s">
        <v>5265</v>
      </c>
      <c r="EDI1110">
        <v>1</v>
      </c>
    </row>
    <row r="1111" spans="2:2 1046:1061 2762:2777 3491:3493" x14ac:dyDescent="0.3">
      <c r="B1111" t="s">
        <v>4596</v>
      </c>
      <c r="ANL1111">
        <v>1</v>
      </c>
      <c r="DBL1111">
        <v>1</v>
      </c>
      <c r="EDG1111">
        <f>SUMPRODUCT(Constraint_1105,Decision_variables)</f>
        <v>0</v>
      </c>
      <c r="EDH1111" t="s">
        <v>5265</v>
      </c>
      <c r="EDI1111">
        <v>1</v>
      </c>
    </row>
    <row r="1112" spans="2:2 1046:1061 2762:2777 3491:3493" x14ac:dyDescent="0.3">
      <c r="B1112" t="s">
        <v>4597</v>
      </c>
      <c r="ANM1112">
        <v>1</v>
      </c>
      <c r="DBM1112">
        <v>1</v>
      </c>
      <c r="EDG1112">
        <f>SUMPRODUCT(Constraint_1106,Decision_variables)</f>
        <v>0</v>
      </c>
      <c r="EDH1112" t="s">
        <v>5265</v>
      </c>
      <c r="EDI1112">
        <v>1</v>
      </c>
    </row>
    <row r="1113" spans="2:2 1046:1061 2762:2777 3491:3493" x14ac:dyDescent="0.3">
      <c r="B1113" t="s">
        <v>4598</v>
      </c>
      <c r="ANN1113">
        <v>1</v>
      </c>
      <c r="DBN1113">
        <v>1</v>
      </c>
      <c r="EDG1113">
        <f>SUMPRODUCT(Constraint_1107,Decision_variables)</f>
        <v>0</v>
      </c>
      <c r="EDH1113" t="s">
        <v>5265</v>
      </c>
      <c r="EDI1113">
        <v>1</v>
      </c>
    </row>
    <row r="1114" spans="2:2 1046:1061 2762:2777 3491:3493" x14ac:dyDescent="0.3">
      <c r="B1114" t="s">
        <v>4599</v>
      </c>
      <c r="ANO1114">
        <v>1</v>
      </c>
      <c r="DBO1114">
        <v>1</v>
      </c>
      <c r="EDG1114">
        <f>SUMPRODUCT(Constraint_1108,Decision_variables)</f>
        <v>0</v>
      </c>
      <c r="EDH1114" t="s">
        <v>5265</v>
      </c>
      <c r="EDI1114">
        <v>1</v>
      </c>
    </row>
    <row r="1115" spans="2:2 1046:1061 2762:2777 3491:3493" x14ac:dyDescent="0.3">
      <c r="B1115" t="s">
        <v>4600</v>
      </c>
      <c r="ANP1115">
        <v>1</v>
      </c>
      <c r="DBP1115">
        <v>1</v>
      </c>
      <c r="EDG1115">
        <f>SUMPRODUCT(Constraint_1109,Decision_variables)</f>
        <v>0</v>
      </c>
      <c r="EDH1115" t="s">
        <v>5265</v>
      </c>
      <c r="EDI1115">
        <v>1</v>
      </c>
    </row>
    <row r="1116" spans="2:2 1046:1061 2762:2777 3491:3493" x14ac:dyDescent="0.3">
      <c r="B1116" t="s">
        <v>4601</v>
      </c>
      <c r="ANQ1116">
        <v>1</v>
      </c>
      <c r="DBQ1116">
        <v>1</v>
      </c>
      <c r="EDG1116">
        <f>SUMPRODUCT(Constraint_1110,Decision_variables)</f>
        <v>0</v>
      </c>
      <c r="EDH1116" t="s">
        <v>5265</v>
      </c>
      <c r="EDI1116">
        <v>1</v>
      </c>
    </row>
    <row r="1117" spans="2:2 1046:1061 2762:2777 3491:3493" x14ac:dyDescent="0.3">
      <c r="B1117" t="s">
        <v>4602</v>
      </c>
      <c r="ANR1117">
        <v>1</v>
      </c>
      <c r="DBR1117">
        <v>1</v>
      </c>
      <c r="EDG1117">
        <f>SUMPRODUCT(Constraint_1111,Decision_variables)</f>
        <v>0</v>
      </c>
      <c r="EDH1117" t="s">
        <v>5265</v>
      </c>
      <c r="EDI1117">
        <v>1</v>
      </c>
    </row>
    <row r="1118" spans="2:2 1046:1061 2762:2777 3491:3493" x14ac:dyDescent="0.3">
      <c r="B1118" t="s">
        <v>4603</v>
      </c>
      <c r="ANS1118">
        <v>1</v>
      </c>
      <c r="DBS1118">
        <v>1</v>
      </c>
      <c r="EDG1118">
        <f>SUMPRODUCT(Constraint_1112,Decision_variables)</f>
        <v>0</v>
      </c>
      <c r="EDH1118" t="s">
        <v>5265</v>
      </c>
      <c r="EDI1118">
        <v>1</v>
      </c>
    </row>
    <row r="1119" spans="2:2 1046:1061 2762:2777 3491:3493" x14ac:dyDescent="0.3">
      <c r="B1119" t="s">
        <v>4604</v>
      </c>
      <c r="ANT1119">
        <v>1</v>
      </c>
      <c r="DBT1119">
        <v>1</v>
      </c>
      <c r="EDG1119">
        <f>SUMPRODUCT(Constraint_1113,Decision_variables)</f>
        <v>0</v>
      </c>
      <c r="EDH1119" t="s">
        <v>5265</v>
      </c>
      <c r="EDI1119">
        <v>1</v>
      </c>
    </row>
    <row r="1120" spans="2:2 1046:1061 2762:2777 3491:3493" x14ac:dyDescent="0.3">
      <c r="B1120" t="s">
        <v>4605</v>
      </c>
      <c r="ANU1120">
        <v>1</v>
      </c>
      <c r="DBU1120">
        <v>1</v>
      </c>
      <c r="EDG1120">
        <f>SUMPRODUCT(Constraint_1114,Decision_variables)</f>
        <v>0</v>
      </c>
      <c r="EDH1120" t="s">
        <v>5265</v>
      </c>
      <c r="EDI1120">
        <v>1</v>
      </c>
    </row>
    <row r="1121" spans="2:2 1062:1077 2778:2793 3491:3493" x14ac:dyDescent="0.3">
      <c r="B1121" t="s">
        <v>4606</v>
      </c>
      <c r="ANV1121">
        <v>1</v>
      </c>
      <c r="DBV1121">
        <v>1</v>
      </c>
      <c r="EDG1121">
        <f>SUMPRODUCT(Constraint_1115,Decision_variables)</f>
        <v>0</v>
      </c>
      <c r="EDH1121" t="s">
        <v>5265</v>
      </c>
      <c r="EDI1121">
        <v>1</v>
      </c>
    </row>
    <row r="1122" spans="2:2 1062:1077 2778:2793 3491:3493" x14ac:dyDescent="0.3">
      <c r="B1122" t="s">
        <v>4607</v>
      </c>
      <c r="ANW1122">
        <v>1</v>
      </c>
      <c r="DBW1122">
        <v>1</v>
      </c>
      <c r="EDG1122">
        <f>SUMPRODUCT(Constraint_1116,Decision_variables)</f>
        <v>0</v>
      </c>
      <c r="EDH1122" t="s">
        <v>5265</v>
      </c>
      <c r="EDI1122">
        <v>1</v>
      </c>
    </row>
    <row r="1123" spans="2:2 1062:1077 2778:2793 3491:3493" x14ac:dyDescent="0.3">
      <c r="B1123" t="s">
        <v>4608</v>
      </c>
      <c r="ANX1123">
        <v>1</v>
      </c>
      <c r="DBX1123">
        <v>1</v>
      </c>
      <c r="EDG1123">
        <f>SUMPRODUCT(Constraint_1117,Decision_variables)</f>
        <v>0</v>
      </c>
      <c r="EDH1123" t="s">
        <v>5265</v>
      </c>
      <c r="EDI1123">
        <v>1</v>
      </c>
    </row>
    <row r="1124" spans="2:2 1062:1077 2778:2793 3491:3493" x14ac:dyDescent="0.3">
      <c r="B1124" t="s">
        <v>4609</v>
      </c>
      <c r="ANY1124">
        <v>1</v>
      </c>
      <c r="DBY1124">
        <v>1</v>
      </c>
      <c r="EDG1124">
        <f>SUMPRODUCT(Constraint_1118,Decision_variables)</f>
        <v>0</v>
      </c>
      <c r="EDH1124" t="s">
        <v>5265</v>
      </c>
      <c r="EDI1124">
        <v>1</v>
      </c>
    </row>
    <row r="1125" spans="2:2 1062:1077 2778:2793 3491:3493" x14ac:dyDescent="0.3">
      <c r="B1125" t="s">
        <v>4610</v>
      </c>
      <c r="ANZ1125">
        <v>1</v>
      </c>
      <c r="DBZ1125">
        <v>1</v>
      </c>
      <c r="EDG1125">
        <f>SUMPRODUCT(Constraint_1119,Decision_variables)</f>
        <v>0</v>
      </c>
      <c r="EDH1125" t="s">
        <v>5265</v>
      </c>
      <c r="EDI1125">
        <v>1</v>
      </c>
    </row>
    <row r="1126" spans="2:2 1062:1077 2778:2793 3491:3493" x14ac:dyDescent="0.3">
      <c r="B1126" t="s">
        <v>4611</v>
      </c>
      <c r="AOA1126">
        <v>1</v>
      </c>
      <c r="DCA1126">
        <v>1</v>
      </c>
      <c r="EDG1126">
        <f>SUMPRODUCT(Constraint_1120,Decision_variables)</f>
        <v>0</v>
      </c>
      <c r="EDH1126" t="s">
        <v>5265</v>
      </c>
      <c r="EDI1126">
        <v>1</v>
      </c>
    </row>
    <row r="1127" spans="2:2 1062:1077 2778:2793 3491:3493" x14ac:dyDescent="0.3">
      <c r="B1127" t="s">
        <v>4612</v>
      </c>
      <c r="AOB1127">
        <v>1</v>
      </c>
      <c r="DCB1127">
        <v>1</v>
      </c>
      <c r="EDG1127">
        <f>SUMPRODUCT(Constraint_1121,Decision_variables)</f>
        <v>0</v>
      </c>
      <c r="EDH1127" t="s">
        <v>5265</v>
      </c>
      <c r="EDI1127">
        <v>1</v>
      </c>
    </row>
    <row r="1128" spans="2:2 1062:1077 2778:2793 3491:3493" x14ac:dyDescent="0.3">
      <c r="B1128" t="s">
        <v>4613</v>
      </c>
      <c r="AOC1128">
        <v>1</v>
      </c>
      <c r="DCC1128">
        <v>1</v>
      </c>
      <c r="EDG1128">
        <f>SUMPRODUCT(Constraint_1122,Decision_variables)</f>
        <v>0</v>
      </c>
      <c r="EDH1128" t="s">
        <v>5265</v>
      </c>
      <c r="EDI1128">
        <v>1</v>
      </c>
    </row>
    <row r="1129" spans="2:2 1062:1077 2778:2793 3491:3493" x14ac:dyDescent="0.3">
      <c r="B1129" t="s">
        <v>4614</v>
      </c>
      <c r="AOD1129">
        <v>1</v>
      </c>
      <c r="DCD1129">
        <v>1</v>
      </c>
      <c r="EDG1129">
        <f>SUMPRODUCT(Constraint_1123,Decision_variables)</f>
        <v>0</v>
      </c>
      <c r="EDH1129" t="s">
        <v>5265</v>
      </c>
      <c r="EDI1129">
        <v>1</v>
      </c>
    </row>
    <row r="1130" spans="2:2 1062:1077 2778:2793 3491:3493" x14ac:dyDescent="0.3">
      <c r="B1130" t="s">
        <v>4615</v>
      </c>
      <c r="AOE1130">
        <v>1</v>
      </c>
      <c r="DCE1130">
        <v>1</v>
      </c>
      <c r="EDG1130">
        <f>SUMPRODUCT(Constraint_1124,Decision_variables)</f>
        <v>0</v>
      </c>
      <c r="EDH1130" t="s">
        <v>5265</v>
      </c>
      <c r="EDI1130">
        <v>1</v>
      </c>
    </row>
    <row r="1131" spans="2:2 1062:1077 2778:2793 3491:3493" x14ac:dyDescent="0.3">
      <c r="B1131" t="s">
        <v>4616</v>
      </c>
      <c r="AOF1131">
        <v>1</v>
      </c>
      <c r="DCF1131">
        <v>1</v>
      </c>
      <c r="EDG1131">
        <f>SUMPRODUCT(Constraint_1125,Decision_variables)</f>
        <v>0</v>
      </c>
      <c r="EDH1131" t="s">
        <v>5265</v>
      </c>
      <c r="EDI1131">
        <v>1</v>
      </c>
    </row>
    <row r="1132" spans="2:2 1062:1077 2778:2793 3491:3493" x14ac:dyDescent="0.3">
      <c r="B1132" t="s">
        <v>4617</v>
      </c>
      <c r="AOG1132">
        <v>1</v>
      </c>
      <c r="DCG1132">
        <v>1</v>
      </c>
      <c r="EDG1132">
        <f>SUMPRODUCT(Constraint_1126,Decision_variables)</f>
        <v>0</v>
      </c>
      <c r="EDH1132" t="s">
        <v>5265</v>
      </c>
      <c r="EDI1132">
        <v>1</v>
      </c>
    </row>
    <row r="1133" spans="2:2 1062:1077 2778:2793 3491:3493" x14ac:dyDescent="0.3">
      <c r="B1133" t="s">
        <v>4618</v>
      </c>
      <c r="AOH1133">
        <v>1</v>
      </c>
      <c r="DCH1133">
        <v>1</v>
      </c>
      <c r="EDG1133">
        <f>SUMPRODUCT(Constraint_1127,Decision_variables)</f>
        <v>0</v>
      </c>
      <c r="EDH1133" t="s">
        <v>5265</v>
      </c>
      <c r="EDI1133">
        <v>1</v>
      </c>
    </row>
    <row r="1134" spans="2:2 1062:1077 2778:2793 3491:3493" x14ac:dyDescent="0.3">
      <c r="B1134" t="s">
        <v>4619</v>
      </c>
      <c r="AOI1134">
        <v>1</v>
      </c>
      <c r="DCI1134">
        <v>1</v>
      </c>
      <c r="EDG1134">
        <f>SUMPRODUCT(Constraint_1128,Decision_variables)</f>
        <v>0</v>
      </c>
      <c r="EDH1134" t="s">
        <v>5265</v>
      </c>
      <c r="EDI1134">
        <v>1</v>
      </c>
    </row>
    <row r="1135" spans="2:2 1062:1077 2778:2793 3491:3493" x14ac:dyDescent="0.3">
      <c r="B1135" t="s">
        <v>4620</v>
      </c>
      <c r="AOJ1135">
        <v>1</v>
      </c>
      <c r="DCJ1135">
        <v>1</v>
      </c>
      <c r="EDG1135">
        <f>SUMPRODUCT(Constraint_1129,Decision_variables)</f>
        <v>0</v>
      </c>
      <c r="EDH1135" t="s">
        <v>5265</v>
      </c>
      <c r="EDI1135">
        <v>1</v>
      </c>
    </row>
    <row r="1136" spans="2:2 1062:1077 2778:2793 3491:3493" x14ac:dyDescent="0.3">
      <c r="B1136" t="s">
        <v>4621</v>
      </c>
      <c r="AOK1136">
        <v>1</v>
      </c>
      <c r="DCK1136">
        <v>1</v>
      </c>
      <c r="EDG1136">
        <f>SUMPRODUCT(Constraint_1130,Decision_variables)</f>
        <v>0</v>
      </c>
      <c r="EDH1136" t="s">
        <v>5265</v>
      </c>
      <c r="EDI1136">
        <v>1</v>
      </c>
    </row>
    <row r="1137" spans="2:2 1078:1093 2794:2809 3491:3493" x14ac:dyDescent="0.3">
      <c r="B1137" t="s">
        <v>4622</v>
      </c>
      <c r="AOL1137">
        <v>1</v>
      </c>
      <c r="DCL1137">
        <v>1</v>
      </c>
      <c r="EDG1137">
        <f>SUMPRODUCT(Constraint_1131,Decision_variables)</f>
        <v>0</v>
      </c>
      <c r="EDH1137" t="s">
        <v>5265</v>
      </c>
      <c r="EDI1137">
        <v>1</v>
      </c>
    </row>
    <row r="1138" spans="2:2 1078:1093 2794:2809 3491:3493" x14ac:dyDescent="0.3">
      <c r="B1138" t="s">
        <v>4623</v>
      </c>
      <c r="AOM1138">
        <v>1</v>
      </c>
      <c r="DCM1138">
        <v>1</v>
      </c>
      <c r="EDG1138">
        <f>SUMPRODUCT(Constraint_1132,Decision_variables)</f>
        <v>0</v>
      </c>
      <c r="EDH1138" t="s">
        <v>5265</v>
      </c>
      <c r="EDI1138">
        <v>1</v>
      </c>
    </row>
    <row r="1139" spans="2:2 1078:1093 2794:2809 3491:3493" x14ac:dyDescent="0.3">
      <c r="B1139" t="s">
        <v>4624</v>
      </c>
      <c r="AON1139">
        <v>1</v>
      </c>
      <c r="DCN1139">
        <v>1</v>
      </c>
      <c r="EDG1139">
        <f>SUMPRODUCT(Constraint_1133,Decision_variables)</f>
        <v>0</v>
      </c>
      <c r="EDH1139" t="s">
        <v>5265</v>
      </c>
      <c r="EDI1139">
        <v>1</v>
      </c>
    </row>
    <row r="1140" spans="2:2 1078:1093 2794:2809 3491:3493" x14ac:dyDescent="0.3">
      <c r="B1140" t="s">
        <v>4625</v>
      </c>
      <c r="AOO1140">
        <v>1</v>
      </c>
      <c r="DCO1140">
        <v>1</v>
      </c>
      <c r="EDG1140">
        <f>SUMPRODUCT(Constraint_1134,Decision_variables)</f>
        <v>0</v>
      </c>
      <c r="EDH1140" t="s">
        <v>5265</v>
      </c>
      <c r="EDI1140">
        <v>1</v>
      </c>
    </row>
    <row r="1141" spans="2:2 1078:1093 2794:2809 3491:3493" x14ac:dyDescent="0.3">
      <c r="B1141" t="s">
        <v>4626</v>
      </c>
      <c r="AOP1141">
        <v>1</v>
      </c>
      <c r="DCP1141">
        <v>1</v>
      </c>
      <c r="EDG1141">
        <f>SUMPRODUCT(Constraint_1135,Decision_variables)</f>
        <v>0</v>
      </c>
      <c r="EDH1141" t="s">
        <v>5265</v>
      </c>
      <c r="EDI1141">
        <v>1</v>
      </c>
    </row>
    <row r="1142" spans="2:2 1078:1093 2794:2809 3491:3493" x14ac:dyDescent="0.3">
      <c r="B1142" t="s">
        <v>4627</v>
      </c>
      <c r="AOQ1142">
        <v>1</v>
      </c>
      <c r="DCQ1142">
        <v>1</v>
      </c>
      <c r="EDG1142">
        <f>SUMPRODUCT(Constraint_1136,Decision_variables)</f>
        <v>0</v>
      </c>
      <c r="EDH1142" t="s">
        <v>5265</v>
      </c>
      <c r="EDI1142">
        <v>1</v>
      </c>
    </row>
    <row r="1143" spans="2:2 1078:1093 2794:2809 3491:3493" x14ac:dyDescent="0.3">
      <c r="B1143" t="s">
        <v>4628</v>
      </c>
      <c r="AOR1143">
        <v>1</v>
      </c>
      <c r="DCR1143">
        <v>1</v>
      </c>
      <c r="EDG1143">
        <f>SUMPRODUCT(Constraint_1137,Decision_variables)</f>
        <v>0</v>
      </c>
      <c r="EDH1143" t="s">
        <v>5265</v>
      </c>
      <c r="EDI1143">
        <v>1</v>
      </c>
    </row>
    <row r="1144" spans="2:2 1078:1093 2794:2809 3491:3493" x14ac:dyDescent="0.3">
      <c r="B1144" t="s">
        <v>4629</v>
      </c>
      <c r="AOS1144">
        <v>1</v>
      </c>
      <c r="DCS1144">
        <v>1</v>
      </c>
      <c r="EDG1144">
        <f>SUMPRODUCT(Constraint_1138,Decision_variables)</f>
        <v>0</v>
      </c>
      <c r="EDH1144" t="s">
        <v>5265</v>
      </c>
      <c r="EDI1144">
        <v>1</v>
      </c>
    </row>
    <row r="1145" spans="2:2 1078:1093 2794:2809 3491:3493" x14ac:dyDescent="0.3">
      <c r="B1145" t="s">
        <v>4630</v>
      </c>
      <c r="AOT1145">
        <v>1</v>
      </c>
      <c r="DCT1145">
        <v>1</v>
      </c>
      <c r="EDG1145">
        <f>SUMPRODUCT(Constraint_1139,Decision_variables)</f>
        <v>0</v>
      </c>
      <c r="EDH1145" t="s">
        <v>5265</v>
      </c>
      <c r="EDI1145">
        <v>1</v>
      </c>
    </row>
    <row r="1146" spans="2:2 1078:1093 2794:2809 3491:3493" x14ac:dyDescent="0.3">
      <c r="B1146" t="s">
        <v>4631</v>
      </c>
      <c r="AOU1146">
        <v>1</v>
      </c>
      <c r="DCU1146">
        <v>1</v>
      </c>
      <c r="EDG1146">
        <f>SUMPRODUCT(Constraint_1140,Decision_variables)</f>
        <v>0</v>
      </c>
      <c r="EDH1146" t="s">
        <v>5265</v>
      </c>
      <c r="EDI1146">
        <v>1</v>
      </c>
    </row>
    <row r="1147" spans="2:2 1078:1093 2794:2809 3491:3493" x14ac:dyDescent="0.3">
      <c r="B1147" t="s">
        <v>4632</v>
      </c>
      <c r="AOV1147">
        <v>1</v>
      </c>
      <c r="DCV1147">
        <v>1</v>
      </c>
      <c r="EDG1147">
        <f>SUMPRODUCT(Constraint_1141,Decision_variables)</f>
        <v>0</v>
      </c>
      <c r="EDH1147" t="s">
        <v>5265</v>
      </c>
      <c r="EDI1147">
        <v>1</v>
      </c>
    </row>
    <row r="1148" spans="2:2 1078:1093 2794:2809 3491:3493" x14ac:dyDescent="0.3">
      <c r="B1148" t="s">
        <v>4633</v>
      </c>
      <c r="AOW1148">
        <v>1</v>
      </c>
      <c r="DCW1148">
        <v>1</v>
      </c>
      <c r="EDG1148">
        <f>SUMPRODUCT(Constraint_1142,Decision_variables)</f>
        <v>0</v>
      </c>
      <c r="EDH1148" t="s">
        <v>5265</v>
      </c>
      <c r="EDI1148">
        <v>1</v>
      </c>
    </row>
    <row r="1149" spans="2:2 1078:1093 2794:2809 3491:3493" x14ac:dyDescent="0.3">
      <c r="B1149" t="s">
        <v>4634</v>
      </c>
      <c r="AOX1149">
        <v>1</v>
      </c>
      <c r="DCX1149">
        <v>1</v>
      </c>
      <c r="EDG1149">
        <f>SUMPRODUCT(Constraint_1143,Decision_variables)</f>
        <v>0</v>
      </c>
      <c r="EDH1149" t="s">
        <v>5265</v>
      </c>
      <c r="EDI1149">
        <v>1</v>
      </c>
    </row>
    <row r="1150" spans="2:2 1078:1093 2794:2809 3491:3493" x14ac:dyDescent="0.3">
      <c r="B1150" t="s">
        <v>4635</v>
      </c>
      <c r="AOY1150">
        <v>1</v>
      </c>
      <c r="DCY1150">
        <v>1</v>
      </c>
      <c r="EDG1150">
        <f>SUMPRODUCT(Constraint_1144,Decision_variables)</f>
        <v>0</v>
      </c>
      <c r="EDH1150" t="s">
        <v>5265</v>
      </c>
      <c r="EDI1150">
        <v>1</v>
      </c>
    </row>
    <row r="1151" spans="2:2 1078:1093 2794:2809 3491:3493" x14ac:dyDescent="0.3">
      <c r="B1151" t="s">
        <v>4636</v>
      </c>
      <c r="AOZ1151">
        <v>1</v>
      </c>
      <c r="DCZ1151">
        <v>1</v>
      </c>
      <c r="EDG1151">
        <f>SUMPRODUCT(Constraint_1145,Decision_variables)</f>
        <v>0</v>
      </c>
      <c r="EDH1151" t="s">
        <v>5265</v>
      </c>
      <c r="EDI1151">
        <v>1</v>
      </c>
    </row>
    <row r="1152" spans="2:2 1078:1093 2794:2809 3491:3493" x14ac:dyDescent="0.3">
      <c r="B1152" t="s">
        <v>4637</v>
      </c>
      <c r="APA1152">
        <v>1</v>
      </c>
      <c r="DDA1152">
        <v>1</v>
      </c>
      <c r="EDG1152">
        <f>SUMPRODUCT(Constraint_1146,Decision_variables)</f>
        <v>0</v>
      </c>
      <c r="EDH1152" t="s">
        <v>5265</v>
      </c>
      <c r="EDI1152">
        <v>1</v>
      </c>
    </row>
    <row r="1153" spans="2:2 1094:1109 2810:2825 3491:3493" x14ac:dyDescent="0.3">
      <c r="B1153" t="s">
        <v>4638</v>
      </c>
      <c r="APB1153">
        <v>1</v>
      </c>
      <c r="DDB1153">
        <v>1</v>
      </c>
      <c r="EDG1153">
        <f>SUMPRODUCT(Constraint_1147,Decision_variables)</f>
        <v>0</v>
      </c>
      <c r="EDH1153" t="s">
        <v>5265</v>
      </c>
      <c r="EDI1153">
        <v>1</v>
      </c>
    </row>
    <row r="1154" spans="2:2 1094:1109 2810:2825 3491:3493" x14ac:dyDescent="0.3">
      <c r="B1154" t="s">
        <v>4639</v>
      </c>
      <c r="APC1154">
        <v>1</v>
      </c>
      <c r="DDC1154">
        <v>1</v>
      </c>
      <c r="EDG1154">
        <f>SUMPRODUCT(Constraint_1148,Decision_variables)</f>
        <v>0</v>
      </c>
      <c r="EDH1154" t="s">
        <v>5265</v>
      </c>
      <c r="EDI1154">
        <v>1</v>
      </c>
    </row>
    <row r="1155" spans="2:2 1094:1109 2810:2825 3491:3493" x14ac:dyDescent="0.3">
      <c r="B1155" t="s">
        <v>4640</v>
      </c>
      <c r="APD1155">
        <v>1</v>
      </c>
      <c r="DDD1155">
        <v>1</v>
      </c>
      <c r="EDG1155">
        <f>SUMPRODUCT(Constraint_1149,Decision_variables)</f>
        <v>0</v>
      </c>
      <c r="EDH1155" t="s">
        <v>5265</v>
      </c>
      <c r="EDI1155">
        <v>1</v>
      </c>
    </row>
    <row r="1156" spans="2:2 1094:1109 2810:2825 3491:3493" x14ac:dyDescent="0.3">
      <c r="B1156" t="s">
        <v>4641</v>
      </c>
      <c r="APE1156">
        <v>1</v>
      </c>
      <c r="DDE1156">
        <v>1</v>
      </c>
      <c r="EDG1156">
        <f>SUMPRODUCT(Constraint_1150,Decision_variables)</f>
        <v>0</v>
      </c>
      <c r="EDH1156" t="s">
        <v>5265</v>
      </c>
      <c r="EDI1156">
        <v>1</v>
      </c>
    </row>
    <row r="1157" spans="2:2 1094:1109 2810:2825 3491:3493" x14ac:dyDescent="0.3">
      <c r="B1157" t="s">
        <v>4642</v>
      </c>
      <c r="APF1157">
        <v>1</v>
      </c>
      <c r="DDF1157">
        <v>1</v>
      </c>
      <c r="EDG1157">
        <f>SUMPRODUCT(Constraint_1151,Decision_variables)</f>
        <v>0</v>
      </c>
      <c r="EDH1157" t="s">
        <v>5265</v>
      </c>
      <c r="EDI1157">
        <v>1</v>
      </c>
    </row>
    <row r="1158" spans="2:2 1094:1109 2810:2825 3491:3493" x14ac:dyDescent="0.3">
      <c r="B1158" t="s">
        <v>4643</v>
      </c>
      <c r="APG1158">
        <v>1</v>
      </c>
      <c r="DDG1158">
        <v>1</v>
      </c>
      <c r="EDG1158">
        <f>SUMPRODUCT(Constraint_1152,Decision_variables)</f>
        <v>0</v>
      </c>
      <c r="EDH1158" t="s">
        <v>5265</v>
      </c>
      <c r="EDI1158">
        <v>1</v>
      </c>
    </row>
    <row r="1159" spans="2:2 1094:1109 2810:2825 3491:3493" x14ac:dyDescent="0.3">
      <c r="B1159" t="s">
        <v>4644</v>
      </c>
      <c r="APH1159">
        <v>1</v>
      </c>
      <c r="DDH1159">
        <v>1</v>
      </c>
      <c r="EDG1159">
        <f>SUMPRODUCT(Constraint_1153,Decision_variables)</f>
        <v>0</v>
      </c>
      <c r="EDH1159" t="s">
        <v>5265</v>
      </c>
      <c r="EDI1159">
        <v>1</v>
      </c>
    </row>
    <row r="1160" spans="2:2 1094:1109 2810:2825 3491:3493" x14ac:dyDescent="0.3">
      <c r="B1160" t="s">
        <v>4645</v>
      </c>
      <c r="API1160">
        <v>1</v>
      </c>
      <c r="DDI1160">
        <v>1</v>
      </c>
      <c r="EDG1160">
        <f>SUMPRODUCT(Constraint_1154,Decision_variables)</f>
        <v>0</v>
      </c>
      <c r="EDH1160" t="s">
        <v>5265</v>
      </c>
      <c r="EDI1160">
        <v>1</v>
      </c>
    </row>
    <row r="1161" spans="2:2 1094:1109 2810:2825 3491:3493" x14ac:dyDescent="0.3">
      <c r="B1161" t="s">
        <v>4646</v>
      </c>
      <c r="APJ1161">
        <v>1</v>
      </c>
      <c r="DDJ1161">
        <v>1</v>
      </c>
      <c r="EDG1161">
        <f>SUMPRODUCT(Constraint_1155,Decision_variables)</f>
        <v>0</v>
      </c>
      <c r="EDH1161" t="s">
        <v>5265</v>
      </c>
      <c r="EDI1161">
        <v>1</v>
      </c>
    </row>
    <row r="1162" spans="2:2 1094:1109 2810:2825 3491:3493" x14ac:dyDescent="0.3">
      <c r="B1162" t="s">
        <v>4647</v>
      </c>
      <c r="APK1162">
        <v>1</v>
      </c>
      <c r="DDK1162">
        <v>1</v>
      </c>
      <c r="EDG1162">
        <f>SUMPRODUCT(Constraint_1156,Decision_variables)</f>
        <v>0</v>
      </c>
      <c r="EDH1162" t="s">
        <v>5265</v>
      </c>
      <c r="EDI1162">
        <v>1</v>
      </c>
    </row>
    <row r="1163" spans="2:2 1094:1109 2810:2825 3491:3493" x14ac:dyDescent="0.3">
      <c r="B1163" t="s">
        <v>4648</v>
      </c>
      <c r="APL1163">
        <v>1</v>
      </c>
      <c r="DDL1163">
        <v>1</v>
      </c>
      <c r="EDG1163">
        <f>SUMPRODUCT(Constraint_1157,Decision_variables)</f>
        <v>0</v>
      </c>
      <c r="EDH1163" t="s">
        <v>5265</v>
      </c>
      <c r="EDI1163">
        <v>1</v>
      </c>
    </row>
    <row r="1164" spans="2:2 1094:1109 2810:2825 3491:3493" x14ac:dyDescent="0.3">
      <c r="B1164" t="s">
        <v>4649</v>
      </c>
      <c r="APM1164">
        <v>1</v>
      </c>
      <c r="DDM1164">
        <v>1</v>
      </c>
      <c r="EDG1164">
        <f>SUMPRODUCT(Constraint_1158,Decision_variables)</f>
        <v>0</v>
      </c>
      <c r="EDH1164" t="s">
        <v>5265</v>
      </c>
      <c r="EDI1164">
        <v>1</v>
      </c>
    </row>
    <row r="1165" spans="2:2 1094:1109 2810:2825 3491:3493" x14ac:dyDescent="0.3">
      <c r="B1165" t="s">
        <v>4650</v>
      </c>
      <c r="APN1165">
        <v>1</v>
      </c>
      <c r="DDN1165">
        <v>1</v>
      </c>
      <c r="EDG1165">
        <f>SUMPRODUCT(Constraint_1159,Decision_variables)</f>
        <v>0</v>
      </c>
      <c r="EDH1165" t="s">
        <v>5265</v>
      </c>
      <c r="EDI1165">
        <v>1</v>
      </c>
    </row>
    <row r="1166" spans="2:2 1094:1109 2810:2825 3491:3493" x14ac:dyDescent="0.3">
      <c r="B1166" t="s">
        <v>4651</v>
      </c>
      <c r="APO1166">
        <v>1</v>
      </c>
      <c r="DDO1166">
        <v>1</v>
      </c>
      <c r="EDG1166">
        <f>SUMPRODUCT(Constraint_1160,Decision_variables)</f>
        <v>0</v>
      </c>
      <c r="EDH1166" t="s">
        <v>5265</v>
      </c>
      <c r="EDI1166">
        <v>1</v>
      </c>
    </row>
    <row r="1167" spans="2:2 1094:1109 2810:2825 3491:3493" x14ac:dyDescent="0.3">
      <c r="B1167" t="s">
        <v>4652</v>
      </c>
      <c r="APP1167">
        <v>1</v>
      </c>
      <c r="DDP1167">
        <v>1</v>
      </c>
      <c r="EDG1167">
        <f>SUMPRODUCT(Constraint_1161,Decision_variables)</f>
        <v>0</v>
      </c>
      <c r="EDH1167" t="s">
        <v>5265</v>
      </c>
      <c r="EDI1167">
        <v>1</v>
      </c>
    </row>
    <row r="1168" spans="2:2 1094:1109 2810:2825 3491:3493" x14ac:dyDescent="0.3">
      <c r="B1168" t="s">
        <v>4653</v>
      </c>
      <c r="APQ1168">
        <v>1</v>
      </c>
      <c r="DDQ1168">
        <v>1</v>
      </c>
      <c r="EDG1168">
        <f>SUMPRODUCT(Constraint_1162,Decision_variables)</f>
        <v>0</v>
      </c>
      <c r="EDH1168" t="s">
        <v>5265</v>
      </c>
      <c r="EDI1168">
        <v>1</v>
      </c>
    </row>
    <row r="1169" spans="2:2 1110:1125 2826:2841 3491:3493" x14ac:dyDescent="0.3">
      <c r="B1169" t="s">
        <v>4654</v>
      </c>
      <c r="APR1169">
        <v>1</v>
      </c>
      <c r="DDR1169">
        <v>1</v>
      </c>
      <c r="EDG1169">
        <f>SUMPRODUCT(Constraint_1163,Decision_variables)</f>
        <v>0</v>
      </c>
      <c r="EDH1169" t="s">
        <v>5265</v>
      </c>
      <c r="EDI1169">
        <v>1</v>
      </c>
    </row>
    <row r="1170" spans="2:2 1110:1125 2826:2841 3491:3493" x14ac:dyDescent="0.3">
      <c r="B1170" t="s">
        <v>4655</v>
      </c>
      <c r="APS1170">
        <v>1</v>
      </c>
      <c r="DDS1170">
        <v>1</v>
      </c>
      <c r="EDG1170">
        <f>SUMPRODUCT(Constraint_1164,Decision_variables)</f>
        <v>0</v>
      </c>
      <c r="EDH1170" t="s">
        <v>5265</v>
      </c>
      <c r="EDI1170">
        <v>1</v>
      </c>
    </row>
    <row r="1171" spans="2:2 1110:1125 2826:2841 3491:3493" x14ac:dyDescent="0.3">
      <c r="B1171" t="s">
        <v>4656</v>
      </c>
      <c r="APT1171">
        <v>1</v>
      </c>
      <c r="DDT1171">
        <v>1</v>
      </c>
      <c r="EDG1171">
        <f>SUMPRODUCT(Constraint_1165,Decision_variables)</f>
        <v>0</v>
      </c>
      <c r="EDH1171" t="s">
        <v>5265</v>
      </c>
      <c r="EDI1171">
        <v>1</v>
      </c>
    </row>
    <row r="1172" spans="2:2 1110:1125 2826:2841 3491:3493" x14ac:dyDescent="0.3">
      <c r="B1172" t="s">
        <v>4657</v>
      </c>
      <c r="APU1172">
        <v>1</v>
      </c>
      <c r="DDU1172">
        <v>1</v>
      </c>
      <c r="EDG1172">
        <f>SUMPRODUCT(Constraint_1166,Decision_variables)</f>
        <v>0</v>
      </c>
      <c r="EDH1172" t="s">
        <v>5265</v>
      </c>
      <c r="EDI1172">
        <v>1</v>
      </c>
    </row>
    <row r="1173" spans="2:2 1110:1125 2826:2841 3491:3493" x14ac:dyDescent="0.3">
      <c r="B1173" t="s">
        <v>4658</v>
      </c>
      <c r="APV1173">
        <v>1</v>
      </c>
      <c r="DDV1173">
        <v>1</v>
      </c>
      <c r="EDG1173">
        <f>SUMPRODUCT(Constraint_1167,Decision_variables)</f>
        <v>0</v>
      </c>
      <c r="EDH1173" t="s">
        <v>5265</v>
      </c>
      <c r="EDI1173">
        <v>1</v>
      </c>
    </row>
    <row r="1174" spans="2:2 1110:1125 2826:2841 3491:3493" x14ac:dyDescent="0.3">
      <c r="B1174" t="s">
        <v>4659</v>
      </c>
      <c r="APW1174">
        <v>1</v>
      </c>
      <c r="DDW1174">
        <v>1</v>
      </c>
      <c r="EDG1174">
        <f>SUMPRODUCT(Constraint_1168,Decision_variables)</f>
        <v>0</v>
      </c>
      <c r="EDH1174" t="s">
        <v>5265</v>
      </c>
      <c r="EDI1174">
        <v>1</v>
      </c>
    </row>
    <row r="1175" spans="2:2 1110:1125 2826:2841 3491:3493" x14ac:dyDescent="0.3">
      <c r="B1175" t="s">
        <v>4660</v>
      </c>
      <c r="APX1175">
        <v>1</v>
      </c>
      <c r="DDX1175">
        <v>1</v>
      </c>
      <c r="EDG1175">
        <f>SUMPRODUCT(Constraint_1169,Decision_variables)</f>
        <v>0</v>
      </c>
      <c r="EDH1175" t="s">
        <v>5265</v>
      </c>
      <c r="EDI1175">
        <v>1</v>
      </c>
    </row>
    <row r="1176" spans="2:2 1110:1125 2826:2841 3491:3493" x14ac:dyDescent="0.3">
      <c r="B1176" t="s">
        <v>4661</v>
      </c>
      <c r="APY1176">
        <v>1</v>
      </c>
      <c r="DDY1176">
        <v>1</v>
      </c>
      <c r="EDG1176">
        <f>SUMPRODUCT(Constraint_1170,Decision_variables)</f>
        <v>0</v>
      </c>
      <c r="EDH1176" t="s">
        <v>5265</v>
      </c>
      <c r="EDI1176">
        <v>1</v>
      </c>
    </row>
    <row r="1177" spans="2:2 1110:1125 2826:2841 3491:3493" x14ac:dyDescent="0.3">
      <c r="B1177" t="s">
        <v>4662</v>
      </c>
      <c r="APZ1177">
        <v>1</v>
      </c>
      <c r="DDZ1177">
        <v>1</v>
      </c>
      <c r="EDG1177">
        <f>SUMPRODUCT(Constraint_1171,Decision_variables)</f>
        <v>0</v>
      </c>
      <c r="EDH1177" t="s">
        <v>5265</v>
      </c>
      <c r="EDI1177">
        <v>1</v>
      </c>
    </row>
    <row r="1178" spans="2:2 1110:1125 2826:2841 3491:3493" x14ac:dyDescent="0.3">
      <c r="B1178" t="s">
        <v>4663</v>
      </c>
      <c r="AQA1178">
        <v>1</v>
      </c>
      <c r="DEA1178">
        <v>1</v>
      </c>
      <c r="EDG1178">
        <f>SUMPRODUCT(Constraint_1172,Decision_variables)</f>
        <v>0</v>
      </c>
      <c r="EDH1178" t="s">
        <v>5265</v>
      </c>
      <c r="EDI1178">
        <v>1</v>
      </c>
    </row>
    <row r="1179" spans="2:2 1110:1125 2826:2841 3491:3493" x14ac:dyDescent="0.3">
      <c r="B1179" t="s">
        <v>4664</v>
      </c>
      <c r="AQB1179">
        <v>1</v>
      </c>
      <c r="DEB1179">
        <v>1</v>
      </c>
      <c r="EDG1179">
        <f>SUMPRODUCT(Constraint_1173,Decision_variables)</f>
        <v>0</v>
      </c>
      <c r="EDH1179" t="s">
        <v>5265</v>
      </c>
      <c r="EDI1179">
        <v>1</v>
      </c>
    </row>
    <row r="1180" spans="2:2 1110:1125 2826:2841 3491:3493" x14ac:dyDescent="0.3">
      <c r="B1180" t="s">
        <v>4665</v>
      </c>
      <c r="AQC1180">
        <v>1</v>
      </c>
      <c r="DEC1180">
        <v>1</v>
      </c>
      <c r="EDG1180">
        <f>SUMPRODUCT(Constraint_1174,Decision_variables)</f>
        <v>0</v>
      </c>
      <c r="EDH1180" t="s">
        <v>5265</v>
      </c>
      <c r="EDI1180">
        <v>1</v>
      </c>
    </row>
    <row r="1181" spans="2:2 1110:1125 2826:2841 3491:3493" x14ac:dyDescent="0.3">
      <c r="B1181" t="s">
        <v>4666</v>
      </c>
      <c r="AQD1181">
        <v>1</v>
      </c>
      <c r="DED1181">
        <v>1</v>
      </c>
      <c r="EDG1181">
        <f>SUMPRODUCT(Constraint_1175,Decision_variables)</f>
        <v>0</v>
      </c>
      <c r="EDH1181" t="s">
        <v>5265</v>
      </c>
      <c r="EDI1181">
        <v>1</v>
      </c>
    </row>
    <row r="1182" spans="2:2 1110:1125 2826:2841 3491:3493" x14ac:dyDescent="0.3">
      <c r="B1182" t="s">
        <v>4667</v>
      </c>
      <c r="AQE1182">
        <v>1</v>
      </c>
      <c r="DEE1182">
        <v>1</v>
      </c>
      <c r="EDG1182">
        <f>SUMPRODUCT(Constraint_1176,Decision_variables)</f>
        <v>0</v>
      </c>
      <c r="EDH1182" t="s">
        <v>5265</v>
      </c>
      <c r="EDI1182">
        <v>1</v>
      </c>
    </row>
    <row r="1183" spans="2:2 1110:1125 2826:2841 3491:3493" x14ac:dyDescent="0.3">
      <c r="B1183" t="s">
        <v>4668</v>
      </c>
      <c r="AQF1183">
        <v>1</v>
      </c>
      <c r="DEF1183">
        <v>1</v>
      </c>
      <c r="EDG1183">
        <f>SUMPRODUCT(Constraint_1177,Decision_variables)</f>
        <v>0</v>
      </c>
      <c r="EDH1183" t="s">
        <v>5265</v>
      </c>
      <c r="EDI1183">
        <v>1</v>
      </c>
    </row>
    <row r="1184" spans="2:2 1110:1125 2826:2841 3491:3493" x14ac:dyDescent="0.3">
      <c r="B1184" t="s">
        <v>4669</v>
      </c>
      <c r="AQG1184">
        <v>1</v>
      </c>
      <c r="DEG1184">
        <v>1</v>
      </c>
      <c r="EDG1184">
        <f>SUMPRODUCT(Constraint_1178,Decision_variables)</f>
        <v>0</v>
      </c>
      <c r="EDH1184" t="s">
        <v>5265</v>
      </c>
      <c r="EDI1184">
        <v>1</v>
      </c>
    </row>
    <row r="1185" spans="2:2 1126:1141 2842:2857 3491:3493" x14ac:dyDescent="0.3">
      <c r="B1185" t="s">
        <v>4670</v>
      </c>
      <c r="AQH1185">
        <v>1</v>
      </c>
      <c r="DEH1185">
        <v>1</v>
      </c>
      <c r="EDG1185">
        <f>SUMPRODUCT(Constraint_1179,Decision_variables)</f>
        <v>0</v>
      </c>
      <c r="EDH1185" t="s">
        <v>5265</v>
      </c>
      <c r="EDI1185">
        <v>1</v>
      </c>
    </row>
    <row r="1186" spans="2:2 1126:1141 2842:2857 3491:3493" x14ac:dyDescent="0.3">
      <c r="B1186" t="s">
        <v>4671</v>
      </c>
      <c r="AQI1186">
        <v>1</v>
      </c>
      <c r="DEI1186">
        <v>1</v>
      </c>
      <c r="EDG1186">
        <f>SUMPRODUCT(Constraint_1180,Decision_variables)</f>
        <v>0</v>
      </c>
      <c r="EDH1186" t="s">
        <v>5265</v>
      </c>
      <c r="EDI1186">
        <v>1</v>
      </c>
    </row>
    <row r="1187" spans="2:2 1126:1141 2842:2857 3491:3493" x14ac:dyDescent="0.3">
      <c r="B1187" t="s">
        <v>4672</v>
      </c>
      <c r="AQJ1187">
        <v>1</v>
      </c>
      <c r="DEJ1187">
        <v>1</v>
      </c>
      <c r="EDG1187">
        <f>SUMPRODUCT(Constraint_1181,Decision_variables)</f>
        <v>0</v>
      </c>
      <c r="EDH1187" t="s">
        <v>5265</v>
      </c>
      <c r="EDI1187">
        <v>1</v>
      </c>
    </row>
    <row r="1188" spans="2:2 1126:1141 2842:2857 3491:3493" x14ac:dyDescent="0.3">
      <c r="B1188" t="s">
        <v>4673</v>
      </c>
      <c r="AQK1188">
        <v>1</v>
      </c>
      <c r="DEK1188">
        <v>1</v>
      </c>
      <c r="EDG1188">
        <f>SUMPRODUCT(Constraint_1182,Decision_variables)</f>
        <v>0</v>
      </c>
      <c r="EDH1188" t="s">
        <v>5265</v>
      </c>
      <c r="EDI1188">
        <v>1</v>
      </c>
    </row>
    <row r="1189" spans="2:2 1126:1141 2842:2857 3491:3493" x14ac:dyDescent="0.3">
      <c r="B1189" t="s">
        <v>4674</v>
      </c>
      <c r="AQL1189">
        <v>1</v>
      </c>
      <c r="DEL1189">
        <v>1</v>
      </c>
      <c r="EDG1189">
        <f>SUMPRODUCT(Constraint_1183,Decision_variables)</f>
        <v>0</v>
      </c>
      <c r="EDH1189" t="s">
        <v>5265</v>
      </c>
      <c r="EDI1189">
        <v>1</v>
      </c>
    </row>
    <row r="1190" spans="2:2 1126:1141 2842:2857 3491:3493" x14ac:dyDescent="0.3">
      <c r="B1190" t="s">
        <v>4675</v>
      </c>
      <c r="AQM1190">
        <v>1</v>
      </c>
      <c r="DEM1190">
        <v>1</v>
      </c>
      <c r="EDG1190">
        <f>SUMPRODUCT(Constraint_1184,Decision_variables)</f>
        <v>0</v>
      </c>
      <c r="EDH1190" t="s">
        <v>5265</v>
      </c>
      <c r="EDI1190">
        <v>1</v>
      </c>
    </row>
    <row r="1191" spans="2:2 1126:1141 2842:2857 3491:3493" x14ac:dyDescent="0.3">
      <c r="B1191" t="s">
        <v>4676</v>
      </c>
      <c r="AQN1191">
        <v>1</v>
      </c>
      <c r="DEN1191">
        <v>1</v>
      </c>
      <c r="EDG1191">
        <f>SUMPRODUCT(Constraint_1185,Decision_variables)</f>
        <v>0</v>
      </c>
      <c r="EDH1191" t="s">
        <v>5265</v>
      </c>
      <c r="EDI1191">
        <v>1</v>
      </c>
    </row>
    <row r="1192" spans="2:2 1126:1141 2842:2857 3491:3493" x14ac:dyDescent="0.3">
      <c r="B1192" t="s">
        <v>4677</v>
      </c>
      <c r="AQO1192">
        <v>1</v>
      </c>
      <c r="DEO1192">
        <v>1</v>
      </c>
      <c r="EDG1192">
        <f>SUMPRODUCT(Constraint_1186,Decision_variables)</f>
        <v>0</v>
      </c>
      <c r="EDH1192" t="s">
        <v>5265</v>
      </c>
      <c r="EDI1192">
        <v>1</v>
      </c>
    </row>
    <row r="1193" spans="2:2 1126:1141 2842:2857 3491:3493" x14ac:dyDescent="0.3">
      <c r="B1193" t="s">
        <v>4678</v>
      </c>
      <c r="AQP1193">
        <v>1</v>
      </c>
      <c r="DEP1193">
        <v>1</v>
      </c>
      <c r="EDG1193">
        <f>SUMPRODUCT(Constraint_1187,Decision_variables)</f>
        <v>0</v>
      </c>
      <c r="EDH1193" t="s">
        <v>5265</v>
      </c>
      <c r="EDI1193">
        <v>1</v>
      </c>
    </row>
    <row r="1194" spans="2:2 1126:1141 2842:2857 3491:3493" x14ac:dyDescent="0.3">
      <c r="B1194" t="s">
        <v>4679</v>
      </c>
      <c r="AQQ1194">
        <v>1</v>
      </c>
      <c r="DEQ1194">
        <v>1</v>
      </c>
      <c r="EDG1194">
        <f>SUMPRODUCT(Constraint_1188,Decision_variables)</f>
        <v>0</v>
      </c>
      <c r="EDH1194" t="s">
        <v>5265</v>
      </c>
      <c r="EDI1194">
        <v>1</v>
      </c>
    </row>
    <row r="1195" spans="2:2 1126:1141 2842:2857 3491:3493" x14ac:dyDescent="0.3">
      <c r="B1195" t="s">
        <v>4680</v>
      </c>
      <c r="AQR1195">
        <v>1</v>
      </c>
      <c r="DER1195">
        <v>1</v>
      </c>
      <c r="EDG1195">
        <f>SUMPRODUCT(Constraint_1189,Decision_variables)</f>
        <v>0</v>
      </c>
      <c r="EDH1195" t="s">
        <v>5265</v>
      </c>
      <c r="EDI1195">
        <v>1</v>
      </c>
    </row>
    <row r="1196" spans="2:2 1126:1141 2842:2857 3491:3493" x14ac:dyDescent="0.3">
      <c r="B1196" t="s">
        <v>4681</v>
      </c>
      <c r="AQS1196">
        <v>1</v>
      </c>
      <c r="DES1196">
        <v>1</v>
      </c>
      <c r="EDG1196">
        <f>SUMPRODUCT(Constraint_1190,Decision_variables)</f>
        <v>0</v>
      </c>
      <c r="EDH1196" t="s">
        <v>5265</v>
      </c>
      <c r="EDI1196">
        <v>1</v>
      </c>
    </row>
    <row r="1197" spans="2:2 1126:1141 2842:2857 3491:3493" x14ac:dyDescent="0.3">
      <c r="B1197" t="s">
        <v>4682</v>
      </c>
      <c r="AQT1197">
        <v>1</v>
      </c>
      <c r="DET1197">
        <v>1</v>
      </c>
      <c r="EDG1197">
        <f>SUMPRODUCT(Constraint_1191,Decision_variables)</f>
        <v>0</v>
      </c>
      <c r="EDH1197" t="s">
        <v>5265</v>
      </c>
      <c r="EDI1197">
        <v>1</v>
      </c>
    </row>
    <row r="1198" spans="2:2 1126:1141 2842:2857 3491:3493" x14ac:dyDescent="0.3">
      <c r="B1198" t="s">
        <v>4683</v>
      </c>
      <c r="AQU1198">
        <v>1</v>
      </c>
      <c r="DEU1198">
        <v>1</v>
      </c>
      <c r="EDG1198">
        <f>SUMPRODUCT(Constraint_1192,Decision_variables)</f>
        <v>0</v>
      </c>
      <c r="EDH1198" t="s">
        <v>5265</v>
      </c>
      <c r="EDI1198">
        <v>1</v>
      </c>
    </row>
    <row r="1199" spans="2:2 1126:1141 2842:2857 3491:3493" x14ac:dyDescent="0.3">
      <c r="B1199" t="s">
        <v>4684</v>
      </c>
      <c r="AQV1199">
        <v>1</v>
      </c>
      <c r="DEV1199">
        <v>1</v>
      </c>
      <c r="EDG1199">
        <f>SUMPRODUCT(Constraint_1193,Decision_variables)</f>
        <v>0</v>
      </c>
      <c r="EDH1199" t="s">
        <v>5265</v>
      </c>
      <c r="EDI1199">
        <v>1</v>
      </c>
    </row>
    <row r="1200" spans="2:2 1126:1141 2842:2857 3491:3493" x14ac:dyDescent="0.3">
      <c r="B1200" t="s">
        <v>4685</v>
      </c>
      <c r="AQW1200">
        <v>1</v>
      </c>
      <c r="DEW1200">
        <v>1</v>
      </c>
      <c r="EDG1200">
        <f>SUMPRODUCT(Constraint_1194,Decision_variables)</f>
        <v>0</v>
      </c>
      <c r="EDH1200" t="s">
        <v>5265</v>
      </c>
      <c r="EDI1200">
        <v>1</v>
      </c>
    </row>
    <row r="1201" spans="2:2 1142:1157 2858:2873 3491:3493" x14ac:dyDescent="0.3">
      <c r="B1201" t="s">
        <v>4686</v>
      </c>
      <c r="AQX1201">
        <v>1</v>
      </c>
      <c r="DEX1201">
        <v>1</v>
      </c>
      <c r="EDG1201">
        <f>SUMPRODUCT(Constraint_1195,Decision_variables)</f>
        <v>0</v>
      </c>
      <c r="EDH1201" t="s">
        <v>5265</v>
      </c>
      <c r="EDI1201">
        <v>1</v>
      </c>
    </row>
    <row r="1202" spans="2:2 1142:1157 2858:2873 3491:3493" x14ac:dyDescent="0.3">
      <c r="B1202" t="s">
        <v>4687</v>
      </c>
      <c r="AQY1202">
        <v>1</v>
      </c>
      <c r="DEY1202">
        <v>1</v>
      </c>
      <c r="EDG1202">
        <f>SUMPRODUCT(Constraint_1196,Decision_variables)</f>
        <v>0</v>
      </c>
      <c r="EDH1202" t="s">
        <v>5265</v>
      </c>
      <c r="EDI1202">
        <v>1</v>
      </c>
    </row>
    <row r="1203" spans="2:2 1142:1157 2858:2873 3491:3493" x14ac:dyDescent="0.3">
      <c r="B1203" t="s">
        <v>4688</v>
      </c>
      <c r="AQZ1203">
        <v>1</v>
      </c>
      <c r="DEZ1203">
        <v>1</v>
      </c>
      <c r="EDG1203">
        <f>SUMPRODUCT(Constraint_1197,Decision_variables)</f>
        <v>0</v>
      </c>
      <c r="EDH1203" t="s">
        <v>5265</v>
      </c>
      <c r="EDI1203">
        <v>1</v>
      </c>
    </row>
    <row r="1204" spans="2:2 1142:1157 2858:2873 3491:3493" x14ac:dyDescent="0.3">
      <c r="B1204" t="s">
        <v>4689</v>
      </c>
      <c r="ARA1204">
        <v>1</v>
      </c>
      <c r="DFA1204">
        <v>1</v>
      </c>
      <c r="EDG1204">
        <f>SUMPRODUCT(Constraint_1198,Decision_variables)</f>
        <v>0</v>
      </c>
      <c r="EDH1204" t="s">
        <v>5265</v>
      </c>
      <c r="EDI1204">
        <v>1</v>
      </c>
    </row>
    <row r="1205" spans="2:2 1142:1157 2858:2873 3491:3493" x14ac:dyDescent="0.3">
      <c r="B1205" t="s">
        <v>4690</v>
      </c>
      <c r="ARB1205">
        <v>1</v>
      </c>
      <c r="DFB1205">
        <v>1</v>
      </c>
      <c r="EDG1205">
        <f>SUMPRODUCT(Constraint_1199,Decision_variables)</f>
        <v>0</v>
      </c>
      <c r="EDH1205" t="s">
        <v>5265</v>
      </c>
      <c r="EDI1205">
        <v>1</v>
      </c>
    </row>
    <row r="1206" spans="2:2 1142:1157 2858:2873 3491:3493" x14ac:dyDescent="0.3">
      <c r="B1206" t="s">
        <v>4691</v>
      </c>
      <c r="ARC1206">
        <v>1</v>
      </c>
      <c r="DFC1206">
        <v>1</v>
      </c>
      <c r="EDG1206">
        <f>SUMPRODUCT(Constraint_1200,Decision_variables)</f>
        <v>0</v>
      </c>
      <c r="EDH1206" t="s">
        <v>5265</v>
      </c>
      <c r="EDI1206">
        <v>1</v>
      </c>
    </row>
    <row r="1207" spans="2:2 1142:1157 2858:2873 3491:3493" x14ac:dyDescent="0.3">
      <c r="B1207" t="s">
        <v>4692</v>
      </c>
      <c r="ARD1207">
        <v>1</v>
      </c>
      <c r="DFD1207">
        <v>1</v>
      </c>
      <c r="EDG1207">
        <f>SUMPRODUCT(Constraint_1201,Decision_variables)</f>
        <v>0</v>
      </c>
      <c r="EDH1207" t="s">
        <v>5265</v>
      </c>
      <c r="EDI1207">
        <v>1</v>
      </c>
    </row>
    <row r="1208" spans="2:2 1142:1157 2858:2873 3491:3493" x14ac:dyDescent="0.3">
      <c r="B1208" t="s">
        <v>4693</v>
      </c>
      <c r="ARE1208">
        <v>1</v>
      </c>
      <c r="DFE1208">
        <v>1</v>
      </c>
      <c r="EDG1208">
        <f>SUMPRODUCT(Constraint_1202,Decision_variables)</f>
        <v>0</v>
      </c>
      <c r="EDH1208" t="s">
        <v>5265</v>
      </c>
      <c r="EDI1208">
        <v>1</v>
      </c>
    </row>
    <row r="1209" spans="2:2 1142:1157 2858:2873 3491:3493" x14ac:dyDescent="0.3">
      <c r="B1209" t="s">
        <v>4694</v>
      </c>
      <c r="ARF1209">
        <v>1</v>
      </c>
      <c r="DFF1209">
        <v>1</v>
      </c>
      <c r="EDG1209">
        <f>SUMPRODUCT(Constraint_1203,Decision_variables)</f>
        <v>0</v>
      </c>
      <c r="EDH1209" t="s">
        <v>5265</v>
      </c>
      <c r="EDI1209">
        <v>1</v>
      </c>
    </row>
    <row r="1210" spans="2:2 1142:1157 2858:2873 3491:3493" x14ac:dyDescent="0.3">
      <c r="B1210" t="s">
        <v>4695</v>
      </c>
      <c r="ARG1210">
        <v>1</v>
      </c>
      <c r="DFG1210">
        <v>1</v>
      </c>
      <c r="EDG1210">
        <f>SUMPRODUCT(Constraint_1204,Decision_variables)</f>
        <v>0</v>
      </c>
      <c r="EDH1210" t="s">
        <v>5265</v>
      </c>
      <c r="EDI1210">
        <v>1</v>
      </c>
    </row>
    <row r="1211" spans="2:2 1142:1157 2858:2873 3491:3493" x14ac:dyDescent="0.3">
      <c r="B1211" t="s">
        <v>4696</v>
      </c>
      <c r="ARH1211">
        <v>1</v>
      </c>
      <c r="DFH1211">
        <v>1</v>
      </c>
      <c r="EDG1211">
        <f>SUMPRODUCT(Constraint_1205,Decision_variables)</f>
        <v>0</v>
      </c>
      <c r="EDH1211" t="s">
        <v>5265</v>
      </c>
      <c r="EDI1211">
        <v>1</v>
      </c>
    </row>
    <row r="1212" spans="2:2 1142:1157 2858:2873 3491:3493" x14ac:dyDescent="0.3">
      <c r="B1212" t="s">
        <v>4697</v>
      </c>
      <c r="ARI1212">
        <v>1</v>
      </c>
      <c r="DFI1212">
        <v>1</v>
      </c>
      <c r="EDG1212">
        <f>SUMPRODUCT(Constraint_1206,Decision_variables)</f>
        <v>0</v>
      </c>
      <c r="EDH1212" t="s">
        <v>5265</v>
      </c>
      <c r="EDI1212">
        <v>1</v>
      </c>
    </row>
    <row r="1213" spans="2:2 1142:1157 2858:2873 3491:3493" x14ac:dyDescent="0.3">
      <c r="B1213" t="s">
        <v>4698</v>
      </c>
      <c r="ARJ1213">
        <v>1</v>
      </c>
      <c r="DFJ1213">
        <v>1</v>
      </c>
      <c r="EDG1213">
        <f>SUMPRODUCT(Constraint_1207,Decision_variables)</f>
        <v>0</v>
      </c>
      <c r="EDH1213" t="s">
        <v>5265</v>
      </c>
      <c r="EDI1213">
        <v>1</v>
      </c>
    </row>
    <row r="1214" spans="2:2 1142:1157 2858:2873 3491:3493" x14ac:dyDescent="0.3">
      <c r="B1214" t="s">
        <v>4699</v>
      </c>
      <c r="ARK1214">
        <v>1</v>
      </c>
      <c r="DFK1214">
        <v>1</v>
      </c>
      <c r="EDG1214">
        <f>SUMPRODUCT(Constraint_1208,Decision_variables)</f>
        <v>0</v>
      </c>
      <c r="EDH1214" t="s">
        <v>5265</v>
      </c>
      <c r="EDI1214">
        <v>1</v>
      </c>
    </row>
    <row r="1215" spans="2:2 1142:1157 2858:2873 3491:3493" x14ac:dyDescent="0.3">
      <c r="B1215" t="s">
        <v>4700</v>
      </c>
      <c r="ARL1215">
        <v>1</v>
      </c>
      <c r="DFL1215">
        <v>1</v>
      </c>
      <c r="EDG1215">
        <f>SUMPRODUCT(Constraint_1209,Decision_variables)</f>
        <v>0</v>
      </c>
      <c r="EDH1215" t="s">
        <v>5265</v>
      </c>
      <c r="EDI1215">
        <v>1</v>
      </c>
    </row>
    <row r="1216" spans="2:2 1142:1157 2858:2873 3491:3493" x14ac:dyDescent="0.3">
      <c r="B1216" t="s">
        <v>4701</v>
      </c>
      <c r="ARM1216">
        <v>1</v>
      </c>
      <c r="DFM1216">
        <v>1</v>
      </c>
      <c r="EDG1216">
        <f>SUMPRODUCT(Constraint_1210,Decision_variables)</f>
        <v>0</v>
      </c>
      <c r="EDH1216" t="s">
        <v>5265</v>
      </c>
      <c r="EDI1216">
        <v>1</v>
      </c>
    </row>
    <row r="1217" spans="2:2 1158:1173 2874:2889 3491:3493" x14ac:dyDescent="0.3">
      <c r="B1217" t="s">
        <v>4702</v>
      </c>
      <c r="ARN1217">
        <v>1</v>
      </c>
      <c r="DFN1217">
        <v>1</v>
      </c>
      <c r="EDG1217">
        <f>SUMPRODUCT(Constraint_1211,Decision_variables)</f>
        <v>0</v>
      </c>
      <c r="EDH1217" t="s">
        <v>5265</v>
      </c>
      <c r="EDI1217">
        <v>1</v>
      </c>
    </row>
    <row r="1218" spans="2:2 1158:1173 2874:2889 3491:3493" x14ac:dyDescent="0.3">
      <c r="B1218" t="s">
        <v>4703</v>
      </c>
      <c r="ARO1218">
        <v>1</v>
      </c>
      <c r="DFO1218">
        <v>1</v>
      </c>
      <c r="EDG1218">
        <f>SUMPRODUCT(Constraint_1212,Decision_variables)</f>
        <v>0</v>
      </c>
      <c r="EDH1218" t="s">
        <v>5265</v>
      </c>
      <c r="EDI1218">
        <v>1</v>
      </c>
    </row>
    <row r="1219" spans="2:2 1158:1173 2874:2889 3491:3493" x14ac:dyDescent="0.3">
      <c r="B1219" t="s">
        <v>4704</v>
      </c>
      <c r="ARP1219">
        <v>1</v>
      </c>
      <c r="DFP1219">
        <v>1</v>
      </c>
      <c r="EDG1219">
        <f>SUMPRODUCT(Constraint_1213,Decision_variables)</f>
        <v>0</v>
      </c>
      <c r="EDH1219" t="s">
        <v>5265</v>
      </c>
      <c r="EDI1219">
        <v>1</v>
      </c>
    </row>
    <row r="1220" spans="2:2 1158:1173 2874:2889 3491:3493" x14ac:dyDescent="0.3">
      <c r="B1220" t="s">
        <v>4705</v>
      </c>
      <c r="ARQ1220">
        <v>1</v>
      </c>
      <c r="DFQ1220">
        <v>1</v>
      </c>
      <c r="EDG1220">
        <f>SUMPRODUCT(Constraint_1214,Decision_variables)</f>
        <v>0</v>
      </c>
      <c r="EDH1220" t="s">
        <v>5265</v>
      </c>
      <c r="EDI1220">
        <v>1</v>
      </c>
    </row>
    <row r="1221" spans="2:2 1158:1173 2874:2889 3491:3493" x14ac:dyDescent="0.3">
      <c r="B1221" t="s">
        <v>4706</v>
      </c>
      <c r="ARR1221">
        <v>1</v>
      </c>
      <c r="DFR1221">
        <v>1</v>
      </c>
      <c r="EDG1221">
        <f>SUMPRODUCT(Constraint_1215,Decision_variables)</f>
        <v>0</v>
      </c>
      <c r="EDH1221" t="s">
        <v>5265</v>
      </c>
      <c r="EDI1221">
        <v>1</v>
      </c>
    </row>
    <row r="1222" spans="2:2 1158:1173 2874:2889 3491:3493" x14ac:dyDescent="0.3">
      <c r="B1222" t="s">
        <v>4707</v>
      </c>
      <c r="ARS1222">
        <v>1</v>
      </c>
      <c r="DFS1222">
        <v>1</v>
      </c>
      <c r="EDG1222">
        <f>SUMPRODUCT(Constraint_1216,Decision_variables)</f>
        <v>0</v>
      </c>
      <c r="EDH1222" t="s">
        <v>5265</v>
      </c>
      <c r="EDI1222">
        <v>1</v>
      </c>
    </row>
    <row r="1223" spans="2:2 1158:1173 2874:2889 3491:3493" x14ac:dyDescent="0.3">
      <c r="B1223" t="s">
        <v>4708</v>
      </c>
      <c r="ART1223">
        <v>1</v>
      </c>
      <c r="DFT1223">
        <v>1</v>
      </c>
      <c r="EDG1223">
        <f>SUMPRODUCT(Constraint_1217,Decision_variables)</f>
        <v>0</v>
      </c>
      <c r="EDH1223" t="s">
        <v>5265</v>
      </c>
      <c r="EDI1223">
        <v>1</v>
      </c>
    </row>
    <row r="1224" spans="2:2 1158:1173 2874:2889 3491:3493" x14ac:dyDescent="0.3">
      <c r="B1224" t="s">
        <v>4709</v>
      </c>
      <c r="ARU1224">
        <v>1</v>
      </c>
      <c r="DFU1224">
        <v>1</v>
      </c>
      <c r="EDG1224">
        <f>SUMPRODUCT(Constraint_1218,Decision_variables)</f>
        <v>0</v>
      </c>
      <c r="EDH1224" t="s">
        <v>5265</v>
      </c>
      <c r="EDI1224">
        <v>1</v>
      </c>
    </row>
    <row r="1225" spans="2:2 1158:1173 2874:2889 3491:3493" x14ac:dyDescent="0.3">
      <c r="B1225" t="s">
        <v>4710</v>
      </c>
      <c r="ARV1225">
        <v>1</v>
      </c>
      <c r="DFV1225">
        <v>1</v>
      </c>
      <c r="EDG1225">
        <f>SUMPRODUCT(Constraint_1219,Decision_variables)</f>
        <v>0</v>
      </c>
      <c r="EDH1225" t="s">
        <v>5265</v>
      </c>
      <c r="EDI1225">
        <v>1</v>
      </c>
    </row>
    <row r="1226" spans="2:2 1158:1173 2874:2889 3491:3493" x14ac:dyDescent="0.3">
      <c r="B1226" t="s">
        <v>4711</v>
      </c>
      <c r="ARW1226">
        <v>1</v>
      </c>
      <c r="DFW1226">
        <v>1</v>
      </c>
      <c r="EDG1226">
        <f>SUMPRODUCT(Constraint_1220,Decision_variables)</f>
        <v>0</v>
      </c>
      <c r="EDH1226" t="s">
        <v>5265</v>
      </c>
      <c r="EDI1226">
        <v>1</v>
      </c>
    </row>
    <row r="1227" spans="2:2 1158:1173 2874:2889 3491:3493" x14ac:dyDescent="0.3">
      <c r="B1227" t="s">
        <v>4712</v>
      </c>
      <c r="ARX1227">
        <v>1</v>
      </c>
      <c r="DFX1227">
        <v>1</v>
      </c>
      <c r="EDG1227">
        <f>SUMPRODUCT(Constraint_1221,Decision_variables)</f>
        <v>0</v>
      </c>
      <c r="EDH1227" t="s">
        <v>5265</v>
      </c>
      <c r="EDI1227">
        <v>1</v>
      </c>
    </row>
    <row r="1228" spans="2:2 1158:1173 2874:2889 3491:3493" x14ac:dyDescent="0.3">
      <c r="B1228" t="s">
        <v>4713</v>
      </c>
      <c r="ARY1228">
        <v>1</v>
      </c>
      <c r="DFY1228">
        <v>1</v>
      </c>
      <c r="EDG1228">
        <f>SUMPRODUCT(Constraint_1222,Decision_variables)</f>
        <v>0</v>
      </c>
      <c r="EDH1228" t="s">
        <v>5265</v>
      </c>
      <c r="EDI1228">
        <v>1</v>
      </c>
    </row>
    <row r="1229" spans="2:2 1158:1173 2874:2889 3491:3493" x14ac:dyDescent="0.3">
      <c r="B1229" t="s">
        <v>4714</v>
      </c>
      <c r="ARZ1229">
        <v>1</v>
      </c>
      <c r="DFZ1229">
        <v>1</v>
      </c>
      <c r="EDG1229">
        <f>SUMPRODUCT(Constraint_1223,Decision_variables)</f>
        <v>0</v>
      </c>
      <c r="EDH1229" t="s">
        <v>5265</v>
      </c>
      <c r="EDI1229">
        <v>1</v>
      </c>
    </row>
    <row r="1230" spans="2:2 1158:1173 2874:2889 3491:3493" x14ac:dyDescent="0.3">
      <c r="B1230" t="s">
        <v>4715</v>
      </c>
      <c r="ASA1230">
        <v>1</v>
      </c>
      <c r="DGA1230">
        <v>1</v>
      </c>
      <c r="EDG1230">
        <f>SUMPRODUCT(Constraint_1224,Decision_variables)</f>
        <v>0</v>
      </c>
      <c r="EDH1230" t="s">
        <v>5265</v>
      </c>
      <c r="EDI1230">
        <v>1</v>
      </c>
    </row>
    <row r="1231" spans="2:2 1158:1173 2874:2889 3491:3493" x14ac:dyDescent="0.3">
      <c r="B1231" t="s">
        <v>4716</v>
      </c>
      <c r="ASB1231">
        <v>1</v>
      </c>
      <c r="DGB1231">
        <v>1</v>
      </c>
      <c r="EDG1231">
        <f>SUMPRODUCT(Constraint_1225,Decision_variables)</f>
        <v>0</v>
      </c>
      <c r="EDH1231" t="s">
        <v>5265</v>
      </c>
      <c r="EDI1231">
        <v>1</v>
      </c>
    </row>
    <row r="1232" spans="2:2 1158:1173 2874:2889 3491:3493" x14ac:dyDescent="0.3">
      <c r="B1232" t="s">
        <v>4717</v>
      </c>
      <c r="ASC1232">
        <v>1</v>
      </c>
      <c r="DGC1232">
        <v>1</v>
      </c>
      <c r="EDG1232">
        <f>SUMPRODUCT(Constraint_1226,Decision_variables)</f>
        <v>0</v>
      </c>
      <c r="EDH1232" t="s">
        <v>5265</v>
      </c>
      <c r="EDI1232">
        <v>1</v>
      </c>
    </row>
    <row r="1233" spans="2:2 1174:1189 2890:2905 3491:3493" x14ac:dyDescent="0.3">
      <c r="B1233" t="s">
        <v>4718</v>
      </c>
      <c r="ASD1233">
        <v>1</v>
      </c>
      <c r="DGD1233">
        <v>1</v>
      </c>
      <c r="EDG1233">
        <f>SUMPRODUCT(Constraint_1227,Decision_variables)</f>
        <v>0</v>
      </c>
      <c r="EDH1233" t="s">
        <v>5265</v>
      </c>
      <c r="EDI1233">
        <v>1</v>
      </c>
    </row>
    <row r="1234" spans="2:2 1174:1189 2890:2905 3491:3493" x14ac:dyDescent="0.3">
      <c r="B1234" t="s">
        <v>4719</v>
      </c>
      <c r="ASE1234">
        <v>1</v>
      </c>
      <c r="DGE1234">
        <v>1</v>
      </c>
      <c r="EDG1234">
        <f>SUMPRODUCT(Constraint_1228,Decision_variables)</f>
        <v>0</v>
      </c>
      <c r="EDH1234" t="s">
        <v>5265</v>
      </c>
      <c r="EDI1234">
        <v>1</v>
      </c>
    </row>
    <row r="1235" spans="2:2 1174:1189 2890:2905 3491:3493" x14ac:dyDescent="0.3">
      <c r="B1235" t="s">
        <v>4720</v>
      </c>
      <c r="ASF1235">
        <v>1</v>
      </c>
      <c r="DGF1235">
        <v>1</v>
      </c>
      <c r="EDG1235">
        <f>SUMPRODUCT(Constraint_1229,Decision_variables)</f>
        <v>0</v>
      </c>
      <c r="EDH1235" t="s">
        <v>5265</v>
      </c>
      <c r="EDI1235">
        <v>1</v>
      </c>
    </row>
    <row r="1236" spans="2:2 1174:1189 2890:2905 3491:3493" x14ac:dyDescent="0.3">
      <c r="B1236" t="s">
        <v>4721</v>
      </c>
      <c r="ASG1236">
        <v>1</v>
      </c>
      <c r="DGG1236">
        <v>1</v>
      </c>
      <c r="EDG1236">
        <f>SUMPRODUCT(Constraint_1230,Decision_variables)</f>
        <v>0</v>
      </c>
      <c r="EDH1236" t="s">
        <v>5265</v>
      </c>
      <c r="EDI1236">
        <v>1</v>
      </c>
    </row>
    <row r="1237" spans="2:2 1174:1189 2890:2905 3491:3493" x14ac:dyDescent="0.3">
      <c r="B1237" t="s">
        <v>4722</v>
      </c>
      <c r="ASH1237">
        <v>1</v>
      </c>
      <c r="DGH1237">
        <v>1</v>
      </c>
      <c r="EDG1237">
        <f>SUMPRODUCT(Constraint_1231,Decision_variables)</f>
        <v>0</v>
      </c>
      <c r="EDH1237" t="s">
        <v>5265</v>
      </c>
      <c r="EDI1237">
        <v>1</v>
      </c>
    </row>
    <row r="1238" spans="2:2 1174:1189 2890:2905 3491:3493" x14ac:dyDescent="0.3">
      <c r="B1238" t="s">
        <v>4723</v>
      </c>
      <c r="ASI1238">
        <v>1</v>
      </c>
      <c r="DGI1238">
        <v>1</v>
      </c>
      <c r="EDG1238">
        <f>SUMPRODUCT(Constraint_1232,Decision_variables)</f>
        <v>0</v>
      </c>
      <c r="EDH1238" t="s">
        <v>5265</v>
      </c>
      <c r="EDI1238">
        <v>1</v>
      </c>
    </row>
    <row r="1239" spans="2:2 1174:1189 2890:2905 3491:3493" x14ac:dyDescent="0.3">
      <c r="B1239" t="s">
        <v>4724</v>
      </c>
      <c r="ASJ1239">
        <v>1</v>
      </c>
      <c r="DGJ1239">
        <v>1</v>
      </c>
      <c r="EDG1239">
        <f>SUMPRODUCT(Constraint_1233,Decision_variables)</f>
        <v>0</v>
      </c>
      <c r="EDH1239" t="s">
        <v>5265</v>
      </c>
      <c r="EDI1239">
        <v>1</v>
      </c>
    </row>
    <row r="1240" spans="2:2 1174:1189 2890:2905 3491:3493" x14ac:dyDescent="0.3">
      <c r="B1240" t="s">
        <v>4725</v>
      </c>
      <c r="ASK1240">
        <v>1</v>
      </c>
      <c r="DGK1240">
        <v>1</v>
      </c>
      <c r="EDG1240">
        <f>SUMPRODUCT(Constraint_1234,Decision_variables)</f>
        <v>0</v>
      </c>
      <c r="EDH1240" t="s">
        <v>5265</v>
      </c>
      <c r="EDI1240">
        <v>1</v>
      </c>
    </row>
    <row r="1241" spans="2:2 1174:1189 2890:2905 3491:3493" x14ac:dyDescent="0.3">
      <c r="B1241" t="s">
        <v>4726</v>
      </c>
      <c r="ASL1241">
        <v>1</v>
      </c>
      <c r="DGL1241">
        <v>1</v>
      </c>
      <c r="EDG1241">
        <f>SUMPRODUCT(Constraint_1235,Decision_variables)</f>
        <v>0</v>
      </c>
      <c r="EDH1241" t="s">
        <v>5265</v>
      </c>
      <c r="EDI1241">
        <v>1</v>
      </c>
    </row>
    <row r="1242" spans="2:2 1174:1189 2890:2905 3491:3493" x14ac:dyDescent="0.3">
      <c r="B1242" t="s">
        <v>4727</v>
      </c>
      <c r="ASM1242">
        <v>1</v>
      </c>
      <c r="DGM1242">
        <v>1</v>
      </c>
      <c r="EDG1242">
        <f>SUMPRODUCT(Constraint_1236,Decision_variables)</f>
        <v>0</v>
      </c>
      <c r="EDH1242" t="s">
        <v>5265</v>
      </c>
      <c r="EDI1242">
        <v>1</v>
      </c>
    </row>
    <row r="1243" spans="2:2 1174:1189 2890:2905 3491:3493" x14ac:dyDescent="0.3">
      <c r="B1243" t="s">
        <v>4728</v>
      </c>
      <c r="ASN1243">
        <v>1</v>
      </c>
      <c r="DGN1243">
        <v>1</v>
      </c>
      <c r="EDG1243">
        <f>SUMPRODUCT(Constraint_1237,Decision_variables)</f>
        <v>0</v>
      </c>
      <c r="EDH1243" t="s">
        <v>5265</v>
      </c>
      <c r="EDI1243">
        <v>1</v>
      </c>
    </row>
    <row r="1244" spans="2:2 1174:1189 2890:2905 3491:3493" x14ac:dyDescent="0.3">
      <c r="B1244" t="s">
        <v>4729</v>
      </c>
      <c r="ASO1244">
        <v>1</v>
      </c>
      <c r="DGO1244">
        <v>1</v>
      </c>
      <c r="EDG1244">
        <f>SUMPRODUCT(Constraint_1238,Decision_variables)</f>
        <v>0</v>
      </c>
      <c r="EDH1244" t="s">
        <v>5265</v>
      </c>
      <c r="EDI1244">
        <v>1</v>
      </c>
    </row>
    <row r="1245" spans="2:2 1174:1189 2890:2905 3491:3493" x14ac:dyDescent="0.3">
      <c r="B1245" t="s">
        <v>4730</v>
      </c>
      <c r="ASP1245">
        <v>1</v>
      </c>
      <c r="DGP1245">
        <v>1</v>
      </c>
      <c r="EDG1245">
        <f>SUMPRODUCT(Constraint_1239,Decision_variables)</f>
        <v>0</v>
      </c>
      <c r="EDH1245" t="s">
        <v>5265</v>
      </c>
      <c r="EDI1245">
        <v>1</v>
      </c>
    </row>
    <row r="1246" spans="2:2 1174:1189 2890:2905 3491:3493" x14ac:dyDescent="0.3">
      <c r="B1246" t="s">
        <v>4731</v>
      </c>
      <c r="ASQ1246">
        <v>1</v>
      </c>
      <c r="DGQ1246">
        <v>1</v>
      </c>
      <c r="EDG1246">
        <f>SUMPRODUCT(Constraint_1240,Decision_variables)</f>
        <v>0</v>
      </c>
      <c r="EDH1246" t="s">
        <v>5265</v>
      </c>
      <c r="EDI1246">
        <v>1</v>
      </c>
    </row>
    <row r="1247" spans="2:2 1174:1189 2890:2905 3491:3493" x14ac:dyDescent="0.3">
      <c r="B1247" t="s">
        <v>4732</v>
      </c>
      <c r="ASR1247">
        <v>1</v>
      </c>
      <c r="DGR1247">
        <v>1</v>
      </c>
      <c r="EDG1247">
        <f>SUMPRODUCT(Constraint_1241,Decision_variables)</f>
        <v>0</v>
      </c>
      <c r="EDH1247" t="s">
        <v>5265</v>
      </c>
      <c r="EDI1247">
        <v>1</v>
      </c>
    </row>
    <row r="1248" spans="2:2 1174:1189 2890:2905 3491:3493" x14ac:dyDescent="0.3">
      <c r="B1248" t="s">
        <v>4733</v>
      </c>
      <c r="ASS1248">
        <v>1</v>
      </c>
      <c r="DGS1248">
        <v>1</v>
      </c>
      <c r="EDG1248">
        <f>SUMPRODUCT(Constraint_1242,Decision_variables)</f>
        <v>0</v>
      </c>
      <c r="EDH1248" t="s">
        <v>5265</v>
      </c>
      <c r="EDI1248">
        <v>1</v>
      </c>
    </row>
    <row r="1249" spans="2:2 1190:1205 2906:2921 3491:3493" x14ac:dyDescent="0.3">
      <c r="B1249" t="s">
        <v>4734</v>
      </c>
      <c r="AST1249">
        <v>1</v>
      </c>
      <c r="DGT1249">
        <v>1</v>
      </c>
      <c r="EDG1249">
        <f>SUMPRODUCT(Constraint_1243,Decision_variables)</f>
        <v>0</v>
      </c>
      <c r="EDH1249" t="s">
        <v>5265</v>
      </c>
      <c r="EDI1249">
        <v>1</v>
      </c>
    </row>
    <row r="1250" spans="2:2 1190:1205 2906:2921 3491:3493" x14ac:dyDescent="0.3">
      <c r="B1250" t="s">
        <v>4735</v>
      </c>
      <c r="ASU1250">
        <v>1</v>
      </c>
      <c r="DGU1250">
        <v>1</v>
      </c>
      <c r="EDG1250">
        <f>SUMPRODUCT(Constraint_1244,Decision_variables)</f>
        <v>0</v>
      </c>
      <c r="EDH1250" t="s">
        <v>5265</v>
      </c>
      <c r="EDI1250">
        <v>1</v>
      </c>
    </row>
    <row r="1251" spans="2:2 1190:1205 2906:2921 3491:3493" x14ac:dyDescent="0.3">
      <c r="B1251" t="s">
        <v>4736</v>
      </c>
      <c r="ASV1251">
        <v>1</v>
      </c>
      <c r="DGV1251">
        <v>1</v>
      </c>
      <c r="EDG1251">
        <f>SUMPRODUCT(Constraint_1245,Decision_variables)</f>
        <v>0</v>
      </c>
      <c r="EDH1251" t="s">
        <v>5265</v>
      </c>
      <c r="EDI1251">
        <v>1</v>
      </c>
    </row>
    <row r="1252" spans="2:2 1190:1205 2906:2921 3491:3493" x14ac:dyDescent="0.3">
      <c r="B1252" t="s">
        <v>4737</v>
      </c>
      <c r="ASW1252">
        <v>1</v>
      </c>
      <c r="DGW1252">
        <v>1</v>
      </c>
      <c r="EDG1252">
        <f>SUMPRODUCT(Constraint_1246,Decision_variables)</f>
        <v>0</v>
      </c>
      <c r="EDH1252" t="s">
        <v>5265</v>
      </c>
      <c r="EDI1252">
        <v>1</v>
      </c>
    </row>
    <row r="1253" spans="2:2 1190:1205 2906:2921 3491:3493" x14ac:dyDescent="0.3">
      <c r="B1253" t="s">
        <v>4738</v>
      </c>
      <c r="ASX1253">
        <v>1</v>
      </c>
      <c r="DGX1253">
        <v>1</v>
      </c>
      <c r="EDG1253">
        <f>SUMPRODUCT(Constraint_1247,Decision_variables)</f>
        <v>0</v>
      </c>
      <c r="EDH1253" t="s">
        <v>5265</v>
      </c>
      <c r="EDI1253">
        <v>1</v>
      </c>
    </row>
    <row r="1254" spans="2:2 1190:1205 2906:2921 3491:3493" x14ac:dyDescent="0.3">
      <c r="B1254" t="s">
        <v>4739</v>
      </c>
      <c r="ASY1254">
        <v>1</v>
      </c>
      <c r="DGY1254">
        <v>1</v>
      </c>
      <c r="EDG1254">
        <f>SUMPRODUCT(Constraint_1248,Decision_variables)</f>
        <v>0</v>
      </c>
      <c r="EDH1254" t="s">
        <v>5265</v>
      </c>
      <c r="EDI1254">
        <v>1</v>
      </c>
    </row>
    <row r="1255" spans="2:2 1190:1205 2906:2921 3491:3493" x14ac:dyDescent="0.3">
      <c r="B1255" t="s">
        <v>4740</v>
      </c>
      <c r="ASZ1255">
        <v>1</v>
      </c>
      <c r="DGZ1255">
        <v>1</v>
      </c>
      <c r="EDG1255">
        <f>SUMPRODUCT(Constraint_1249,Decision_variables)</f>
        <v>0</v>
      </c>
      <c r="EDH1255" t="s">
        <v>5265</v>
      </c>
      <c r="EDI1255">
        <v>1</v>
      </c>
    </row>
    <row r="1256" spans="2:2 1190:1205 2906:2921 3491:3493" x14ac:dyDescent="0.3">
      <c r="B1256" t="s">
        <v>4741</v>
      </c>
      <c r="ATA1256">
        <v>1</v>
      </c>
      <c r="DHA1256">
        <v>1</v>
      </c>
      <c r="EDG1256">
        <f>SUMPRODUCT(Constraint_1250,Decision_variables)</f>
        <v>0</v>
      </c>
      <c r="EDH1256" t="s">
        <v>5265</v>
      </c>
      <c r="EDI1256">
        <v>1</v>
      </c>
    </row>
    <row r="1257" spans="2:2 1190:1205 2906:2921 3491:3493" x14ac:dyDescent="0.3">
      <c r="B1257" t="s">
        <v>4742</v>
      </c>
      <c r="ATB1257">
        <v>1</v>
      </c>
      <c r="DHB1257">
        <v>1</v>
      </c>
      <c r="EDG1257">
        <f>SUMPRODUCT(Constraint_1251,Decision_variables)</f>
        <v>0</v>
      </c>
      <c r="EDH1257" t="s">
        <v>5265</v>
      </c>
      <c r="EDI1257">
        <v>1</v>
      </c>
    </row>
    <row r="1258" spans="2:2 1190:1205 2906:2921 3491:3493" x14ac:dyDescent="0.3">
      <c r="B1258" t="s">
        <v>4743</v>
      </c>
      <c r="ATC1258">
        <v>1</v>
      </c>
      <c r="DHC1258">
        <v>1</v>
      </c>
      <c r="EDG1258">
        <f>SUMPRODUCT(Constraint_1252,Decision_variables)</f>
        <v>0</v>
      </c>
      <c r="EDH1258" t="s">
        <v>5265</v>
      </c>
      <c r="EDI1258">
        <v>1</v>
      </c>
    </row>
    <row r="1259" spans="2:2 1190:1205 2906:2921 3491:3493" x14ac:dyDescent="0.3">
      <c r="B1259" t="s">
        <v>4744</v>
      </c>
      <c r="ATD1259">
        <v>1</v>
      </c>
      <c r="DHD1259">
        <v>1</v>
      </c>
      <c r="EDG1259">
        <f>SUMPRODUCT(Constraint_1253,Decision_variables)</f>
        <v>0</v>
      </c>
      <c r="EDH1259" t="s">
        <v>5265</v>
      </c>
      <c r="EDI1259">
        <v>1</v>
      </c>
    </row>
    <row r="1260" spans="2:2 1190:1205 2906:2921 3491:3493" x14ac:dyDescent="0.3">
      <c r="B1260" t="s">
        <v>4745</v>
      </c>
      <c r="ATE1260">
        <v>1</v>
      </c>
      <c r="DHE1260">
        <v>1</v>
      </c>
      <c r="EDG1260">
        <f>SUMPRODUCT(Constraint_1254,Decision_variables)</f>
        <v>0</v>
      </c>
      <c r="EDH1260" t="s">
        <v>5265</v>
      </c>
      <c r="EDI1260">
        <v>1</v>
      </c>
    </row>
    <row r="1261" spans="2:2 1190:1205 2906:2921 3491:3493" x14ac:dyDescent="0.3">
      <c r="B1261" t="s">
        <v>4746</v>
      </c>
      <c r="ATF1261">
        <v>1</v>
      </c>
      <c r="DHF1261">
        <v>1</v>
      </c>
      <c r="EDG1261">
        <f>SUMPRODUCT(Constraint_1255,Decision_variables)</f>
        <v>0</v>
      </c>
      <c r="EDH1261" t="s">
        <v>5265</v>
      </c>
      <c r="EDI1261">
        <v>1</v>
      </c>
    </row>
    <row r="1262" spans="2:2 1190:1205 2906:2921 3491:3493" x14ac:dyDescent="0.3">
      <c r="B1262" t="s">
        <v>4747</v>
      </c>
      <c r="ATG1262">
        <v>1</v>
      </c>
      <c r="DHG1262">
        <v>1</v>
      </c>
      <c r="EDG1262">
        <f>SUMPRODUCT(Constraint_1256,Decision_variables)</f>
        <v>0</v>
      </c>
      <c r="EDH1262" t="s">
        <v>5265</v>
      </c>
      <c r="EDI1262">
        <v>1</v>
      </c>
    </row>
    <row r="1263" spans="2:2 1190:1205 2906:2921 3491:3493" x14ac:dyDescent="0.3">
      <c r="B1263" t="s">
        <v>4748</v>
      </c>
      <c r="ATH1263">
        <v>1</v>
      </c>
      <c r="DHH1263">
        <v>1</v>
      </c>
      <c r="EDG1263">
        <f>SUMPRODUCT(Constraint_1257,Decision_variables)</f>
        <v>0</v>
      </c>
      <c r="EDH1263" t="s">
        <v>5265</v>
      </c>
      <c r="EDI1263">
        <v>1</v>
      </c>
    </row>
    <row r="1264" spans="2:2 1190:1205 2906:2921 3491:3493" x14ac:dyDescent="0.3">
      <c r="B1264" t="s">
        <v>4749</v>
      </c>
      <c r="ATI1264">
        <v>1</v>
      </c>
      <c r="DHI1264">
        <v>1</v>
      </c>
      <c r="EDG1264">
        <f>SUMPRODUCT(Constraint_1258,Decision_variables)</f>
        <v>0</v>
      </c>
      <c r="EDH1264" t="s">
        <v>5265</v>
      </c>
      <c r="EDI1264">
        <v>1</v>
      </c>
    </row>
    <row r="1265" spans="2:2 1206:1221 2922:2937 3491:3493" x14ac:dyDescent="0.3">
      <c r="B1265" t="s">
        <v>4750</v>
      </c>
      <c r="ATJ1265">
        <v>1</v>
      </c>
      <c r="DHJ1265">
        <v>1</v>
      </c>
      <c r="EDG1265">
        <f>SUMPRODUCT(Constraint_1259,Decision_variables)</f>
        <v>0</v>
      </c>
      <c r="EDH1265" t="s">
        <v>5265</v>
      </c>
      <c r="EDI1265">
        <v>1</v>
      </c>
    </row>
    <row r="1266" spans="2:2 1206:1221 2922:2937 3491:3493" x14ac:dyDescent="0.3">
      <c r="B1266" t="s">
        <v>4751</v>
      </c>
      <c r="ATK1266">
        <v>1</v>
      </c>
      <c r="DHK1266">
        <v>1</v>
      </c>
      <c r="EDG1266">
        <f>SUMPRODUCT(Constraint_1260,Decision_variables)</f>
        <v>0</v>
      </c>
      <c r="EDH1266" t="s">
        <v>5265</v>
      </c>
      <c r="EDI1266">
        <v>1</v>
      </c>
    </row>
    <row r="1267" spans="2:2 1206:1221 2922:2937 3491:3493" x14ac:dyDescent="0.3">
      <c r="B1267" t="s">
        <v>4752</v>
      </c>
      <c r="ATL1267">
        <v>1</v>
      </c>
      <c r="DHL1267">
        <v>1</v>
      </c>
      <c r="EDG1267">
        <f>SUMPRODUCT(Constraint_1261,Decision_variables)</f>
        <v>0</v>
      </c>
      <c r="EDH1267" t="s">
        <v>5265</v>
      </c>
      <c r="EDI1267">
        <v>1</v>
      </c>
    </row>
    <row r="1268" spans="2:2 1206:1221 2922:2937 3491:3493" x14ac:dyDescent="0.3">
      <c r="B1268" t="s">
        <v>4753</v>
      </c>
      <c r="ATM1268">
        <v>1</v>
      </c>
      <c r="DHM1268">
        <v>1</v>
      </c>
      <c r="EDG1268">
        <f>SUMPRODUCT(Constraint_1262,Decision_variables)</f>
        <v>0</v>
      </c>
      <c r="EDH1268" t="s">
        <v>5265</v>
      </c>
      <c r="EDI1268">
        <v>1</v>
      </c>
    </row>
    <row r="1269" spans="2:2 1206:1221 2922:2937 3491:3493" x14ac:dyDescent="0.3">
      <c r="B1269" t="s">
        <v>4754</v>
      </c>
      <c r="ATN1269">
        <v>1</v>
      </c>
      <c r="DHN1269">
        <v>1</v>
      </c>
      <c r="EDG1269">
        <f>SUMPRODUCT(Constraint_1263,Decision_variables)</f>
        <v>0</v>
      </c>
      <c r="EDH1269" t="s">
        <v>5265</v>
      </c>
      <c r="EDI1269">
        <v>1</v>
      </c>
    </row>
    <row r="1270" spans="2:2 1206:1221 2922:2937 3491:3493" x14ac:dyDescent="0.3">
      <c r="B1270" t="s">
        <v>4755</v>
      </c>
      <c r="ATO1270">
        <v>1</v>
      </c>
      <c r="DHO1270">
        <v>1</v>
      </c>
      <c r="EDG1270">
        <f>SUMPRODUCT(Constraint_1264,Decision_variables)</f>
        <v>0</v>
      </c>
      <c r="EDH1270" t="s">
        <v>5265</v>
      </c>
      <c r="EDI1270">
        <v>1</v>
      </c>
    </row>
    <row r="1271" spans="2:2 1206:1221 2922:2937 3491:3493" x14ac:dyDescent="0.3">
      <c r="B1271" t="s">
        <v>4756</v>
      </c>
      <c r="ATP1271">
        <v>1</v>
      </c>
      <c r="DHP1271">
        <v>1</v>
      </c>
      <c r="EDG1271">
        <f>SUMPRODUCT(Constraint_1265,Decision_variables)</f>
        <v>0</v>
      </c>
      <c r="EDH1271" t="s">
        <v>5265</v>
      </c>
      <c r="EDI1271">
        <v>1</v>
      </c>
    </row>
    <row r="1272" spans="2:2 1206:1221 2922:2937 3491:3493" x14ac:dyDescent="0.3">
      <c r="B1272" t="s">
        <v>4757</v>
      </c>
      <c r="ATQ1272">
        <v>1</v>
      </c>
      <c r="DHQ1272">
        <v>1</v>
      </c>
      <c r="EDG1272">
        <f>SUMPRODUCT(Constraint_1266,Decision_variables)</f>
        <v>0</v>
      </c>
      <c r="EDH1272" t="s">
        <v>5265</v>
      </c>
      <c r="EDI1272">
        <v>1</v>
      </c>
    </row>
    <row r="1273" spans="2:2 1206:1221 2922:2937 3491:3493" x14ac:dyDescent="0.3">
      <c r="B1273" t="s">
        <v>4758</v>
      </c>
      <c r="ATR1273">
        <v>1</v>
      </c>
      <c r="DHR1273">
        <v>1</v>
      </c>
      <c r="EDG1273">
        <f>SUMPRODUCT(Constraint_1267,Decision_variables)</f>
        <v>0</v>
      </c>
      <c r="EDH1273" t="s">
        <v>5265</v>
      </c>
      <c r="EDI1273">
        <v>1</v>
      </c>
    </row>
    <row r="1274" spans="2:2 1206:1221 2922:2937 3491:3493" x14ac:dyDescent="0.3">
      <c r="B1274" t="s">
        <v>4759</v>
      </c>
      <c r="ATS1274">
        <v>1</v>
      </c>
      <c r="DHS1274">
        <v>1</v>
      </c>
      <c r="EDG1274">
        <f>SUMPRODUCT(Constraint_1268,Decision_variables)</f>
        <v>0</v>
      </c>
      <c r="EDH1274" t="s">
        <v>5265</v>
      </c>
      <c r="EDI1274">
        <v>1</v>
      </c>
    </row>
    <row r="1275" spans="2:2 1206:1221 2922:2937 3491:3493" x14ac:dyDescent="0.3">
      <c r="B1275" t="s">
        <v>4760</v>
      </c>
      <c r="ATT1275">
        <v>1</v>
      </c>
      <c r="DHT1275">
        <v>1</v>
      </c>
      <c r="EDG1275">
        <f>SUMPRODUCT(Constraint_1269,Decision_variables)</f>
        <v>0</v>
      </c>
      <c r="EDH1275" t="s">
        <v>5265</v>
      </c>
      <c r="EDI1275">
        <v>1</v>
      </c>
    </row>
    <row r="1276" spans="2:2 1206:1221 2922:2937 3491:3493" x14ac:dyDescent="0.3">
      <c r="B1276" t="s">
        <v>4761</v>
      </c>
      <c r="ATU1276">
        <v>1</v>
      </c>
      <c r="DHU1276">
        <v>1</v>
      </c>
      <c r="EDG1276">
        <f>SUMPRODUCT(Constraint_1270,Decision_variables)</f>
        <v>0</v>
      </c>
      <c r="EDH1276" t="s">
        <v>5265</v>
      </c>
      <c r="EDI1276">
        <v>1</v>
      </c>
    </row>
    <row r="1277" spans="2:2 1206:1221 2922:2937 3491:3493" x14ac:dyDescent="0.3">
      <c r="B1277" t="s">
        <v>4762</v>
      </c>
      <c r="ATV1277">
        <v>1</v>
      </c>
      <c r="DHV1277">
        <v>1</v>
      </c>
      <c r="EDG1277">
        <f>SUMPRODUCT(Constraint_1271,Decision_variables)</f>
        <v>0</v>
      </c>
      <c r="EDH1277" t="s">
        <v>5265</v>
      </c>
      <c r="EDI1277">
        <v>1</v>
      </c>
    </row>
    <row r="1278" spans="2:2 1206:1221 2922:2937 3491:3493" x14ac:dyDescent="0.3">
      <c r="B1278" t="s">
        <v>4763</v>
      </c>
      <c r="ATW1278">
        <v>1</v>
      </c>
      <c r="DHW1278">
        <v>1</v>
      </c>
      <c r="EDG1278">
        <f>SUMPRODUCT(Constraint_1272,Decision_variables)</f>
        <v>0</v>
      </c>
      <c r="EDH1278" t="s">
        <v>5265</v>
      </c>
      <c r="EDI1278">
        <v>1</v>
      </c>
    </row>
    <row r="1279" spans="2:2 1206:1221 2922:2937 3491:3493" x14ac:dyDescent="0.3">
      <c r="B1279" t="s">
        <v>4764</v>
      </c>
      <c r="ATX1279">
        <v>1</v>
      </c>
      <c r="DHX1279">
        <v>1</v>
      </c>
      <c r="EDG1279">
        <f>SUMPRODUCT(Constraint_1273,Decision_variables)</f>
        <v>0</v>
      </c>
      <c r="EDH1279" t="s">
        <v>5265</v>
      </c>
      <c r="EDI1279">
        <v>1</v>
      </c>
    </row>
    <row r="1280" spans="2:2 1206:1221 2922:2937 3491:3493" x14ac:dyDescent="0.3">
      <c r="B1280" t="s">
        <v>4765</v>
      </c>
      <c r="ATY1280">
        <v>1</v>
      </c>
      <c r="DHY1280">
        <v>1</v>
      </c>
      <c r="EDG1280">
        <f>SUMPRODUCT(Constraint_1274,Decision_variables)</f>
        <v>0</v>
      </c>
      <c r="EDH1280" t="s">
        <v>5265</v>
      </c>
      <c r="EDI1280">
        <v>1</v>
      </c>
    </row>
    <row r="1281" spans="2:2 1222:1237 2938:2953 3491:3493" x14ac:dyDescent="0.3">
      <c r="B1281" t="s">
        <v>4766</v>
      </c>
      <c r="ATZ1281">
        <v>1</v>
      </c>
      <c r="DHZ1281">
        <v>1</v>
      </c>
      <c r="EDG1281">
        <f>SUMPRODUCT(Constraint_1275,Decision_variables)</f>
        <v>0</v>
      </c>
      <c r="EDH1281" t="s">
        <v>5265</v>
      </c>
      <c r="EDI1281">
        <v>1</v>
      </c>
    </row>
    <row r="1282" spans="2:2 1222:1237 2938:2953 3491:3493" x14ac:dyDescent="0.3">
      <c r="B1282" t="s">
        <v>4767</v>
      </c>
      <c r="AUA1282">
        <v>1</v>
      </c>
      <c r="DIA1282">
        <v>1</v>
      </c>
      <c r="EDG1282">
        <f>SUMPRODUCT(Constraint_1276,Decision_variables)</f>
        <v>0</v>
      </c>
      <c r="EDH1282" t="s">
        <v>5265</v>
      </c>
      <c r="EDI1282">
        <v>1</v>
      </c>
    </row>
    <row r="1283" spans="2:2 1222:1237 2938:2953 3491:3493" x14ac:dyDescent="0.3">
      <c r="B1283" t="s">
        <v>4768</v>
      </c>
      <c r="AUB1283">
        <v>1</v>
      </c>
      <c r="DIB1283">
        <v>1</v>
      </c>
      <c r="EDG1283">
        <f>SUMPRODUCT(Constraint_1277,Decision_variables)</f>
        <v>0</v>
      </c>
      <c r="EDH1283" t="s">
        <v>5265</v>
      </c>
      <c r="EDI1283">
        <v>1</v>
      </c>
    </row>
    <row r="1284" spans="2:2 1222:1237 2938:2953 3491:3493" x14ac:dyDescent="0.3">
      <c r="B1284" t="s">
        <v>4769</v>
      </c>
      <c r="AUC1284">
        <v>1</v>
      </c>
      <c r="DIC1284">
        <v>1</v>
      </c>
      <c r="EDG1284">
        <f>SUMPRODUCT(Constraint_1278,Decision_variables)</f>
        <v>0</v>
      </c>
      <c r="EDH1284" t="s">
        <v>5265</v>
      </c>
      <c r="EDI1284">
        <v>1</v>
      </c>
    </row>
    <row r="1285" spans="2:2 1222:1237 2938:2953 3491:3493" x14ac:dyDescent="0.3">
      <c r="B1285" t="s">
        <v>4770</v>
      </c>
      <c r="AUD1285">
        <v>1</v>
      </c>
      <c r="DID1285">
        <v>1</v>
      </c>
      <c r="EDG1285">
        <f>SUMPRODUCT(Constraint_1279,Decision_variables)</f>
        <v>0</v>
      </c>
      <c r="EDH1285" t="s">
        <v>5265</v>
      </c>
      <c r="EDI1285">
        <v>1</v>
      </c>
    </row>
    <row r="1286" spans="2:2 1222:1237 2938:2953 3491:3493" x14ac:dyDescent="0.3">
      <c r="B1286" t="s">
        <v>4771</v>
      </c>
      <c r="AUE1286">
        <v>1</v>
      </c>
      <c r="DIE1286">
        <v>1</v>
      </c>
      <c r="EDG1286">
        <f>SUMPRODUCT(Constraint_1280,Decision_variables)</f>
        <v>0</v>
      </c>
      <c r="EDH1286" t="s">
        <v>5265</v>
      </c>
      <c r="EDI1286">
        <v>1</v>
      </c>
    </row>
    <row r="1287" spans="2:2 1222:1237 2938:2953 3491:3493" x14ac:dyDescent="0.3">
      <c r="B1287" t="s">
        <v>4772</v>
      </c>
      <c r="AUF1287">
        <v>1</v>
      </c>
      <c r="DIF1287">
        <v>1</v>
      </c>
      <c r="EDG1287">
        <f>SUMPRODUCT(Constraint_1281,Decision_variables)</f>
        <v>0</v>
      </c>
      <c r="EDH1287" t="s">
        <v>5265</v>
      </c>
      <c r="EDI1287">
        <v>1</v>
      </c>
    </row>
    <row r="1288" spans="2:2 1222:1237 2938:2953 3491:3493" x14ac:dyDescent="0.3">
      <c r="B1288" t="s">
        <v>4773</v>
      </c>
      <c r="AUG1288">
        <v>1</v>
      </c>
      <c r="DIG1288">
        <v>1</v>
      </c>
      <c r="EDG1288">
        <f>SUMPRODUCT(Constraint_1282,Decision_variables)</f>
        <v>0</v>
      </c>
      <c r="EDH1288" t="s">
        <v>5265</v>
      </c>
      <c r="EDI1288">
        <v>1</v>
      </c>
    </row>
    <row r="1289" spans="2:2 1222:1237 2938:2953 3491:3493" x14ac:dyDescent="0.3">
      <c r="B1289" t="s">
        <v>4774</v>
      </c>
      <c r="AUH1289">
        <v>1</v>
      </c>
      <c r="DIH1289">
        <v>1</v>
      </c>
      <c r="EDG1289">
        <f>SUMPRODUCT(Constraint_1283,Decision_variables)</f>
        <v>0</v>
      </c>
      <c r="EDH1289" t="s">
        <v>5265</v>
      </c>
      <c r="EDI1289">
        <v>1</v>
      </c>
    </row>
    <row r="1290" spans="2:2 1222:1237 2938:2953 3491:3493" x14ac:dyDescent="0.3">
      <c r="B1290" t="s">
        <v>4775</v>
      </c>
      <c r="AUI1290">
        <v>1</v>
      </c>
      <c r="DII1290">
        <v>1</v>
      </c>
      <c r="EDG1290">
        <f>SUMPRODUCT(Constraint_1284,Decision_variables)</f>
        <v>0</v>
      </c>
      <c r="EDH1290" t="s">
        <v>5265</v>
      </c>
      <c r="EDI1290">
        <v>1</v>
      </c>
    </row>
    <row r="1291" spans="2:2 1222:1237 2938:2953 3491:3493" x14ac:dyDescent="0.3">
      <c r="B1291" t="s">
        <v>4776</v>
      </c>
      <c r="AUJ1291">
        <v>1</v>
      </c>
      <c r="DIJ1291">
        <v>1</v>
      </c>
      <c r="EDG1291">
        <f>SUMPRODUCT(Constraint_1285,Decision_variables)</f>
        <v>0</v>
      </c>
      <c r="EDH1291" t="s">
        <v>5265</v>
      </c>
      <c r="EDI1291">
        <v>1</v>
      </c>
    </row>
    <row r="1292" spans="2:2 1222:1237 2938:2953 3491:3493" x14ac:dyDescent="0.3">
      <c r="B1292" t="s">
        <v>4777</v>
      </c>
      <c r="AUK1292">
        <v>1</v>
      </c>
      <c r="DIK1292">
        <v>1</v>
      </c>
      <c r="EDG1292">
        <f>SUMPRODUCT(Constraint_1286,Decision_variables)</f>
        <v>0</v>
      </c>
      <c r="EDH1292" t="s">
        <v>5265</v>
      </c>
      <c r="EDI1292">
        <v>1</v>
      </c>
    </row>
    <row r="1293" spans="2:2 1222:1237 2938:2953 3491:3493" x14ac:dyDescent="0.3">
      <c r="B1293" t="s">
        <v>4778</v>
      </c>
      <c r="AUL1293">
        <v>1</v>
      </c>
      <c r="DIL1293">
        <v>1</v>
      </c>
      <c r="EDG1293">
        <f>SUMPRODUCT(Constraint_1287,Decision_variables)</f>
        <v>0</v>
      </c>
      <c r="EDH1293" t="s">
        <v>5265</v>
      </c>
      <c r="EDI1293">
        <v>1</v>
      </c>
    </row>
    <row r="1294" spans="2:2 1222:1237 2938:2953 3491:3493" x14ac:dyDescent="0.3">
      <c r="B1294" t="s">
        <v>4779</v>
      </c>
      <c r="AUM1294">
        <v>1</v>
      </c>
      <c r="DIM1294">
        <v>1</v>
      </c>
      <c r="EDG1294">
        <f>SUMPRODUCT(Constraint_1288,Decision_variables)</f>
        <v>0</v>
      </c>
      <c r="EDH1294" t="s">
        <v>5265</v>
      </c>
      <c r="EDI1294">
        <v>1</v>
      </c>
    </row>
    <row r="1295" spans="2:2 1222:1237 2938:2953 3491:3493" x14ac:dyDescent="0.3">
      <c r="B1295" t="s">
        <v>4780</v>
      </c>
      <c r="AUN1295">
        <v>1</v>
      </c>
      <c r="DIN1295">
        <v>1</v>
      </c>
      <c r="EDG1295">
        <f>SUMPRODUCT(Constraint_1289,Decision_variables)</f>
        <v>0</v>
      </c>
      <c r="EDH1295" t="s">
        <v>5265</v>
      </c>
      <c r="EDI1295">
        <v>1</v>
      </c>
    </row>
    <row r="1296" spans="2:2 1222:1237 2938:2953 3491:3493" x14ac:dyDescent="0.3">
      <c r="B1296" t="s">
        <v>4781</v>
      </c>
      <c r="AUO1296">
        <v>1</v>
      </c>
      <c r="DIO1296">
        <v>1</v>
      </c>
      <c r="EDG1296">
        <f>SUMPRODUCT(Constraint_1290,Decision_variables)</f>
        <v>0</v>
      </c>
      <c r="EDH1296" t="s">
        <v>5265</v>
      </c>
      <c r="EDI1296">
        <v>1</v>
      </c>
    </row>
    <row r="1297" spans="2:2 1238:1253 2954:2969 3491:3493" x14ac:dyDescent="0.3">
      <c r="B1297" t="s">
        <v>4782</v>
      </c>
      <c r="AUP1297">
        <v>1</v>
      </c>
      <c r="DIP1297">
        <v>1</v>
      </c>
      <c r="EDG1297">
        <f>SUMPRODUCT(Constraint_1291,Decision_variables)</f>
        <v>0</v>
      </c>
      <c r="EDH1297" t="s">
        <v>5265</v>
      </c>
      <c r="EDI1297">
        <v>1</v>
      </c>
    </row>
    <row r="1298" spans="2:2 1238:1253 2954:2969 3491:3493" x14ac:dyDescent="0.3">
      <c r="B1298" t="s">
        <v>4783</v>
      </c>
      <c r="AUQ1298">
        <v>1</v>
      </c>
      <c r="DIQ1298">
        <v>1</v>
      </c>
      <c r="EDG1298">
        <f>SUMPRODUCT(Constraint_1292,Decision_variables)</f>
        <v>0</v>
      </c>
      <c r="EDH1298" t="s">
        <v>5265</v>
      </c>
      <c r="EDI1298">
        <v>1</v>
      </c>
    </row>
    <row r="1299" spans="2:2 1238:1253 2954:2969 3491:3493" x14ac:dyDescent="0.3">
      <c r="B1299" t="s">
        <v>4784</v>
      </c>
      <c r="AUR1299">
        <v>1</v>
      </c>
      <c r="DIR1299">
        <v>1</v>
      </c>
      <c r="EDG1299">
        <f>SUMPRODUCT(Constraint_1293,Decision_variables)</f>
        <v>0</v>
      </c>
      <c r="EDH1299" t="s">
        <v>5265</v>
      </c>
      <c r="EDI1299">
        <v>1</v>
      </c>
    </row>
    <row r="1300" spans="2:2 1238:1253 2954:2969 3491:3493" x14ac:dyDescent="0.3">
      <c r="B1300" t="s">
        <v>4785</v>
      </c>
      <c r="AUS1300">
        <v>1</v>
      </c>
      <c r="DIS1300">
        <v>1</v>
      </c>
      <c r="EDG1300">
        <f>SUMPRODUCT(Constraint_1294,Decision_variables)</f>
        <v>0</v>
      </c>
      <c r="EDH1300" t="s">
        <v>5265</v>
      </c>
      <c r="EDI1300">
        <v>1</v>
      </c>
    </row>
    <row r="1301" spans="2:2 1238:1253 2954:2969 3491:3493" x14ac:dyDescent="0.3">
      <c r="B1301" t="s">
        <v>4786</v>
      </c>
      <c r="AUT1301">
        <v>1</v>
      </c>
      <c r="DIT1301">
        <v>1</v>
      </c>
      <c r="EDG1301">
        <f>SUMPRODUCT(Constraint_1295,Decision_variables)</f>
        <v>0</v>
      </c>
      <c r="EDH1301" t="s">
        <v>5265</v>
      </c>
      <c r="EDI1301">
        <v>1</v>
      </c>
    </row>
    <row r="1302" spans="2:2 1238:1253 2954:2969 3491:3493" x14ac:dyDescent="0.3">
      <c r="B1302" t="s">
        <v>4787</v>
      </c>
      <c r="AUU1302">
        <v>1</v>
      </c>
      <c r="DIU1302">
        <v>1</v>
      </c>
      <c r="EDG1302">
        <f>SUMPRODUCT(Constraint_1296,Decision_variables)</f>
        <v>0</v>
      </c>
      <c r="EDH1302" t="s">
        <v>5265</v>
      </c>
      <c r="EDI1302">
        <v>1</v>
      </c>
    </row>
    <row r="1303" spans="2:2 1238:1253 2954:2969 3491:3493" x14ac:dyDescent="0.3">
      <c r="B1303" t="s">
        <v>4788</v>
      </c>
      <c r="AUV1303">
        <v>1</v>
      </c>
      <c r="DIV1303">
        <v>1</v>
      </c>
      <c r="EDG1303">
        <f>SUMPRODUCT(Constraint_1297,Decision_variables)</f>
        <v>0</v>
      </c>
      <c r="EDH1303" t="s">
        <v>5265</v>
      </c>
      <c r="EDI1303">
        <v>1</v>
      </c>
    </row>
    <row r="1304" spans="2:2 1238:1253 2954:2969 3491:3493" x14ac:dyDescent="0.3">
      <c r="B1304" t="s">
        <v>4789</v>
      </c>
      <c r="AUW1304">
        <v>1</v>
      </c>
      <c r="DIW1304">
        <v>1</v>
      </c>
      <c r="EDG1304">
        <f>SUMPRODUCT(Constraint_1298,Decision_variables)</f>
        <v>0</v>
      </c>
      <c r="EDH1304" t="s">
        <v>5265</v>
      </c>
      <c r="EDI1304">
        <v>1</v>
      </c>
    </row>
    <row r="1305" spans="2:2 1238:1253 2954:2969 3491:3493" x14ac:dyDescent="0.3">
      <c r="B1305" t="s">
        <v>4790</v>
      </c>
      <c r="AUX1305">
        <v>1</v>
      </c>
      <c r="DIX1305">
        <v>1</v>
      </c>
      <c r="EDG1305">
        <f>SUMPRODUCT(Constraint_1299,Decision_variables)</f>
        <v>0</v>
      </c>
      <c r="EDH1305" t="s">
        <v>5265</v>
      </c>
      <c r="EDI1305">
        <v>1</v>
      </c>
    </row>
    <row r="1306" spans="2:2 1238:1253 2954:2969 3491:3493" x14ac:dyDescent="0.3">
      <c r="B1306" t="s">
        <v>4791</v>
      </c>
      <c r="AUY1306">
        <v>1</v>
      </c>
      <c r="DIY1306">
        <v>1</v>
      </c>
      <c r="EDG1306">
        <f>SUMPRODUCT(Constraint_1300,Decision_variables)</f>
        <v>0</v>
      </c>
      <c r="EDH1306" t="s">
        <v>5265</v>
      </c>
      <c r="EDI1306">
        <v>1</v>
      </c>
    </row>
    <row r="1307" spans="2:2 1238:1253 2954:2969 3491:3493" x14ac:dyDescent="0.3">
      <c r="B1307" t="s">
        <v>4792</v>
      </c>
      <c r="AUZ1307">
        <v>1</v>
      </c>
      <c r="DIZ1307">
        <v>1</v>
      </c>
      <c r="EDG1307">
        <f>SUMPRODUCT(Constraint_1301,Decision_variables)</f>
        <v>0</v>
      </c>
      <c r="EDH1307" t="s">
        <v>5265</v>
      </c>
      <c r="EDI1307">
        <v>1</v>
      </c>
    </row>
    <row r="1308" spans="2:2 1238:1253 2954:2969 3491:3493" x14ac:dyDescent="0.3">
      <c r="B1308" t="s">
        <v>4793</v>
      </c>
      <c r="AVA1308">
        <v>1</v>
      </c>
      <c r="DJA1308">
        <v>1</v>
      </c>
      <c r="EDG1308">
        <f>SUMPRODUCT(Constraint_1302,Decision_variables)</f>
        <v>0</v>
      </c>
      <c r="EDH1308" t="s">
        <v>5265</v>
      </c>
      <c r="EDI1308">
        <v>1</v>
      </c>
    </row>
    <row r="1309" spans="2:2 1238:1253 2954:2969 3491:3493" x14ac:dyDescent="0.3">
      <c r="B1309" t="s">
        <v>4794</v>
      </c>
      <c r="AVB1309">
        <v>1</v>
      </c>
      <c r="DJB1309">
        <v>1</v>
      </c>
      <c r="EDG1309">
        <f>SUMPRODUCT(Constraint_1303,Decision_variables)</f>
        <v>0</v>
      </c>
      <c r="EDH1309" t="s">
        <v>5265</v>
      </c>
      <c r="EDI1309">
        <v>1</v>
      </c>
    </row>
    <row r="1310" spans="2:2 1238:1253 2954:2969 3491:3493" x14ac:dyDescent="0.3">
      <c r="B1310" t="s">
        <v>4795</v>
      </c>
      <c r="AVC1310">
        <v>1</v>
      </c>
      <c r="DJC1310">
        <v>1</v>
      </c>
      <c r="EDG1310">
        <f>SUMPRODUCT(Constraint_1304,Decision_variables)</f>
        <v>0</v>
      </c>
      <c r="EDH1310" t="s">
        <v>5265</v>
      </c>
      <c r="EDI1310">
        <v>1</v>
      </c>
    </row>
    <row r="1311" spans="2:2 1238:1253 2954:2969 3491:3493" x14ac:dyDescent="0.3">
      <c r="B1311" t="s">
        <v>4796</v>
      </c>
      <c r="AVD1311">
        <v>1</v>
      </c>
      <c r="DJD1311">
        <v>1</v>
      </c>
      <c r="EDG1311">
        <f>SUMPRODUCT(Constraint_1305,Decision_variables)</f>
        <v>0</v>
      </c>
      <c r="EDH1311" t="s">
        <v>5265</v>
      </c>
      <c r="EDI1311">
        <v>1</v>
      </c>
    </row>
    <row r="1312" spans="2:2 1238:1253 2954:2969 3491:3493" x14ac:dyDescent="0.3">
      <c r="B1312" t="s">
        <v>4797</v>
      </c>
      <c r="AVE1312">
        <v>1</v>
      </c>
      <c r="DJE1312">
        <v>1</v>
      </c>
      <c r="EDG1312">
        <f>SUMPRODUCT(Constraint_1306,Decision_variables)</f>
        <v>0</v>
      </c>
      <c r="EDH1312" t="s">
        <v>5265</v>
      </c>
      <c r="EDI1312">
        <v>1</v>
      </c>
    </row>
    <row r="1313" spans="2:2 1254:1269 2970:2985 3491:3493" x14ac:dyDescent="0.3">
      <c r="B1313" t="s">
        <v>4798</v>
      </c>
      <c r="AVF1313">
        <v>1</v>
      </c>
      <c r="DJF1313">
        <v>1</v>
      </c>
      <c r="EDG1313">
        <f>SUMPRODUCT(Constraint_1307,Decision_variables)</f>
        <v>0</v>
      </c>
      <c r="EDH1313" t="s">
        <v>5265</v>
      </c>
      <c r="EDI1313">
        <v>1</v>
      </c>
    </row>
    <row r="1314" spans="2:2 1254:1269 2970:2985 3491:3493" x14ac:dyDescent="0.3">
      <c r="B1314" t="s">
        <v>4799</v>
      </c>
      <c r="AVG1314">
        <v>1</v>
      </c>
      <c r="DJG1314">
        <v>1</v>
      </c>
      <c r="EDG1314">
        <f>SUMPRODUCT(Constraint_1308,Decision_variables)</f>
        <v>0</v>
      </c>
      <c r="EDH1314" t="s">
        <v>5265</v>
      </c>
      <c r="EDI1314">
        <v>1</v>
      </c>
    </row>
    <row r="1315" spans="2:2 1254:1269 2970:2985 3491:3493" x14ac:dyDescent="0.3">
      <c r="B1315" t="s">
        <v>4800</v>
      </c>
      <c r="AVH1315">
        <v>1</v>
      </c>
      <c r="DJH1315">
        <v>1</v>
      </c>
      <c r="EDG1315">
        <f>SUMPRODUCT(Constraint_1309,Decision_variables)</f>
        <v>0</v>
      </c>
      <c r="EDH1315" t="s">
        <v>5265</v>
      </c>
      <c r="EDI1315">
        <v>1</v>
      </c>
    </row>
    <row r="1316" spans="2:2 1254:1269 2970:2985 3491:3493" x14ac:dyDescent="0.3">
      <c r="B1316" t="s">
        <v>4801</v>
      </c>
      <c r="AVI1316">
        <v>1</v>
      </c>
      <c r="DJI1316">
        <v>1</v>
      </c>
      <c r="EDG1316">
        <f>SUMPRODUCT(Constraint_1310,Decision_variables)</f>
        <v>0</v>
      </c>
      <c r="EDH1316" t="s">
        <v>5265</v>
      </c>
      <c r="EDI1316">
        <v>1</v>
      </c>
    </row>
    <row r="1317" spans="2:2 1254:1269 2970:2985 3491:3493" x14ac:dyDescent="0.3">
      <c r="B1317" t="s">
        <v>4802</v>
      </c>
      <c r="AVJ1317">
        <v>1</v>
      </c>
      <c r="DJJ1317">
        <v>1</v>
      </c>
      <c r="EDG1317">
        <f>SUMPRODUCT(Constraint_1311,Decision_variables)</f>
        <v>0</v>
      </c>
      <c r="EDH1317" t="s">
        <v>5265</v>
      </c>
      <c r="EDI1317">
        <v>1</v>
      </c>
    </row>
    <row r="1318" spans="2:2 1254:1269 2970:2985 3491:3493" x14ac:dyDescent="0.3">
      <c r="B1318" t="s">
        <v>4803</v>
      </c>
      <c r="AVK1318">
        <v>1</v>
      </c>
      <c r="DJK1318">
        <v>1</v>
      </c>
      <c r="EDG1318">
        <f>SUMPRODUCT(Constraint_1312,Decision_variables)</f>
        <v>0</v>
      </c>
      <c r="EDH1318" t="s">
        <v>5265</v>
      </c>
      <c r="EDI1318">
        <v>1</v>
      </c>
    </row>
    <row r="1319" spans="2:2 1254:1269 2970:2985 3491:3493" x14ac:dyDescent="0.3">
      <c r="B1319" t="s">
        <v>4804</v>
      </c>
      <c r="AVL1319">
        <v>1</v>
      </c>
      <c r="DJL1319">
        <v>1</v>
      </c>
      <c r="EDG1319">
        <f>SUMPRODUCT(Constraint_1313,Decision_variables)</f>
        <v>0</v>
      </c>
      <c r="EDH1319" t="s">
        <v>5265</v>
      </c>
      <c r="EDI1319">
        <v>1</v>
      </c>
    </row>
    <row r="1320" spans="2:2 1254:1269 2970:2985 3491:3493" x14ac:dyDescent="0.3">
      <c r="B1320" t="s">
        <v>4805</v>
      </c>
      <c r="AVM1320">
        <v>1</v>
      </c>
      <c r="DJM1320">
        <v>1</v>
      </c>
      <c r="EDG1320">
        <f>SUMPRODUCT(Constraint_1314,Decision_variables)</f>
        <v>0</v>
      </c>
      <c r="EDH1320" t="s">
        <v>5265</v>
      </c>
      <c r="EDI1320">
        <v>1</v>
      </c>
    </row>
    <row r="1321" spans="2:2 1254:1269 2970:2985 3491:3493" x14ac:dyDescent="0.3">
      <c r="B1321" t="s">
        <v>4806</v>
      </c>
      <c r="AVN1321">
        <v>1</v>
      </c>
      <c r="DJN1321">
        <v>1</v>
      </c>
      <c r="EDG1321">
        <f>SUMPRODUCT(Constraint_1315,Decision_variables)</f>
        <v>0</v>
      </c>
      <c r="EDH1321" t="s">
        <v>5265</v>
      </c>
      <c r="EDI1321">
        <v>1</v>
      </c>
    </row>
    <row r="1322" spans="2:2 1254:1269 2970:2985 3491:3493" x14ac:dyDescent="0.3">
      <c r="B1322" t="s">
        <v>4807</v>
      </c>
      <c r="AVO1322">
        <v>1</v>
      </c>
      <c r="DJO1322">
        <v>1</v>
      </c>
      <c r="EDG1322">
        <f>SUMPRODUCT(Constraint_1316,Decision_variables)</f>
        <v>0</v>
      </c>
      <c r="EDH1322" t="s">
        <v>5265</v>
      </c>
      <c r="EDI1322">
        <v>1</v>
      </c>
    </row>
    <row r="1323" spans="2:2 1254:1269 2970:2985 3491:3493" x14ac:dyDescent="0.3">
      <c r="B1323" t="s">
        <v>4808</v>
      </c>
      <c r="AVP1323">
        <v>1</v>
      </c>
      <c r="DJP1323">
        <v>1</v>
      </c>
      <c r="EDG1323">
        <f>SUMPRODUCT(Constraint_1317,Decision_variables)</f>
        <v>0</v>
      </c>
      <c r="EDH1323" t="s">
        <v>5265</v>
      </c>
      <c r="EDI1323">
        <v>1</v>
      </c>
    </row>
    <row r="1324" spans="2:2 1254:1269 2970:2985 3491:3493" x14ac:dyDescent="0.3">
      <c r="B1324" t="s">
        <v>4809</v>
      </c>
      <c r="AVQ1324">
        <v>1</v>
      </c>
      <c r="DJQ1324">
        <v>1</v>
      </c>
      <c r="EDG1324">
        <f>SUMPRODUCT(Constraint_1318,Decision_variables)</f>
        <v>0</v>
      </c>
      <c r="EDH1324" t="s">
        <v>5265</v>
      </c>
      <c r="EDI1324">
        <v>1</v>
      </c>
    </row>
    <row r="1325" spans="2:2 1254:1269 2970:2985 3491:3493" x14ac:dyDescent="0.3">
      <c r="B1325" t="s">
        <v>4810</v>
      </c>
      <c r="AVR1325">
        <v>1</v>
      </c>
      <c r="DJR1325">
        <v>1</v>
      </c>
      <c r="EDG1325">
        <f>SUMPRODUCT(Constraint_1319,Decision_variables)</f>
        <v>0</v>
      </c>
      <c r="EDH1325" t="s">
        <v>5265</v>
      </c>
      <c r="EDI1325">
        <v>1</v>
      </c>
    </row>
    <row r="1326" spans="2:2 1254:1269 2970:2985 3491:3493" x14ac:dyDescent="0.3">
      <c r="B1326" t="s">
        <v>4811</v>
      </c>
      <c r="AVS1326">
        <v>1</v>
      </c>
      <c r="DJS1326">
        <v>1</v>
      </c>
      <c r="EDG1326">
        <f>SUMPRODUCT(Constraint_1320,Decision_variables)</f>
        <v>0</v>
      </c>
      <c r="EDH1326" t="s">
        <v>5265</v>
      </c>
      <c r="EDI1326">
        <v>1</v>
      </c>
    </row>
    <row r="1327" spans="2:2 1254:1269 2970:2985 3491:3493" x14ac:dyDescent="0.3">
      <c r="B1327" t="s">
        <v>4812</v>
      </c>
      <c r="AVT1327">
        <v>1</v>
      </c>
      <c r="DJT1327">
        <v>1</v>
      </c>
      <c r="EDG1327">
        <f>SUMPRODUCT(Constraint_1321,Decision_variables)</f>
        <v>0</v>
      </c>
      <c r="EDH1327" t="s">
        <v>5265</v>
      </c>
      <c r="EDI1327">
        <v>1</v>
      </c>
    </row>
    <row r="1328" spans="2:2 1254:1269 2970:2985 3491:3493" x14ac:dyDescent="0.3">
      <c r="B1328" t="s">
        <v>4813</v>
      </c>
      <c r="AVU1328">
        <v>1</v>
      </c>
      <c r="DJU1328">
        <v>1</v>
      </c>
      <c r="EDG1328">
        <f>SUMPRODUCT(Constraint_1322,Decision_variables)</f>
        <v>0</v>
      </c>
      <c r="EDH1328" t="s">
        <v>5265</v>
      </c>
      <c r="EDI1328">
        <v>1</v>
      </c>
    </row>
    <row r="1329" spans="2:2 1270:1285 2986:3001 3491:3493" x14ac:dyDescent="0.3">
      <c r="B1329" t="s">
        <v>4814</v>
      </c>
      <c r="AVV1329">
        <v>1</v>
      </c>
      <c r="DJV1329">
        <v>1</v>
      </c>
      <c r="EDG1329">
        <f>SUMPRODUCT(Constraint_1323,Decision_variables)</f>
        <v>0</v>
      </c>
      <c r="EDH1329" t="s">
        <v>5265</v>
      </c>
      <c r="EDI1329">
        <v>1</v>
      </c>
    </row>
    <row r="1330" spans="2:2 1270:1285 2986:3001 3491:3493" x14ac:dyDescent="0.3">
      <c r="B1330" t="s">
        <v>4815</v>
      </c>
      <c r="AVW1330">
        <v>1</v>
      </c>
      <c r="DJW1330">
        <v>1</v>
      </c>
      <c r="EDG1330">
        <f>SUMPRODUCT(Constraint_1324,Decision_variables)</f>
        <v>0</v>
      </c>
      <c r="EDH1330" t="s">
        <v>5265</v>
      </c>
      <c r="EDI1330">
        <v>1</v>
      </c>
    </row>
    <row r="1331" spans="2:2 1270:1285 2986:3001 3491:3493" x14ac:dyDescent="0.3">
      <c r="B1331" t="s">
        <v>4816</v>
      </c>
      <c r="AVX1331">
        <v>1</v>
      </c>
      <c r="DJX1331">
        <v>1</v>
      </c>
      <c r="EDG1331">
        <f>SUMPRODUCT(Constraint_1325,Decision_variables)</f>
        <v>0</v>
      </c>
      <c r="EDH1331" t="s">
        <v>5265</v>
      </c>
      <c r="EDI1331">
        <v>1</v>
      </c>
    </row>
    <row r="1332" spans="2:2 1270:1285 2986:3001 3491:3493" x14ac:dyDescent="0.3">
      <c r="B1332" t="s">
        <v>4817</v>
      </c>
      <c r="AVY1332">
        <v>1</v>
      </c>
      <c r="DJY1332">
        <v>1</v>
      </c>
      <c r="EDG1332">
        <f>SUMPRODUCT(Constraint_1326,Decision_variables)</f>
        <v>0</v>
      </c>
      <c r="EDH1332" t="s">
        <v>5265</v>
      </c>
      <c r="EDI1332">
        <v>1</v>
      </c>
    </row>
    <row r="1333" spans="2:2 1270:1285 2986:3001 3491:3493" x14ac:dyDescent="0.3">
      <c r="B1333" t="s">
        <v>4818</v>
      </c>
      <c r="AVZ1333">
        <v>1</v>
      </c>
      <c r="DJZ1333">
        <v>1</v>
      </c>
      <c r="EDG1333">
        <f>SUMPRODUCT(Constraint_1327,Decision_variables)</f>
        <v>0</v>
      </c>
      <c r="EDH1333" t="s">
        <v>5265</v>
      </c>
      <c r="EDI1333">
        <v>1</v>
      </c>
    </row>
    <row r="1334" spans="2:2 1270:1285 2986:3001 3491:3493" x14ac:dyDescent="0.3">
      <c r="B1334" t="s">
        <v>4819</v>
      </c>
      <c r="AWA1334">
        <v>1</v>
      </c>
      <c r="DKA1334">
        <v>1</v>
      </c>
      <c r="EDG1334">
        <f>SUMPRODUCT(Constraint_1328,Decision_variables)</f>
        <v>0</v>
      </c>
      <c r="EDH1334" t="s">
        <v>5265</v>
      </c>
      <c r="EDI1334">
        <v>1</v>
      </c>
    </row>
    <row r="1335" spans="2:2 1270:1285 2986:3001 3491:3493" x14ac:dyDescent="0.3">
      <c r="B1335" t="s">
        <v>4820</v>
      </c>
      <c r="AWB1335">
        <v>1</v>
      </c>
      <c r="DKB1335">
        <v>1</v>
      </c>
      <c r="EDG1335">
        <f>SUMPRODUCT(Constraint_1329,Decision_variables)</f>
        <v>0</v>
      </c>
      <c r="EDH1335" t="s">
        <v>5265</v>
      </c>
      <c r="EDI1335">
        <v>1</v>
      </c>
    </row>
    <row r="1336" spans="2:2 1270:1285 2986:3001 3491:3493" x14ac:dyDescent="0.3">
      <c r="B1336" t="s">
        <v>4821</v>
      </c>
      <c r="AWC1336">
        <v>1</v>
      </c>
      <c r="DKC1336">
        <v>1</v>
      </c>
      <c r="EDG1336">
        <f>SUMPRODUCT(Constraint_1330,Decision_variables)</f>
        <v>0</v>
      </c>
      <c r="EDH1336" t="s">
        <v>5265</v>
      </c>
      <c r="EDI1336">
        <v>1</v>
      </c>
    </row>
    <row r="1337" spans="2:2 1270:1285 2986:3001 3491:3493" x14ac:dyDescent="0.3">
      <c r="B1337" t="s">
        <v>4822</v>
      </c>
      <c r="AWD1337">
        <v>1</v>
      </c>
      <c r="DKD1337">
        <v>1</v>
      </c>
      <c r="EDG1337">
        <f>SUMPRODUCT(Constraint_1331,Decision_variables)</f>
        <v>0</v>
      </c>
      <c r="EDH1337" t="s">
        <v>5265</v>
      </c>
      <c r="EDI1337">
        <v>1</v>
      </c>
    </row>
    <row r="1338" spans="2:2 1270:1285 2986:3001 3491:3493" x14ac:dyDescent="0.3">
      <c r="B1338" t="s">
        <v>4823</v>
      </c>
      <c r="AWE1338">
        <v>1</v>
      </c>
      <c r="DKE1338">
        <v>1</v>
      </c>
      <c r="EDG1338">
        <f>SUMPRODUCT(Constraint_1332,Decision_variables)</f>
        <v>0</v>
      </c>
      <c r="EDH1338" t="s">
        <v>5265</v>
      </c>
      <c r="EDI1338">
        <v>1</v>
      </c>
    </row>
    <row r="1339" spans="2:2 1270:1285 2986:3001 3491:3493" x14ac:dyDescent="0.3">
      <c r="B1339" t="s">
        <v>4824</v>
      </c>
      <c r="AWF1339">
        <v>1</v>
      </c>
      <c r="DKF1339">
        <v>1</v>
      </c>
      <c r="EDG1339">
        <f>SUMPRODUCT(Constraint_1333,Decision_variables)</f>
        <v>0</v>
      </c>
      <c r="EDH1339" t="s">
        <v>5265</v>
      </c>
      <c r="EDI1339">
        <v>1</v>
      </c>
    </row>
    <row r="1340" spans="2:2 1270:1285 2986:3001 3491:3493" x14ac:dyDescent="0.3">
      <c r="B1340" t="s">
        <v>4825</v>
      </c>
      <c r="AWG1340">
        <v>1</v>
      </c>
      <c r="DKG1340">
        <v>1</v>
      </c>
      <c r="EDG1340">
        <f>SUMPRODUCT(Constraint_1334,Decision_variables)</f>
        <v>0</v>
      </c>
      <c r="EDH1340" t="s">
        <v>5265</v>
      </c>
      <c r="EDI1340">
        <v>1</v>
      </c>
    </row>
    <row r="1341" spans="2:2 1270:1285 2986:3001 3491:3493" x14ac:dyDescent="0.3">
      <c r="B1341" t="s">
        <v>4826</v>
      </c>
      <c r="AWH1341">
        <v>1</v>
      </c>
      <c r="DKH1341">
        <v>1</v>
      </c>
      <c r="EDG1341">
        <f>SUMPRODUCT(Constraint_1335,Decision_variables)</f>
        <v>0</v>
      </c>
      <c r="EDH1341" t="s">
        <v>5265</v>
      </c>
      <c r="EDI1341">
        <v>1</v>
      </c>
    </row>
    <row r="1342" spans="2:2 1270:1285 2986:3001 3491:3493" x14ac:dyDescent="0.3">
      <c r="B1342" t="s">
        <v>4827</v>
      </c>
      <c r="AWI1342">
        <v>1</v>
      </c>
      <c r="DKI1342">
        <v>1</v>
      </c>
      <c r="EDG1342">
        <f>SUMPRODUCT(Constraint_1336,Decision_variables)</f>
        <v>0</v>
      </c>
      <c r="EDH1342" t="s">
        <v>5265</v>
      </c>
      <c r="EDI1342">
        <v>1</v>
      </c>
    </row>
    <row r="1343" spans="2:2 1270:1285 2986:3001 3491:3493" x14ac:dyDescent="0.3">
      <c r="B1343" t="s">
        <v>4828</v>
      </c>
      <c r="AWJ1343">
        <v>1</v>
      </c>
      <c r="DKJ1343">
        <v>1</v>
      </c>
      <c r="EDG1343">
        <f>SUMPRODUCT(Constraint_1337,Decision_variables)</f>
        <v>0</v>
      </c>
      <c r="EDH1343" t="s">
        <v>5265</v>
      </c>
      <c r="EDI1343">
        <v>1</v>
      </c>
    </row>
    <row r="1344" spans="2:2 1270:1285 2986:3001 3491:3493" x14ac:dyDescent="0.3">
      <c r="B1344" t="s">
        <v>4829</v>
      </c>
      <c r="AWK1344">
        <v>1</v>
      </c>
      <c r="DKK1344">
        <v>1</v>
      </c>
      <c r="EDG1344">
        <f>SUMPRODUCT(Constraint_1338,Decision_variables)</f>
        <v>0</v>
      </c>
      <c r="EDH1344" t="s">
        <v>5265</v>
      </c>
      <c r="EDI1344">
        <v>1</v>
      </c>
    </row>
    <row r="1345" spans="2:2 1286:1301 3002:3017 3491:3493" x14ac:dyDescent="0.3">
      <c r="B1345" t="s">
        <v>4830</v>
      </c>
      <c r="AWL1345">
        <v>1</v>
      </c>
      <c r="DKL1345">
        <v>1</v>
      </c>
      <c r="EDG1345">
        <f>SUMPRODUCT(Constraint_1339,Decision_variables)</f>
        <v>0</v>
      </c>
      <c r="EDH1345" t="s">
        <v>5265</v>
      </c>
      <c r="EDI1345">
        <v>1</v>
      </c>
    </row>
    <row r="1346" spans="2:2 1286:1301 3002:3017 3491:3493" x14ac:dyDescent="0.3">
      <c r="B1346" t="s">
        <v>4831</v>
      </c>
      <c r="AWM1346">
        <v>1</v>
      </c>
      <c r="DKM1346">
        <v>1</v>
      </c>
      <c r="EDG1346">
        <f>SUMPRODUCT(Constraint_1340,Decision_variables)</f>
        <v>0</v>
      </c>
      <c r="EDH1346" t="s">
        <v>5265</v>
      </c>
      <c r="EDI1346">
        <v>1</v>
      </c>
    </row>
    <row r="1347" spans="2:2 1286:1301 3002:3017 3491:3493" x14ac:dyDescent="0.3">
      <c r="B1347" t="s">
        <v>4832</v>
      </c>
      <c r="AWN1347">
        <v>1</v>
      </c>
      <c r="DKN1347">
        <v>1</v>
      </c>
      <c r="EDG1347">
        <f>SUMPRODUCT(Constraint_1341,Decision_variables)</f>
        <v>0</v>
      </c>
      <c r="EDH1347" t="s">
        <v>5265</v>
      </c>
      <c r="EDI1347">
        <v>1</v>
      </c>
    </row>
    <row r="1348" spans="2:2 1286:1301 3002:3017 3491:3493" x14ac:dyDescent="0.3">
      <c r="B1348" t="s">
        <v>4833</v>
      </c>
      <c r="AWO1348">
        <v>1</v>
      </c>
      <c r="DKO1348">
        <v>1</v>
      </c>
      <c r="EDG1348">
        <f>SUMPRODUCT(Constraint_1342,Decision_variables)</f>
        <v>0</v>
      </c>
      <c r="EDH1348" t="s">
        <v>5265</v>
      </c>
      <c r="EDI1348">
        <v>1</v>
      </c>
    </row>
    <row r="1349" spans="2:2 1286:1301 3002:3017 3491:3493" x14ac:dyDescent="0.3">
      <c r="B1349" t="s">
        <v>4834</v>
      </c>
      <c r="AWP1349">
        <v>1</v>
      </c>
      <c r="DKP1349">
        <v>1</v>
      </c>
      <c r="EDG1349">
        <f>SUMPRODUCT(Constraint_1343,Decision_variables)</f>
        <v>0</v>
      </c>
      <c r="EDH1349" t="s">
        <v>5265</v>
      </c>
      <c r="EDI1349">
        <v>1</v>
      </c>
    </row>
    <row r="1350" spans="2:2 1286:1301 3002:3017 3491:3493" x14ac:dyDescent="0.3">
      <c r="B1350" t="s">
        <v>4835</v>
      </c>
      <c r="AWQ1350">
        <v>1</v>
      </c>
      <c r="DKQ1350">
        <v>1</v>
      </c>
      <c r="EDG1350">
        <f>SUMPRODUCT(Constraint_1344,Decision_variables)</f>
        <v>0</v>
      </c>
      <c r="EDH1350" t="s">
        <v>5265</v>
      </c>
      <c r="EDI1350">
        <v>1</v>
      </c>
    </row>
    <row r="1351" spans="2:2 1286:1301 3002:3017 3491:3493" x14ac:dyDescent="0.3">
      <c r="B1351" t="s">
        <v>4836</v>
      </c>
      <c r="AWR1351">
        <v>1</v>
      </c>
      <c r="DKR1351">
        <v>1</v>
      </c>
      <c r="EDG1351">
        <f>SUMPRODUCT(Constraint_1345,Decision_variables)</f>
        <v>0</v>
      </c>
      <c r="EDH1351" t="s">
        <v>5265</v>
      </c>
      <c r="EDI1351">
        <v>1</v>
      </c>
    </row>
    <row r="1352" spans="2:2 1286:1301 3002:3017 3491:3493" x14ac:dyDescent="0.3">
      <c r="B1352" t="s">
        <v>4837</v>
      </c>
      <c r="AWS1352">
        <v>1</v>
      </c>
      <c r="DKS1352">
        <v>1</v>
      </c>
      <c r="EDG1352">
        <f>SUMPRODUCT(Constraint_1346,Decision_variables)</f>
        <v>0</v>
      </c>
      <c r="EDH1352" t="s">
        <v>5265</v>
      </c>
      <c r="EDI1352">
        <v>1</v>
      </c>
    </row>
    <row r="1353" spans="2:2 1286:1301 3002:3017 3491:3493" x14ac:dyDescent="0.3">
      <c r="B1353" t="s">
        <v>4838</v>
      </c>
      <c r="AWT1353">
        <v>1</v>
      </c>
      <c r="DKT1353">
        <v>1</v>
      </c>
      <c r="EDG1353">
        <f>SUMPRODUCT(Constraint_1347,Decision_variables)</f>
        <v>0</v>
      </c>
      <c r="EDH1353" t="s">
        <v>5265</v>
      </c>
      <c r="EDI1353">
        <v>1</v>
      </c>
    </row>
    <row r="1354" spans="2:2 1286:1301 3002:3017 3491:3493" x14ac:dyDescent="0.3">
      <c r="B1354" t="s">
        <v>4839</v>
      </c>
      <c r="AWU1354">
        <v>1</v>
      </c>
      <c r="DKU1354">
        <v>1</v>
      </c>
      <c r="EDG1354">
        <f>SUMPRODUCT(Constraint_1348,Decision_variables)</f>
        <v>0</v>
      </c>
      <c r="EDH1354" t="s">
        <v>5265</v>
      </c>
      <c r="EDI1354">
        <v>1</v>
      </c>
    </row>
    <row r="1355" spans="2:2 1286:1301 3002:3017 3491:3493" x14ac:dyDescent="0.3">
      <c r="B1355" t="s">
        <v>4840</v>
      </c>
      <c r="AWV1355">
        <v>1</v>
      </c>
      <c r="DKV1355">
        <v>1</v>
      </c>
      <c r="EDG1355">
        <f>SUMPRODUCT(Constraint_1349,Decision_variables)</f>
        <v>0</v>
      </c>
      <c r="EDH1355" t="s">
        <v>5265</v>
      </c>
      <c r="EDI1355">
        <v>1</v>
      </c>
    </row>
    <row r="1356" spans="2:2 1286:1301 3002:3017 3491:3493" x14ac:dyDescent="0.3">
      <c r="B1356" t="s">
        <v>4841</v>
      </c>
      <c r="AWW1356">
        <v>1</v>
      </c>
      <c r="DKW1356">
        <v>1</v>
      </c>
      <c r="EDG1356">
        <f>SUMPRODUCT(Constraint_1350,Decision_variables)</f>
        <v>0</v>
      </c>
      <c r="EDH1356" t="s">
        <v>5265</v>
      </c>
      <c r="EDI1356">
        <v>1</v>
      </c>
    </row>
    <row r="1357" spans="2:2 1286:1301 3002:3017 3491:3493" x14ac:dyDescent="0.3">
      <c r="B1357" t="s">
        <v>4842</v>
      </c>
      <c r="AWX1357">
        <v>1</v>
      </c>
      <c r="DKX1357">
        <v>1</v>
      </c>
      <c r="EDG1357">
        <f>SUMPRODUCT(Constraint_1351,Decision_variables)</f>
        <v>0</v>
      </c>
      <c r="EDH1357" t="s">
        <v>5265</v>
      </c>
      <c r="EDI1357">
        <v>1</v>
      </c>
    </row>
    <row r="1358" spans="2:2 1286:1301 3002:3017 3491:3493" x14ac:dyDescent="0.3">
      <c r="B1358" t="s">
        <v>4843</v>
      </c>
      <c r="AWY1358">
        <v>1</v>
      </c>
      <c r="DKY1358">
        <v>1</v>
      </c>
      <c r="EDG1358">
        <f>SUMPRODUCT(Constraint_1352,Decision_variables)</f>
        <v>0</v>
      </c>
      <c r="EDH1358" t="s">
        <v>5265</v>
      </c>
      <c r="EDI1358">
        <v>1</v>
      </c>
    </row>
    <row r="1359" spans="2:2 1286:1301 3002:3017 3491:3493" x14ac:dyDescent="0.3">
      <c r="B1359" t="s">
        <v>4844</v>
      </c>
      <c r="AWZ1359">
        <v>1</v>
      </c>
      <c r="DKZ1359">
        <v>1</v>
      </c>
      <c r="EDG1359">
        <f>SUMPRODUCT(Constraint_1353,Decision_variables)</f>
        <v>0</v>
      </c>
      <c r="EDH1359" t="s">
        <v>5265</v>
      </c>
      <c r="EDI1359">
        <v>1</v>
      </c>
    </row>
    <row r="1360" spans="2:2 1286:1301 3002:3017 3491:3493" x14ac:dyDescent="0.3">
      <c r="B1360" t="s">
        <v>4845</v>
      </c>
      <c r="AXA1360">
        <v>1</v>
      </c>
      <c r="DLA1360">
        <v>1</v>
      </c>
      <c r="EDG1360">
        <f>SUMPRODUCT(Constraint_1354,Decision_variables)</f>
        <v>0</v>
      </c>
      <c r="EDH1360" t="s">
        <v>5265</v>
      </c>
      <c r="EDI1360">
        <v>1</v>
      </c>
    </row>
    <row r="1361" spans="2:2 1302:1317 3018:3033 3491:3493" x14ac:dyDescent="0.3">
      <c r="B1361" t="s">
        <v>4846</v>
      </c>
      <c r="AXB1361">
        <v>1</v>
      </c>
      <c r="DLB1361">
        <v>1</v>
      </c>
      <c r="EDG1361">
        <f>SUMPRODUCT(Constraint_1355,Decision_variables)</f>
        <v>0</v>
      </c>
      <c r="EDH1361" t="s">
        <v>5265</v>
      </c>
      <c r="EDI1361">
        <v>1</v>
      </c>
    </row>
    <row r="1362" spans="2:2 1302:1317 3018:3033 3491:3493" x14ac:dyDescent="0.3">
      <c r="B1362" t="s">
        <v>4847</v>
      </c>
      <c r="AXC1362">
        <v>1</v>
      </c>
      <c r="DLC1362">
        <v>1</v>
      </c>
      <c r="EDG1362">
        <f>SUMPRODUCT(Constraint_1356,Decision_variables)</f>
        <v>0</v>
      </c>
      <c r="EDH1362" t="s">
        <v>5265</v>
      </c>
      <c r="EDI1362">
        <v>1</v>
      </c>
    </row>
    <row r="1363" spans="2:2 1302:1317 3018:3033 3491:3493" x14ac:dyDescent="0.3">
      <c r="B1363" t="s">
        <v>4848</v>
      </c>
      <c r="AXD1363">
        <v>1</v>
      </c>
      <c r="DLD1363">
        <v>1</v>
      </c>
      <c r="EDG1363">
        <f>SUMPRODUCT(Constraint_1357,Decision_variables)</f>
        <v>0</v>
      </c>
      <c r="EDH1363" t="s">
        <v>5265</v>
      </c>
      <c r="EDI1363">
        <v>1</v>
      </c>
    </row>
    <row r="1364" spans="2:2 1302:1317 3018:3033 3491:3493" x14ac:dyDescent="0.3">
      <c r="B1364" t="s">
        <v>4849</v>
      </c>
      <c r="AXE1364">
        <v>1</v>
      </c>
      <c r="DLE1364">
        <v>1</v>
      </c>
      <c r="EDG1364">
        <f>SUMPRODUCT(Constraint_1358,Decision_variables)</f>
        <v>0</v>
      </c>
      <c r="EDH1364" t="s">
        <v>5265</v>
      </c>
      <c r="EDI1364">
        <v>1</v>
      </c>
    </row>
    <row r="1365" spans="2:2 1302:1317 3018:3033 3491:3493" x14ac:dyDescent="0.3">
      <c r="B1365" t="s">
        <v>4850</v>
      </c>
      <c r="AXF1365">
        <v>1</v>
      </c>
      <c r="DLF1365">
        <v>1</v>
      </c>
      <c r="EDG1365">
        <f>SUMPRODUCT(Constraint_1359,Decision_variables)</f>
        <v>0</v>
      </c>
      <c r="EDH1365" t="s">
        <v>5265</v>
      </c>
      <c r="EDI1365">
        <v>1</v>
      </c>
    </row>
    <row r="1366" spans="2:2 1302:1317 3018:3033 3491:3493" x14ac:dyDescent="0.3">
      <c r="B1366" t="s">
        <v>4851</v>
      </c>
      <c r="AXG1366">
        <v>1</v>
      </c>
      <c r="DLG1366">
        <v>1</v>
      </c>
      <c r="EDG1366">
        <f>SUMPRODUCT(Constraint_1360,Decision_variables)</f>
        <v>0</v>
      </c>
      <c r="EDH1366" t="s">
        <v>5265</v>
      </c>
      <c r="EDI1366">
        <v>1</v>
      </c>
    </row>
    <row r="1367" spans="2:2 1302:1317 3018:3033 3491:3493" x14ac:dyDescent="0.3">
      <c r="B1367" t="s">
        <v>4852</v>
      </c>
      <c r="AXH1367">
        <v>1</v>
      </c>
      <c r="DLH1367">
        <v>1</v>
      </c>
      <c r="EDG1367">
        <f>SUMPRODUCT(Constraint_1361,Decision_variables)</f>
        <v>0</v>
      </c>
      <c r="EDH1367" t="s">
        <v>5265</v>
      </c>
      <c r="EDI1367">
        <v>1</v>
      </c>
    </row>
    <row r="1368" spans="2:2 1302:1317 3018:3033 3491:3493" x14ac:dyDescent="0.3">
      <c r="B1368" t="s">
        <v>4853</v>
      </c>
      <c r="AXI1368">
        <v>1</v>
      </c>
      <c r="DLI1368">
        <v>1</v>
      </c>
      <c r="EDG1368">
        <f>SUMPRODUCT(Constraint_1362,Decision_variables)</f>
        <v>0</v>
      </c>
      <c r="EDH1368" t="s">
        <v>5265</v>
      </c>
      <c r="EDI1368">
        <v>1</v>
      </c>
    </row>
    <row r="1369" spans="2:2 1302:1317 3018:3033 3491:3493" x14ac:dyDescent="0.3">
      <c r="B1369" t="s">
        <v>4854</v>
      </c>
      <c r="AXJ1369">
        <v>1</v>
      </c>
      <c r="DLJ1369">
        <v>1</v>
      </c>
      <c r="EDG1369">
        <f>SUMPRODUCT(Constraint_1363,Decision_variables)</f>
        <v>0</v>
      </c>
      <c r="EDH1369" t="s">
        <v>5265</v>
      </c>
      <c r="EDI1369">
        <v>1</v>
      </c>
    </row>
    <row r="1370" spans="2:2 1302:1317 3018:3033 3491:3493" x14ac:dyDescent="0.3">
      <c r="B1370" t="s">
        <v>4855</v>
      </c>
      <c r="AXK1370">
        <v>1</v>
      </c>
      <c r="DLK1370">
        <v>1</v>
      </c>
      <c r="EDG1370">
        <f>SUMPRODUCT(Constraint_1364,Decision_variables)</f>
        <v>0</v>
      </c>
      <c r="EDH1370" t="s">
        <v>5265</v>
      </c>
      <c r="EDI1370">
        <v>1</v>
      </c>
    </row>
    <row r="1371" spans="2:2 1302:1317 3018:3033 3491:3493" x14ac:dyDescent="0.3">
      <c r="B1371" t="s">
        <v>4856</v>
      </c>
      <c r="AXL1371">
        <v>1</v>
      </c>
      <c r="DLL1371">
        <v>1</v>
      </c>
      <c r="EDG1371">
        <f>SUMPRODUCT(Constraint_1365,Decision_variables)</f>
        <v>0</v>
      </c>
      <c r="EDH1371" t="s">
        <v>5265</v>
      </c>
      <c r="EDI1371">
        <v>1</v>
      </c>
    </row>
    <row r="1372" spans="2:2 1302:1317 3018:3033 3491:3493" x14ac:dyDescent="0.3">
      <c r="B1372" t="s">
        <v>4857</v>
      </c>
      <c r="AXM1372">
        <v>1</v>
      </c>
      <c r="DLM1372">
        <v>1</v>
      </c>
      <c r="EDG1372">
        <f>SUMPRODUCT(Constraint_1366,Decision_variables)</f>
        <v>0</v>
      </c>
      <c r="EDH1372" t="s">
        <v>5265</v>
      </c>
      <c r="EDI1372">
        <v>1</v>
      </c>
    </row>
    <row r="1373" spans="2:2 1302:1317 3018:3033 3491:3493" x14ac:dyDescent="0.3">
      <c r="B1373" t="s">
        <v>4858</v>
      </c>
      <c r="AXN1373">
        <v>1</v>
      </c>
      <c r="DLN1373">
        <v>1</v>
      </c>
      <c r="EDG1373">
        <f>SUMPRODUCT(Constraint_1367,Decision_variables)</f>
        <v>0</v>
      </c>
      <c r="EDH1373" t="s">
        <v>5265</v>
      </c>
      <c r="EDI1373">
        <v>1</v>
      </c>
    </row>
    <row r="1374" spans="2:2 1302:1317 3018:3033 3491:3493" x14ac:dyDescent="0.3">
      <c r="B1374" t="s">
        <v>4859</v>
      </c>
      <c r="AXO1374">
        <v>1</v>
      </c>
      <c r="DLO1374">
        <v>1</v>
      </c>
      <c r="EDG1374">
        <f>SUMPRODUCT(Constraint_1368,Decision_variables)</f>
        <v>0</v>
      </c>
      <c r="EDH1374" t="s">
        <v>5265</v>
      </c>
      <c r="EDI1374">
        <v>1</v>
      </c>
    </row>
    <row r="1375" spans="2:2 1302:1317 3018:3033 3491:3493" x14ac:dyDescent="0.3">
      <c r="B1375" t="s">
        <v>4860</v>
      </c>
      <c r="AXP1375">
        <v>1</v>
      </c>
      <c r="DLP1375">
        <v>1</v>
      </c>
      <c r="EDG1375">
        <f>SUMPRODUCT(Constraint_1369,Decision_variables)</f>
        <v>0</v>
      </c>
      <c r="EDH1375" t="s">
        <v>5265</v>
      </c>
      <c r="EDI1375">
        <v>1</v>
      </c>
    </row>
    <row r="1376" spans="2:2 1302:1317 3018:3033 3491:3493" x14ac:dyDescent="0.3">
      <c r="B1376" t="s">
        <v>4861</v>
      </c>
      <c r="AXQ1376">
        <v>1</v>
      </c>
      <c r="DLQ1376">
        <v>1</v>
      </c>
      <c r="EDG1376">
        <f>SUMPRODUCT(Constraint_1370,Decision_variables)</f>
        <v>0</v>
      </c>
      <c r="EDH1376" t="s">
        <v>5265</v>
      </c>
      <c r="EDI1376">
        <v>1</v>
      </c>
    </row>
    <row r="1377" spans="2:2 1318:1333 3034:3049 3491:3493" x14ac:dyDescent="0.3">
      <c r="B1377" t="s">
        <v>4862</v>
      </c>
      <c r="AXR1377">
        <v>1</v>
      </c>
      <c r="DLR1377">
        <v>1</v>
      </c>
      <c r="EDG1377">
        <f>SUMPRODUCT(Constraint_1371,Decision_variables)</f>
        <v>0</v>
      </c>
      <c r="EDH1377" t="s">
        <v>5265</v>
      </c>
      <c r="EDI1377">
        <v>1</v>
      </c>
    </row>
    <row r="1378" spans="2:2 1318:1333 3034:3049 3491:3493" x14ac:dyDescent="0.3">
      <c r="B1378" t="s">
        <v>4863</v>
      </c>
      <c r="AXS1378">
        <v>1</v>
      </c>
      <c r="DLS1378">
        <v>1</v>
      </c>
      <c r="EDG1378">
        <f>SUMPRODUCT(Constraint_1372,Decision_variables)</f>
        <v>0</v>
      </c>
      <c r="EDH1378" t="s">
        <v>5265</v>
      </c>
      <c r="EDI1378">
        <v>1</v>
      </c>
    </row>
    <row r="1379" spans="2:2 1318:1333 3034:3049 3491:3493" x14ac:dyDescent="0.3">
      <c r="B1379" t="s">
        <v>4864</v>
      </c>
      <c r="AXT1379">
        <v>1</v>
      </c>
      <c r="DLT1379">
        <v>1</v>
      </c>
      <c r="EDG1379">
        <f>SUMPRODUCT(Constraint_1373,Decision_variables)</f>
        <v>0</v>
      </c>
      <c r="EDH1379" t="s">
        <v>5265</v>
      </c>
      <c r="EDI1379">
        <v>1</v>
      </c>
    </row>
    <row r="1380" spans="2:2 1318:1333 3034:3049 3491:3493" x14ac:dyDescent="0.3">
      <c r="B1380" t="s">
        <v>4865</v>
      </c>
      <c r="AXU1380">
        <v>1</v>
      </c>
      <c r="DLU1380">
        <v>1</v>
      </c>
      <c r="EDG1380">
        <f>SUMPRODUCT(Constraint_1374,Decision_variables)</f>
        <v>0</v>
      </c>
      <c r="EDH1380" t="s">
        <v>5265</v>
      </c>
      <c r="EDI1380">
        <v>1</v>
      </c>
    </row>
    <row r="1381" spans="2:2 1318:1333 3034:3049 3491:3493" x14ac:dyDescent="0.3">
      <c r="B1381" t="s">
        <v>4866</v>
      </c>
      <c r="AXV1381">
        <v>1</v>
      </c>
      <c r="DLV1381">
        <v>1</v>
      </c>
      <c r="EDG1381">
        <f>SUMPRODUCT(Constraint_1375,Decision_variables)</f>
        <v>0</v>
      </c>
      <c r="EDH1381" t="s">
        <v>5265</v>
      </c>
      <c r="EDI1381">
        <v>1</v>
      </c>
    </row>
    <row r="1382" spans="2:2 1318:1333 3034:3049 3491:3493" x14ac:dyDescent="0.3">
      <c r="B1382" t="s">
        <v>4867</v>
      </c>
      <c r="AXW1382">
        <v>1</v>
      </c>
      <c r="DLW1382">
        <v>1</v>
      </c>
      <c r="EDG1382">
        <f>SUMPRODUCT(Constraint_1376,Decision_variables)</f>
        <v>0</v>
      </c>
      <c r="EDH1382" t="s">
        <v>5265</v>
      </c>
      <c r="EDI1382">
        <v>1</v>
      </c>
    </row>
    <row r="1383" spans="2:2 1318:1333 3034:3049 3491:3493" x14ac:dyDescent="0.3">
      <c r="B1383" t="s">
        <v>4868</v>
      </c>
      <c r="AXX1383">
        <v>1</v>
      </c>
      <c r="DLX1383">
        <v>1</v>
      </c>
      <c r="EDG1383">
        <f>SUMPRODUCT(Constraint_1377,Decision_variables)</f>
        <v>0</v>
      </c>
      <c r="EDH1383" t="s">
        <v>5265</v>
      </c>
      <c r="EDI1383">
        <v>1</v>
      </c>
    </row>
    <row r="1384" spans="2:2 1318:1333 3034:3049 3491:3493" x14ac:dyDescent="0.3">
      <c r="B1384" t="s">
        <v>4869</v>
      </c>
      <c r="AXY1384">
        <v>1</v>
      </c>
      <c r="DLY1384">
        <v>1</v>
      </c>
      <c r="EDG1384">
        <f>SUMPRODUCT(Constraint_1378,Decision_variables)</f>
        <v>0</v>
      </c>
      <c r="EDH1384" t="s">
        <v>5265</v>
      </c>
      <c r="EDI1384">
        <v>1</v>
      </c>
    </row>
    <row r="1385" spans="2:2 1318:1333 3034:3049 3491:3493" x14ac:dyDescent="0.3">
      <c r="B1385" t="s">
        <v>4870</v>
      </c>
      <c r="AXZ1385">
        <v>1</v>
      </c>
      <c r="DLZ1385">
        <v>1</v>
      </c>
      <c r="EDG1385">
        <f>SUMPRODUCT(Constraint_1379,Decision_variables)</f>
        <v>0</v>
      </c>
      <c r="EDH1385" t="s">
        <v>5265</v>
      </c>
      <c r="EDI1385">
        <v>1</v>
      </c>
    </row>
    <row r="1386" spans="2:2 1318:1333 3034:3049 3491:3493" x14ac:dyDescent="0.3">
      <c r="B1386" t="s">
        <v>4871</v>
      </c>
      <c r="AYA1386">
        <v>1</v>
      </c>
      <c r="DMA1386">
        <v>1</v>
      </c>
      <c r="EDG1386">
        <f>SUMPRODUCT(Constraint_1380,Decision_variables)</f>
        <v>0</v>
      </c>
      <c r="EDH1386" t="s">
        <v>5265</v>
      </c>
      <c r="EDI1386">
        <v>1</v>
      </c>
    </row>
    <row r="1387" spans="2:2 1318:1333 3034:3049 3491:3493" x14ac:dyDescent="0.3">
      <c r="B1387" t="s">
        <v>4872</v>
      </c>
      <c r="AYB1387">
        <v>1</v>
      </c>
      <c r="DMB1387">
        <v>1</v>
      </c>
      <c r="EDG1387">
        <f>SUMPRODUCT(Constraint_1381,Decision_variables)</f>
        <v>0</v>
      </c>
      <c r="EDH1387" t="s">
        <v>5265</v>
      </c>
      <c r="EDI1387">
        <v>1</v>
      </c>
    </row>
    <row r="1388" spans="2:2 1318:1333 3034:3049 3491:3493" x14ac:dyDescent="0.3">
      <c r="B1388" t="s">
        <v>4873</v>
      </c>
      <c r="AYC1388">
        <v>1</v>
      </c>
      <c r="DMC1388">
        <v>1</v>
      </c>
      <c r="EDG1388">
        <f>SUMPRODUCT(Constraint_1382,Decision_variables)</f>
        <v>0</v>
      </c>
      <c r="EDH1388" t="s">
        <v>5265</v>
      </c>
      <c r="EDI1388">
        <v>1</v>
      </c>
    </row>
    <row r="1389" spans="2:2 1318:1333 3034:3049 3491:3493" x14ac:dyDescent="0.3">
      <c r="B1389" t="s">
        <v>4874</v>
      </c>
      <c r="AYD1389">
        <v>1</v>
      </c>
      <c r="DMD1389">
        <v>1</v>
      </c>
      <c r="EDG1389">
        <f>SUMPRODUCT(Constraint_1383,Decision_variables)</f>
        <v>0</v>
      </c>
      <c r="EDH1389" t="s">
        <v>5265</v>
      </c>
      <c r="EDI1389">
        <v>1</v>
      </c>
    </row>
    <row r="1390" spans="2:2 1318:1333 3034:3049 3491:3493" x14ac:dyDescent="0.3">
      <c r="B1390" t="s">
        <v>4875</v>
      </c>
      <c r="AYE1390">
        <v>1</v>
      </c>
      <c r="DME1390">
        <v>1</v>
      </c>
      <c r="EDG1390">
        <f>SUMPRODUCT(Constraint_1384,Decision_variables)</f>
        <v>0</v>
      </c>
      <c r="EDH1390" t="s">
        <v>5265</v>
      </c>
      <c r="EDI1390">
        <v>1</v>
      </c>
    </row>
    <row r="1391" spans="2:2 1318:1333 3034:3049 3491:3493" x14ac:dyDescent="0.3">
      <c r="B1391" t="s">
        <v>4876</v>
      </c>
      <c r="AYF1391">
        <v>1</v>
      </c>
      <c r="DMF1391">
        <v>1</v>
      </c>
      <c r="EDG1391">
        <f>SUMPRODUCT(Constraint_1385,Decision_variables)</f>
        <v>0</v>
      </c>
      <c r="EDH1391" t="s">
        <v>5265</v>
      </c>
      <c r="EDI1391">
        <v>1</v>
      </c>
    </row>
    <row r="1392" spans="2:2 1318:1333 3034:3049 3491:3493" x14ac:dyDescent="0.3">
      <c r="B1392" t="s">
        <v>4877</v>
      </c>
      <c r="AYG1392">
        <v>1</v>
      </c>
      <c r="DMG1392">
        <v>1</v>
      </c>
      <c r="EDG1392">
        <f>SUMPRODUCT(Constraint_1386,Decision_variables)</f>
        <v>0</v>
      </c>
      <c r="EDH1392" t="s">
        <v>5265</v>
      </c>
      <c r="EDI1392">
        <v>1</v>
      </c>
    </row>
    <row r="1393" spans="2:2 1334:1349 3050:3065 3491:3493" x14ac:dyDescent="0.3">
      <c r="B1393" t="s">
        <v>4878</v>
      </c>
      <c r="AYH1393">
        <v>1</v>
      </c>
      <c r="DMH1393">
        <v>1</v>
      </c>
      <c r="EDG1393">
        <f>SUMPRODUCT(Constraint_1387,Decision_variables)</f>
        <v>0</v>
      </c>
      <c r="EDH1393" t="s">
        <v>5265</v>
      </c>
      <c r="EDI1393">
        <v>1</v>
      </c>
    </row>
    <row r="1394" spans="2:2 1334:1349 3050:3065 3491:3493" x14ac:dyDescent="0.3">
      <c r="B1394" t="s">
        <v>4879</v>
      </c>
      <c r="AYI1394">
        <v>1</v>
      </c>
      <c r="DMI1394">
        <v>1</v>
      </c>
      <c r="EDG1394">
        <f>SUMPRODUCT(Constraint_1388,Decision_variables)</f>
        <v>0</v>
      </c>
      <c r="EDH1394" t="s">
        <v>5265</v>
      </c>
      <c r="EDI1394">
        <v>1</v>
      </c>
    </row>
    <row r="1395" spans="2:2 1334:1349 3050:3065 3491:3493" x14ac:dyDescent="0.3">
      <c r="B1395" t="s">
        <v>4880</v>
      </c>
      <c r="AYJ1395">
        <v>1</v>
      </c>
      <c r="DMJ1395">
        <v>1</v>
      </c>
      <c r="EDG1395">
        <f>SUMPRODUCT(Constraint_1389,Decision_variables)</f>
        <v>0</v>
      </c>
      <c r="EDH1395" t="s">
        <v>5265</v>
      </c>
      <c r="EDI1395">
        <v>1</v>
      </c>
    </row>
    <row r="1396" spans="2:2 1334:1349 3050:3065 3491:3493" x14ac:dyDescent="0.3">
      <c r="B1396" t="s">
        <v>4881</v>
      </c>
      <c r="AYK1396">
        <v>1</v>
      </c>
      <c r="DMK1396">
        <v>1</v>
      </c>
      <c r="EDG1396">
        <f>SUMPRODUCT(Constraint_1390,Decision_variables)</f>
        <v>0</v>
      </c>
      <c r="EDH1396" t="s">
        <v>5265</v>
      </c>
      <c r="EDI1396">
        <v>1</v>
      </c>
    </row>
    <row r="1397" spans="2:2 1334:1349 3050:3065 3491:3493" x14ac:dyDescent="0.3">
      <c r="B1397" t="s">
        <v>4882</v>
      </c>
      <c r="AYL1397">
        <v>1</v>
      </c>
      <c r="DML1397">
        <v>1</v>
      </c>
      <c r="EDG1397">
        <f>SUMPRODUCT(Constraint_1391,Decision_variables)</f>
        <v>0</v>
      </c>
      <c r="EDH1397" t="s">
        <v>5265</v>
      </c>
      <c r="EDI1397">
        <v>1</v>
      </c>
    </row>
    <row r="1398" spans="2:2 1334:1349 3050:3065 3491:3493" x14ac:dyDescent="0.3">
      <c r="B1398" t="s">
        <v>4883</v>
      </c>
      <c r="AYM1398">
        <v>1</v>
      </c>
      <c r="DMM1398">
        <v>1</v>
      </c>
      <c r="EDG1398">
        <f>SUMPRODUCT(Constraint_1392,Decision_variables)</f>
        <v>0</v>
      </c>
      <c r="EDH1398" t="s">
        <v>5265</v>
      </c>
      <c r="EDI1398">
        <v>1</v>
      </c>
    </row>
    <row r="1399" spans="2:2 1334:1349 3050:3065 3491:3493" x14ac:dyDescent="0.3">
      <c r="B1399" t="s">
        <v>4884</v>
      </c>
      <c r="AYN1399">
        <v>1</v>
      </c>
      <c r="DMN1399">
        <v>1</v>
      </c>
      <c r="EDG1399">
        <f>SUMPRODUCT(Constraint_1393,Decision_variables)</f>
        <v>0</v>
      </c>
      <c r="EDH1399" t="s">
        <v>5265</v>
      </c>
      <c r="EDI1399">
        <v>1</v>
      </c>
    </row>
    <row r="1400" spans="2:2 1334:1349 3050:3065 3491:3493" x14ac:dyDescent="0.3">
      <c r="B1400" t="s">
        <v>4885</v>
      </c>
      <c r="AYO1400">
        <v>1</v>
      </c>
      <c r="DMO1400">
        <v>1</v>
      </c>
      <c r="EDG1400">
        <f>SUMPRODUCT(Constraint_1394,Decision_variables)</f>
        <v>0</v>
      </c>
      <c r="EDH1400" t="s">
        <v>5265</v>
      </c>
      <c r="EDI1400">
        <v>1</v>
      </c>
    </row>
    <row r="1401" spans="2:2 1334:1349 3050:3065 3491:3493" x14ac:dyDescent="0.3">
      <c r="B1401" t="s">
        <v>4886</v>
      </c>
      <c r="AYP1401">
        <v>1</v>
      </c>
      <c r="DMP1401">
        <v>1</v>
      </c>
      <c r="EDG1401">
        <f>SUMPRODUCT(Constraint_1395,Decision_variables)</f>
        <v>0</v>
      </c>
      <c r="EDH1401" t="s">
        <v>5265</v>
      </c>
      <c r="EDI1401">
        <v>1</v>
      </c>
    </row>
    <row r="1402" spans="2:2 1334:1349 3050:3065 3491:3493" x14ac:dyDescent="0.3">
      <c r="B1402" t="s">
        <v>4887</v>
      </c>
      <c r="AYQ1402">
        <v>1</v>
      </c>
      <c r="DMQ1402">
        <v>1</v>
      </c>
      <c r="EDG1402">
        <f>SUMPRODUCT(Constraint_1396,Decision_variables)</f>
        <v>0</v>
      </c>
      <c r="EDH1402" t="s">
        <v>5265</v>
      </c>
      <c r="EDI1402">
        <v>1</v>
      </c>
    </row>
    <row r="1403" spans="2:2 1334:1349 3050:3065 3491:3493" x14ac:dyDescent="0.3">
      <c r="B1403" t="s">
        <v>4888</v>
      </c>
      <c r="AYR1403">
        <v>1</v>
      </c>
      <c r="DMR1403">
        <v>1</v>
      </c>
      <c r="EDG1403">
        <f>SUMPRODUCT(Constraint_1397,Decision_variables)</f>
        <v>0</v>
      </c>
      <c r="EDH1403" t="s">
        <v>5265</v>
      </c>
      <c r="EDI1403">
        <v>1</v>
      </c>
    </row>
    <row r="1404" spans="2:2 1334:1349 3050:3065 3491:3493" x14ac:dyDescent="0.3">
      <c r="B1404" t="s">
        <v>4889</v>
      </c>
      <c r="AYS1404">
        <v>1</v>
      </c>
      <c r="DMS1404">
        <v>1</v>
      </c>
      <c r="EDG1404">
        <f>SUMPRODUCT(Constraint_1398,Decision_variables)</f>
        <v>0</v>
      </c>
      <c r="EDH1404" t="s">
        <v>5265</v>
      </c>
      <c r="EDI1404">
        <v>1</v>
      </c>
    </row>
    <row r="1405" spans="2:2 1334:1349 3050:3065 3491:3493" x14ac:dyDescent="0.3">
      <c r="B1405" t="s">
        <v>4890</v>
      </c>
      <c r="AYT1405">
        <v>1</v>
      </c>
      <c r="DMT1405">
        <v>1</v>
      </c>
      <c r="EDG1405">
        <f>SUMPRODUCT(Constraint_1399,Decision_variables)</f>
        <v>0</v>
      </c>
      <c r="EDH1405" t="s">
        <v>5265</v>
      </c>
      <c r="EDI1405">
        <v>1</v>
      </c>
    </row>
    <row r="1406" spans="2:2 1334:1349 3050:3065 3491:3493" x14ac:dyDescent="0.3">
      <c r="B1406" t="s">
        <v>4891</v>
      </c>
      <c r="AYU1406">
        <v>1</v>
      </c>
      <c r="DMU1406">
        <v>1</v>
      </c>
      <c r="EDG1406">
        <f>SUMPRODUCT(Constraint_1400,Decision_variables)</f>
        <v>0</v>
      </c>
      <c r="EDH1406" t="s">
        <v>5265</v>
      </c>
      <c r="EDI1406">
        <v>1</v>
      </c>
    </row>
    <row r="1407" spans="2:2 1334:1349 3050:3065 3491:3493" x14ac:dyDescent="0.3">
      <c r="B1407" t="s">
        <v>4892</v>
      </c>
      <c r="AYV1407">
        <v>1</v>
      </c>
      <c r="DMV1407">
        <v>1</v>
      </c>
      <c r="EDG1407">
        <f>SUMPRODUCT(Constraint_1401,Decision_variables)</f>
        <v>0</v>
      </c>
      <c r="EDH1407" t="s">
        <v>5265</v>
      </c>
      <c r="EDI1407">
        <v>1</v>
      </c>
    </row>
    <row r="1408" spans="2:2 1334:1349 3050:3065 3491:3493" x14ac:dyDescent="0.3">
      <c r="B1408" t="s">
        <v>4893</v>
      </c>
      <c r="AYW1408">
        <v>1</v>
      </c>
      <c r="DMW1408">
        <v>1</v>
      </c>
      <c r="EDG1408">
        <f>SUMPRODUCT(Constraint_1402,Decision_variables)</f>
        <v>0</v>
      </c>
      <c r="EDH1408" t="s">
        <v>5265</v>
      </c>
      <c r="EDI1408">
        <v>1</v>
      </c>
    </row>
    <row r="1409" spans="2:2 1350:1365 3066:3493" x14ac:dyDescent="0.3">
      <c r="B1409" t="s">
        <v>4894</v>
      </c>
      <c r="AYX1409">
        <v>1</v>
      </c>
      <c r="DMX1409">
        <v>1</v>
      </c>
      <c r="EDG1409">
        <f>SUMPRODUCT(Constraint_1403,Decision_variables)</f>
        <v>0</v>
      </c>
      <c r="EDH1409" t="s">
        <v>5265</v>
      </c>
      <c r="EDI1409">
        <v>1</v>
      </c>
    </row>
    <row r="1410" spans="2:2 1350:1365 3066:3493" x14ac:dyDescent="0.3">
      <c r="B1410" t="s">
        <v>4895</v>
      </c>
      <c r="AYY1410">
        <v>1</v>
      </c>
      <c r="DMY1410">
        <v>1</v>
      </c>
      <c r="EDG1410">
        <f>SUMPRODUCT(Constraint_1404,Decision_variables)</f>
        <v>0</v>
      </c>
      <c r="EDH1410" t="s">
        <v>5265</v>
      </c>
      <c r="EDI1410">
        <v>1</v>
      </c>
    </row>
    <row r="1411" spans="2:2 1350:1365 3066:3493" x14ac:dyDescent="0.3">
      <c r="B1411" t="s">
        <v>4896</v>
      </c>
      <c r="AYZ1411">
        <v>1</v>
      </c>
      <c r="DMZ1411">
        <v>1</v>
      </c>
      <c r="EDG1411">
        <f>SUMPRODUCT(Constraint_1405,Decision_variables)</f>
        <v>0</v>
      </c>
      <c r="EDH1411" t="s">
        <v>5265</v>
      </c>
      <c r="EDI1411">
        <v>1</v>
      </c>
    </row>
    <row r="1412" spans="2:2 1350:1365 3066:3493" x14ac:dyDescent="0.3">
      <c r="B1412" t="s">
        <v>4897</v>
      </c>
      <c r="AZA1412">
        <v>1</v>
      </c>
      <c r="DNA1412">
        <v>1</v>
      </c>
      <c r="EDG1412">
        <f>SUMPRODUCT(Constraint_1406,Decision_variables)</f>
        <v>0</v>
      </c>
      <c r="EDH1412" t="s">
        <v>5265</v>
      </c>
      <c r="EDI1412">
        <v>1</v>
      </c>
    </row>
    <row r="1413" spans="2:2 1350:1365 3066:3493" x14ac:dyDescent="0.3">
      <c r="B1413" t="s">
        <v>4898</v>
      </c>
      <c r="AZB1413">
        <v>1</v>
      </c>
      <c r="DNB1413">
        <v>1</v>
      </c>
      <c r="EDG1413">
        <f>SUMPRODUCT(Constraint_1407,Decision_variables)</f>
        <v>0</v>
      </c>
      <c r="EDH1413" t="s">
        <v>5265</v>
      </c>
      <c r="EDI1413">
        <v>1</v>
      </c>
    </row>
    <row r="1414" spans="2:2 1350:1365 3066:3493" x14ac:dyDescent="0.3">
      <c r="B1414" t="s">
        <v>4899</v>
      </c>
      <c r="AZC1414">
        <v>1</v>
      </c>
      <c r="DNC1414">
        <v>1</v>
      </c>
      <c r="EDG1414">
        <f>SUMPRODUCT(Constraint_1408,Decision_variables)</f>
        <v>0</v>
      </c>
      <c r="EDH1414" t="s">
        <v>5265</v>
      </c>
      <c r="EDI1414">
        <v>1</v>
      </c>
    </row>
    <row r="1415" spans="2:2 1350:1365 3066:3493" x14ac:dyDescent="0.3">
      <c r="B1415" t="s">
        <v>4900</v>
      </c>
      <c r="AZD1415">
        <v>1</v>
      </c>
      <c r="DND1415">
        <v>1</v>
      </c>
      <c r="EDG1415">
        <f>SUMPRODUCT(Constraint_1409,Decision_variables)</f>
        <v>0</v>
      </c>
      <c r="EDH1415" t="s">
        <v>5265</v>
      </c>
      <c r="EDI1415">
        <v>1</v>
      </c>
    </row>
    <row r="1416" spans="2:2 1350:1365 3066:3493" x14ac:dyDescent="0.3">
      <c r="B1416" t="s">
        <v>4901</v>
      </c>
      <c r="AZE1416">
        <v>1</v>
      </c>
      <c r="DNE1416">
        <v>1</v>
      </c>
      <c r="EDG1416">
        <f>SUMPRODUCT(Constraint_1410,Decision_variables)</f>
        <v>0</v>
      </c>
      <c r="EDH1416" t="s">
        <v>5265</v>
      </c>
      <c r="EDI1416">
        <v>1</v>
      </c>
    </row>
    <row r="1417" spans="2:2 1350:1365 3066:3493" x14ac:dyDescent="0.3">
      <c r="B1417" t="s">
        <v>4902</v>
      </c>
      <c r="AZF1417">
        <v>1</v>
      </c>
      <c r="DNF1417">
        <v>1</v>
      </c>
      <c r="EDG1417">
        <f>SUMPRODUCT(Constraint_1411,Decision_variables)</f>
        <v>0</v>
      </c>
      <c r="EDH1417" t="s">
        <v>5265</v>
      </c>
      <c r="EDI1417">
        <v>1</v>
      </c>
    </row>
    <row r="1418" spans="2:2 1350:1365 3066:3493" x14ac:dyDescent="0.3">
      <c r="B1418" t="s">
        <v>4903</v>
      </c>
      <c r="AZG1418">
        <v>1</v>
      </c>
      <c r="DNG1418">
        <v>1</v>
      </c>
      <c r="EDG1418">
        <f>SUMPRODUCT(Constraint_1412,Decision_variables)</f>
        <v>0</v>
      </c>
      <c r="EDH1418" t="s">
        <v>5265</v>
      </c>
      <c r="EDI1418">
        <v>1</v>
      </c>
    </row>
    <row r="1419" spans="2:2 1350:1365 3066:3493" x14ac:dyDescent="0.3">
      <c r="B1419" t="s">
        <v>4904</v>
      </c>
      <c r="AZH1419">
        <v>1</v>
      </c>
      <c r="DNH1419">
        <v>1</v>
      </c>
      <c r="EDG1419">
        <f>SUMPRODUCT(Constraint_1413,Decision_variables)</f>
        <v>0</v>
      </c>
      <c r="EDH1419" t="s">
        <v>5265</v>
      </c>
      <c r="EDI1419">
        <v>1</v>
      </c>
    </row>
    <row r="1420" spans="2:2 1350:1365 3066:3493" x14ac:dyDescent="0.3">
      <c r="B1420" t="s">
        <v>4905</v>
      </c>
      <c r="AZI1420">
        <v>1</v>
      </c>
      <c r="DNI1420">
        <v>1</v>
      </c>
      <c r="EDG1420">
        <f>SUMPRODUCT(Constraint_1414,Decision_variables)</f>
        <v>0</v>
      </c>
      <c r="EDH1420" t="s">
        <v>5265</v>
      </c>
      <c r="EDI1420">
        <v>1</v>
      </c>
    </row>
    <row r="1421" spans="2:2 1350:1365 3066:3493" x14ac:dyDescent="0.3">
      <c r="B1421" t="s">
        <v>4906</v>
      </c>
      <c r="AZJ1421">
        <v>1</v>
      </c>
      <c r="DNJ1421">
        <v>1</v>
      </c>
      <c r="EDG1421">
        <f>SUMPRODUCT(Constraint_1415,Decision_variables)</f>
        <v>0</v>
      </c>
      <c r="EDH1421" t="s">
        <v>5265</v>
      </c>
      <c r="EDI1421">
        <v>1</v>
      </c>
    </row>
    <row r="1422" spans="2:2 1350:1365 3066:3493" x14ac:dyDescent="0.3">
      <c r="B1422" t="s">
        <v>4907</v>
      </c>
      <c r="AZK1422">
        <v>1</v>
      </c>
      <c r="DNK1422">
        <v>1</v>
      </c>
      <c r="EDG1422">
        <f>SUMPRODUCT(Constraint_1416,Decision_variables)</f>
        <v>0</v>
      </c>
      <c r="EDH1422" t="s">
        <v>5265</v>
      </c>
      <c r="EDI1422">
        <v>1</v>
      </c>
    </row>
    <row r="1423" spans="2:2 1350:1365 3066:3493" x14ac:dyDescent="0.3">
      <c r="B1423" t="s">
        <v>4908</v>
      </c>
      <c r="AZL1423">
        <v>1</v>
      </c>
      <c r="DNL1423">
        <v>1</v>
      </c>
      <c r="EDG1423">
        <f>SUMPRODUCT(Constraint_1417,Decision_variables)</f>
        <v>0</v>
      </c>
      <c r="EDH1423" t="s">
        <v>5265</v>
      </c>
      <c r="EDI1423">
        <v>1</v>
      </c>
    </row>
    <row r="1424" spans="2:2 1350:1365 3066:3493" x14ac:dyDescent="0.3">
      <c r="B1424" t="s">
        <v>4909</v>
      </c>
      <c r="AZM1424">
        <v>1</v>
      </c>
      <c r="DNM1424">
        <v>1</v>
      </c>
      <c r="EDG1424">
        <f>SUMPRODUCT(Constraint_1418,Decision_variables)</f>
        <v>0</v>
      </c>
      <c r="EDH1424" t="s">
        <v>5265</v>
      </c>
      <c r="EDI1424">
        <v>1</v>
      </c>
    </row>
    <row r="1425" spans="2:2 1366:1381 3082:3493" x14ac:dyDescent="0.3">
      <c r="B1425" t="s">
        <v>4910</v>
      </c>
      <c r="AZN1425">
        <v>1</v>
      </c>
      <c r="DNN1425">
        <v>1</v>
      </c>
      <c r="EDG1425">
        <f>SUMPRODUCT(Constraint_1419,Decision_variables)</f>
        <v>0</v>
      </c>
      <c r="EDH1425" t="s">
        <v>5265</v>
      </c>
      <c r="EDI1425">
        <v>1</v>
      </c>
    </row>
    <row r="1426" spans="2:2 1366:1381 3082:3493" x14ac:dyDescent="0.3">
      <c r="B1426" t="s">
        <v>4911</v>
      </c>
      <c r="AZO1426">
        <v>1</v>
      </c>
      <c r="DNO1426">
        <v>1</v>
      </c>
      <c r="EDG1426">
        <f>SUMPRODUCT(Constraint_1420,Decision_variables)</f>
        <v>0</v>
      </c>
      <c r="EDH1426" t="s">
        <v>5265</v>
      </c>
      <c r="EDI1426">
        <v>1</v>
      </c>
    </row>
    <row r="1427" spans="2:2 1366:1381 3082:3493" x14ac:dyDescent="0.3">
      <c r="B1427" t="s">
        <v>4912</v>
      </c>
      <c r="AZP1427">
        <v>1</v>
      </c>
      <c r="DNP1427">
        <v>1</v>
      </c>
      <c r="EDG1427">
        <f>SUMPRODUCT(Constraint_1421,Decision_variables)</f>
        <v>0</v>
      </c>
      <c r="EDH1427" t="s">
        <v>5265</v>
      </c>
      <c r="EDI1427">
        <v>1</v>
      </c>
    </row>
    <row r="1428" spans="2:2 1366:1381 3082:3493" x14ac:dyDescent="0.3">
      <c r="B1428" t="s">
        <v>4913</v>
      </c>
      <c r="AZQ1428">
        <v>1</v>
      </c>
      <c r="DNQ1428">
        <v>1</v>
      </c>
      <c r="EDG1428">
        <f>SUMPRODUCT(Constraint_1422,Decision_variables)</f>
        <v>0</v>
      </c>
      <c r="EDH1428" t="s">
        <v>5265</v>
      </c>
      <c r="EDI1428">
        <v>1</v>
      </c>
    </row>
    <row r="1429" spans="2:2 1366:1381 3082:3493" x14ac:dyDescent="0.3">
      <c r="B1429" t="s">
        <v>4914</v>
      </c>
      <c r="AZR1429">
        <v>1</v>
      </c>
      <c r="DNR1429">
        <v>1</v>
      </c>
      <c r="EDG1429">
        <f>SUMPRODUCT(Constraint_1423,Decision_variables)</f>
        <v>0</v>
      </c>
      <c r="EDH1429" t="s">
        <v>5265</v>
      </c>
      <c r="EDI1429">
        <v>1</v>
      </c>
    </row>
    <row r="1430" spans="2:2 1366:1381 3082:3493" x14ac:dyDescent="0.3">
      <c r="B1430" t="s">
        <v>4915</v>
      </c>
      <c r="AZS1430">
        <v>1</v>
      </c>
      <c r="DNS1430">
        <v>1</v>
      </c>
      <c r="EDG1430">
        <f>SUMPRODUCT(Constraint_1424,Decision_variables)</f>
        <v>0</v>
      </c>
      <c r="EDH1430" t="s">
        <v>5265</v>
      </c>
      <c r="EDI1430">
        <v>1</v>
      </c>
    </row>
    <row r="1431" spans="2:2 1366:1381 3082:3493" x14ac:dyDescent="0.3">
      <c r="B1431" t="s">
        <v>4916</v>
      </c>
      <c r="AZT1431">
        <v>1</v>
      </c>
      <c r="DNT1431">
        <v>1</v>
      </c>
      <c r="EDG1431">
        <f>SUMPRODUCT(Constraint_1425,Decision_variables)</f>
        <v>0</v>
      </c>
      <c r="EDH1431" t="s">
        <v>5265</v>
      </c>
      <c r="EDI1431">
        <v>1</v>
      </c>
    </row>
    <row r="1432" spans="2:2 1366:1381 3082:3493" x14ac:dyDescent="0.3">
      <c r="B1432" t="s">
        <v>4917</v>
      </c>
      <c r="AZU1432">
        <v>1</v>
      </c>
      <c r="DNU1432">
        <v>1</v>
      </c>
      <c r="EDG1432">
        <f>SUMPRODUCT(Constraint_1426,Decision_variables)</f>
        <v>0</v>
      </c>
      <c r="EDH1432" t="s">
        <v>5265</v>
      </c>
      <c r="EDI1432">
        <v>1</v>
      </c>
    </row>
    <row r="1433" spans="2:2 1366:1381 3082:3493" x14ac:dyDescent="0.3">
      <c r="B1433" t="s">
        <v>4918</v>
      </c>
      <c r="AZV1433">
        <v>1</v>
      </c>
      <c r="DNV1433">
        <v>1</v>
      </c>
      <c r="EDG1433">
        <f>SUMPRODUCT(Constraint_1427,Decision_variables)</f>
        <v>0</v>
      </c>
      <c r="EDH1433" t="s">
        <v>5265</v>
      </c>
      <c r="EDI1433">
        <v>1</v>
      </c>
    </row>
    <row r="1434" spans="2:2 1366:1381 3082:3493" x14ac:dyDescent="0.3">
      <c r="B1434" t="s">
        <v>4919</v>
      </c>
      <c r="AZW1434">
        <v>1</v>
      </c>
      <c r="DNW1434">
        <v>1</v>
      </c>
      <c r="EDG1434">
        <f>SUMPRODUCT(Constraint_1428,Decision_variables)</f>
        <v>0</v>
      </c>
      <c r="EDH1434" t="s">
        <v>5265</v>
      </c>
      <c r="EDI1434">
        <v>1</v>
      </c>
    </row>
    <row r="1435" spans="2:2 1366:1381 3082:3493" x14ac:dyDescent="0.3">
      <c r="B1435" t="s">
        <v>4920</v>
      </c>
      <c r="AZX1435">
        <v>1</v>
      </c>
      <c r="DNX1435">
        <v>1</v>
      </c>
      <c r="EDG1435">
        <f>SUMPRODUCT(Constraint_1429,Decision_variables)</f>
        <v>0</v>
      </c>
      <c r="EDH1435" t="s">
        <v>5265</v>
      </c>
      <c r="EDI1435">
        <v>1</v>
      </c>
    </row>
    <row r="1436" spans="2:2 1366:1381 3082:3493" x14ac:dyDescent="0.3">
      <c r="B1436" t="s">
        <v>4921</v>
      </c>
      <c r="AZY1436">
        <v>1</v>
      </c>
      <c r="DNY1436">
        <v>1</v>
      </c>
      <c r="EDG1436">
        <f>SUMPRODUCT(Constraint_1430,Decision_variables)</f>
        <v>0</v>
      </c>
      <c r="EDH1436" t="s">
        <v>5265</v>
      </c>
      <c r="EDI1436">
        <v>1</v>
      </c>
    </row>
    <row r="1437" spans="2:2 1366:1381 3082:3493" x14ac:dyDescent="0.3">
      <c r="B1437" t="s">
        <v>4922</v>
      </c>
      <c r="AZZ1437">
        <v>1</v>
      </c>
      <c r="DNZ1437">
        <v>1</v>
      </c>
      <c r="EDG1437">
        <f>SUMPRODUCT(Constraint_1431,Decision_variables)</f>
        <v>0</v>
      </c>
      <c r="EDH1437" t="s">
        <v>5265</v>
      </c>
      <c r="EDI1437">
        <v>1</v>
      </c>
    </row>
    <row r="1438" spans="2:2 1366:1381 3082:3493" x14ac:dyDescent="0.3">
      <c r="B1438" t="s">
        <v>4923</v>
      </c>
      <c r="BAA1438">
        <v>1</v>
      </c>
      <c r="DOA1438">
        <v>1</v>
      </c>
      <c r="EDG1438">
        <f>SUMPRODUCT(Constraint_1432,Decision_variables)</f>
        <v>0</v>
      </c>
      <c r="EDH1438" t="s">
        <v>5265</v>
      </c>
      <c r="EDI1438">
        <v>1</v>
      </c>
    </row>
    <row r="1439" spans="2:2 1366:1381 3082:3493" x14ac:dyDescent="0.3">
      <c r="B1439" t="s">
        <v>4924</v>
      </c>
      <c r="BAB1439">
        <v>1</v>
      </c>
      <c r="DOB1439">
        <v>1</v>
      </c>
      <c r="EDG1439">
        <f>SUMPRODUCT(Constraint_1433,Decision_variables)</f>
        <v>0</v>
      </c>
      <c r="EDH1439" t="s">
        <v>5265</v>
      </c>
      <c r="EDI1439">
        <v>1</v>
      </c>
    </row>
    <row r="1440" spans="2:2 1366:1381 3082:3493" x14ac:dyDescent="0.3">
      <c r="B1440" t="s">
        <v>4925</v>
      </c>
      <c r="BAC1440">
        <v>1</v>
      </c>
      <c r="DOC1440">
        <v>1</v>
      </c>
      <c r="EDG1440">
        <f>SUMPRODUCT(Constraint_1434,Decision_variables)</f>
        <v>0</v>
      </c>
      <c r="EDH1440" t="s">
        <v>5265</v>
      </c>
      <c r="EDI1440">
        <v>1</v>
      </c>
    </row>
    <row r="1441" spans="2:2 1382:1397 3098:3493" x14ac:dyDescent="0.3">
      <c r="B1441" t="s">
        <v>4926</v>
      </c>
      <c r="BAD1441">
        <v>1</v>
      </c>
      <c r="DOD1441">
        <v>1</v>
      </c>
      <c r="EDG1441">
        <f>SUMPRODUCT(Constraint_1435,Decision_variables)</f>
        <v>0</v>
      </c>
      <c r="EDH1441" t="s">
        <v>5265</v>
      </c>
      <c r="EDI1441">
        <v>1</v>
      </c>
    </row>
    <row r="1442" spans="2:2 1382:1397 3098:3493" x14ac:dyDescent="0.3">
      <c r="B1442" t="s">
        <v>4927</v>
      </c>
      <c r="BAE1442">
        <v>1</v>
      </c>
      <c r="DOE1442">
        <v>1</v>
      </c>
      <c r="EDG1442">
        <f>SUMPRODUCT(Constraint_1436,Decision_variables)</f>
        <v>0</v>
      </c>
      <c r="EDH1442" t="s">
        <v>5265</v>
      </c>
      <c r="EDI1442">
        <v>1</v>
      </c>
    </row>
    <row r="1443" spans="2:2 1382:1397 3098:3493" x14ac:dyDescent="0.3">
      <c r="B1443" t="s">
        <v>4928</v>
      </c>
      <c r="BAF1443">
        <v>1</v>
      </c>
      <c r="DOF1443">
        <v>1</v>
      </c>
      <c r="EDG1443">
        <f>SUMPRODUCT(Constraint_1437,Decision_variables)</f>
        <v>0</v>
      </c>
      <c r="EDH1443" t="s">
        <v>5265</v>
      </c>
      <c r="EDI1443">
        <v>1</v>
      </c>
    </row>
    <row r="1444" spans="2:2 1382:1397 3098:3493" x14ac:dyDescent="0.3">
      <c r="B1444" t="s">
        <v>4929</v>
      </c>
      <c r="BAG1444">
        <v>1</v>
      </c>
      <c r="DOG1444">
        <v>1</v>
      </c>
      <c r="EDG1444">
        <f>SUMPRODUCT(Constraint_1438,Decision_variables)</f>
        <v>0</v>
      </c>
      <c r="EDH1444" t="s">
        <v>5265</v>
      </c>
      <c r="EDI1444">
        <v>1</v>
      </c>
    </row>
    <row r="1445" spans="2:2 1382:1397 3098:3493" x14ac:dyDescent="0.3">
      <c r="B1445" t="s">
        <v>4930</v>
      </c>
      <c r="BAH1445">
        <v>1</v>
      </c>
      <c r="DOH1445">
        <v>1</v>
      </c>
      <c r="EDG1445">
        <f>SUMPRODUCT(Constraint_1439,Decision_variables)</f>
        <v>0</v>
      </c>
      <c r="EDH1445" t="s">
        <v>5265</v>
      </c>
      <c r="EDI1445">
        <v>1</v>
      </c>
    </row>
    <row r="1446" spans="2:2 1382:1397 3098:3493" x14ac:dyDescent="0.3">
      <c r="B1446" t="s">
        <v>4931</v>
      </c>
      <c r="BAI1446">
        <v>1</v>
      </c>
      <c r="DOI1446">
        <v>1</v>
      </c>
      <c r="EDG1446">
        <f>SUMPRODUCT(Constraint_1440,Decision_variables)</f>
        <v>0</v>
      </c>
      <c r="EDH1446" t="s">
        <v>5265</v>
      </c>
      <c r="EDI1446">
        <v>1</v>
      </c>
    </row>
    <row r="1447" spans="2:2 1382:1397 3098:3493" x14ac:dyDescent="0.3">
      <c r="B1447" t="s">
        <v>4932</v>
      </c>
      <c r="BAJ1447">
        <v>1</v>
      </c>
      <c r="DOJ1447">
        <v>1</v>
      </c>
      <c r="EDG1447">
        <f>SUMPRODUCT(Constraint_1441,Decision_variables)</f>
        <v>0</v>
      </c>
      <c r="EDH1447" t="s">
        <v>5265</v>
      </c>
      <c r="EDI1447">
        <v>1</v>
      </c>
    </row>
    <row r="1448" spans="2:2 1382:1397 3098:3493" x14ac:dyDescent="0.3">
      <c r="B1448" t="s">
        <v>4933</v>
      </c>
      <c r="BAK1448">
        <v>1</v>
      </c>
      <c r="DOK1448">
        <v>1</v>
      </c>
      <c r="EDG1448">
        <f>SUMPRODUCT(Constraint_1442,Decision_variables)</f>
        <v>0</v>
      </c>
      <c r="EDH1448" t="s">
        <v>5265</v>
      </c>
      <c r="EDI1448">
        <v>1</v>
      </c>
    </row>
    <row r="1449" spans="2:2 1382:1397 3098:3493" x14ac:dyDescent="0.3">
      <c r="B1449" t="s">
        <v>4934</v>
      </c>
      <c r="BAL1449">
        <v>1</v>
      </c>
      <c r="DOL1449">
        <v>1</v>
      </c>
      <c r="EDG1449">
        <f>SUMPRODUCT(Constraint_1443,Decision_variables)</f>
        <v>0</v>
      </c>
      <c r="EDH1449" t="s">
        <v>5265</v>
      </c>
      <c r="EDI1449">
        <v>1</v>
      </c>
    </row>
    <row r="1450" spans="2:2 1382:1397 3098:3493" x14ac:dyDescent="0.3">
      <c r="B1450" t="s">
        <v>4935</v>
      </c>
      <c r="BAM1450">
        <v>1</v>
      </c>
      <c r="DOM1450">
        <v>1</v>
      </c>
      <c r="EDG1450">
        <f>SUMPRODUCT(Constraint_1444,Decision_variables)</f>
        <v>0</v>
      </c>
      <c r="EDH1450" t="s">
        <v>5265</v>
      </c>
      <c r="EDI1450">
        <v>1</v>
      </c>
    </row>
    <row r="1451" spans="2:2 1382:1397 3098:3493" x14ac:dyDescent="0.3">
      <c r="B1451" t="s">
        <v>4936</v>
      </c>
      <c r="BAN1451">
        <v>1</v>
      </c>
      <c r="DON1451">
        <v>1</v>
      </c>
      <c r="EDG1451">
        <f>SUMPRODUCT(Constraint_1445,Decision_variables)</f>
        <v>0</v>
      </c>
      <c r="EDH1451" t="s">
        <v>5265</v>
      </c>
      <c r="EDI1451">
        <v>1</v>
      </c>
    </row>
    <row r="1452" spans="2:2 1382:1397 3098:3493" x14ac:dyDescent="0.3">
      <c r="B1452" t="s">
        <v>4937</v>
      </c>
      <c r="BAO1452">
        <v>1</v>
      </c>
      <c r="DOO1452">
        <v>1</v>
      </c>
      <c r="EDG1452">
        <f>SUMPRODUCT(Constraint_1446,Decision_variables)</f>
        <v>0</v>
      </c>
      <c r="EDH1452" t="s">
        <v>5265</v>
      </c>
      <c r="EDI1452">
        <v>1</v>
      </c>
    </row>
    <row r="1453" spans="2:2 1382:1397 3098:3493" x14ac:dyDescent="0.3">
      <c r="B1453" t="s">
        <v>4938</v>
      </c>
      <c r="BAP1453">
        <v>1</v>
      </c>
      <c r="DOP1453">
        <v>1</v>
      </c>
      <c r="EDG1453">
        <f>SUMPRODUCT(Constraint_1447,Decision_variables)</f>
        <v>0</v>
      </c>
      <c r="EDH1453" t="s">
        <v>5265</v>
      </c>
      <c r="EDI1453">
        <v>1</v>
      </c>
    </row>
    <row r="1454" spans="2:2 1382:1397 3098:3493" x14ac:dyDescent="0.3">
      <c r="B1454" t="s">
        <v>4939</v>
      </c>
      <c r="BAQ1454">
        <v>1</v>
      </c>
      <c r="DOQ1454">
        <v>1</v>
      </c>
      <c r="EDG1454">
        <f>SUMPRODUCT(Constraint_1448,Decision_variables)</f>
        <v>0</v>
      </c>
      <c r="EDH1454" t="s">
        <v>5265</v>
      </c>
      <c r="EDI1454">
        <v>1</v>
      </c>
    </row>
    <row r="1455" spans="2:2 1382:1397 3098:3493" x14ac:dyDescent="0.3">
      <c r="B1455" t="s">
        <v>4940</v>
      </c>
      <c r="BAR1455">
        <v>1</v>
      </c>
      <c r="DOR1455">
        <v>1</v>
      </c>
      <c r="EDG1455">
        <f>SUMPRODUCT(Constraint_1449,Decision_variables)</f>
        <v>0</v>
      </c>
      <c r="EDH1455" t="s">
        <v>5265</v>
      </c>
      <c r="EDI1455">
        <v>1</v>
      </c>
    </row>
    <row r="1456" spans="2:2 1382:1397 3098:3493" x14ac:dyDescent="0.3">
      <c r="B1456" t="s">
        <v>4941</v>
      </c>
      <c r="BAS1456">
        <v>1</v>
      </c>
      <c r="DOS1456">
        <v>1</v>
      </c>
      <c r="EDG1456">
        <f>SUMPRODUCT(Constraint_1450,Decision_variables)</f>
        <v>0</v>
      </c>
      <c r="EDH1456" t="s">
        <v>5265</v>
      </c>
      <c r="EDI1456">
        <v>1</v>
      </c>
    </row>
    <row r="1457" spans="2:2 1398:1413 3114:3493" x14ac:dyDescent="0.3">
      <c r="B1457" t="s">
        <v>4942</v>
      </c>
      <c r="BAT1457">
        <v>1</v>
      </c>
      <c r="DOT1457">
        <v>1</v>
      </c>
      <c r="EDG1457">
        <f>SUMPRODUCT(Constraint_1451,Decision_variables)</f>
        <v>0</v>
      </c>
      <c r="EDH1457" t="s">
        <v>5265</v>
      </c>
      <c r="EDI1457">
        <v>1</v>
      </c>
    </row>
    <row r="1458" spans="2:2 1398:1413 3114:3493" x14ac:dyDescent="0.3">
      <c r="B1458" t="s">
        <v>4943</v>
      </c>
      <c r="BAU1458">
        <v>1</v>
      </c>
      <c r="DOU1458">
        <v>1</v>
      </c>
      <c r="EDG1458">
        <f>SUMPRODUCT(Constraint_1452,Decision_variables)</f>
        <v>0</v>
      </c>
      <c r="EDH1458" t="s">
        <v>5265</v>
      </c>
      <c r="EDI1458">
        <v>1</v>
      </c>
    </row>
    <row r="1459" spans="2:2 1398:1413 3114:3493" x14ac:dyDescent="0.3">
      <c r="B1459" t="s">
        <v>4944</v>
      </c>
      <c r="BAV1459">
        <v>1</v>
      </c>
      <c r="DOV1459">
        <v>1</v>
      </c>
      <c r="EDG1459">
        <f>SUMPRODUCT(Constraint_1453,Decision_variables)</f>
        <v>0</v>
      </c>
      <c r="EDH1459" t="s">
        <v>5265</v>
      </c>
      <c r="EDI1459">
        <v>1</v>
      </c>
    </row>
    <row r="1460" spans="2:2 1398:1413 3114:3493" x14ac:dyDescent="0.3">
      <c r="B1460" t="s">
        <v>4945</v>
      </c>
      <c r="BAW1460">
        <v>1</v>
      </c>
      <c r="DOW1460">
        <v>1</v>
      </c>
      <c r="EDG1460">
        <f>SUMPRODUCT(Constraint_1454,Decision_variables)</f>
        <v>0</v>
      </c>
      <c r="EDH1460" t="s">
        <v>5265</v>
      </c>
      <c r="EDI1460">
        <v>1</v>
      </c>
    </row>
    <row r="1461" spans="2:2 1398:1413 3114:3493" x14ac:dyDescent="0.3">
      <c r="B1461" t="s">
        <v>4946</v>
      </c>
      <c r="BAX1461">
        <v>1</v>
      </c>
      <c r="DOX1461">
        <v>1</v>
      </c>
      <c r="EDG1461">
        <f>SUMPRODUCT(Constraint_1455,Decision_variables)</f>
        <v>0</v>
      </c>
      <c r="EDH1461" t="s">
        <v>5265</v>
      </c>
      <c r="EDI1461">
        <v>1</v>
      </c>
    </row>
    <row r="1462" spans="2:2 1398:1413 3114:3493" x14ac:dyDescent="0.3">
      <c r="B1462" t="s">
        <v>4947</v>
      </c>
      <c r="BAY1462">
        <v>1</v>
      </c>
      <c r="DOY1462">
        <v>1</v>
      </c>
      <c r="EDG1462">
        <f>SUMPRODUCT(Constraint_1456,Decision_variables)</f>
        <v>0</v>
      </c>
      <c r="EDH1462" t="s">
        <v>5265</v>
      </c>
      <c r="EDI1462">
        <v>1</v>
      </c>
    </row>
    <row r="1463" spans="2:2 1398:1413 3114:3493" x14ac:dyDescent="0.3">
      <c r="B1463" t="s">
        <v>4948</v>
      </c>
      <c r="BAZ1463">
        <v>1</v>
      </c>
      <c r="DOZ1463">
        <v>1</v>
      </c>
      <c r="EDG1463">
        <f>SUMPRODUCT(Constraint_1457,Decision_variables)</f>
        <v>0</v>
      </c>
      <c r="EDH1463" t="s">
        <v>5265</v>
      </c>
      <c r="EDI1463">
        <v>1</v>
      </c>
    </row>
    <row r="1464" spans="2:2 1398:1413 3114:3493" x14ac:dyDescent="0.3">
      <c r="B1464" t="s">
        <v>4949</v>
      </c>
      <c r="BBA1464">
        <v>1</v>
      </c>
      <c r="DPA1464">
        <v>1</v>
      </c>
      <c r="EDG1464">
        <f>SUMPRODUCT(Constraint_1458,Decision_variables)</f>
        <v>0</v>
      </c>
      <c r="EDH1464" t="s">
        <v>5265</v>
      </c>
      <c r="EDI1464">
        <v>1</v>
      </c>
    </row>
    <row r="1465" spans="2:2 1398:1413 3114:3493" x14ac:dyDescent="0.3">
      <c r="B1465" t="s">
        <v>4950</v>
      </c>
      <c r="BBB1465">
        <v>1</v>
      </c>
      <c r="DPB1465">
        <v>1</v>
      </c>
      <c r="EDG1465">
        <f>SUMPRODUCT(Constraint_1459,Decision_variables)</f>
        <v>0</v>
      </c>
      <c r="EDH1465" t="s">
        <v>5265</v>
      </c>
      <c r="EDI1465">
        <v>1</v>
      </c>
    </row>
    <row r="1466" spans="2:2 1398:1413 3114:3493" x14ac:dyDescent="0.3">
      <c r="B1466" t="s">
        <v>4951</v>
      </c>
      <c r="BBC1466">
        <v>1</v>
      </c>
      <c r="DPC1466">
        <v>1</v>
      </c>
      <c r="EDG1466">
        <f>SUMPRODUCT(Constraint_1460,Decision_variables)</f>
        <v>0</v>
      </c>
      <c r="EDH1466" t="s">
        <v>5265</v>
      </c>
      <c r="EDI1466">
        <v>1</v>
      </c>
    </row>
    <row r="1467" spans="2:2 1398:1413 3114:3493" x14ac:dyDescent="0.3">
      <c r="B1467" t="s">
        <v>4952</v>
      </c>
      <c r="BBD1467">
        <v>1</v>
      </c>
      <c r="DPD1467">
        <v>1</v>
      </c>
      <c r="EDG1467">
        <f>SUMPRODUCT(Constraint_1461,Decision_variables)</f>
        <v>0</v>
      </c>
      <c r="EDH1467" t="s">
        <v>5265</v>
      </c>
      <c r="EDI1467">
        <v>1</v>
      </c>
    </row>
    <row r="1468" spans="2:2 1398:1413 3114:3493" x14ac:dyDescent="0.3">
      <c r="B1468" t="s">
        <v>4953</v>
      </c>
      <c r="BBE1468">
        <v>1</v>
      </c>
      <c r="DPE1468">
        <v>1</v>
      </c>
      <c r="EDG1468">
        <f>SUMPRODUCT(Constraint_1462,Decision_variables)</f>
        <v>0</v>
      </c>
      <c r="EDH1468" t="s">
        <v>5265</v>
      </c>
      <c r="EDI1468">
        <v>1</v>
      </c>
    </row>
    <row r="1469" spans="2:2 1398:1413 3114:3493" x14ac:dyDescent="0.3">
      <c r="B1469" t="s">
        <v>4954</v>
      </c>
      <c r="BBF1469">
        <v>1</v>
      </c>
      <c r="DPF1469">
        <v>1</v>
      </c>
      <c r="EDG1469">
        <f>SUMPRODUCT(Constraint_1463,Decision_variables)</f>
        <v>0</v>
      </c>
      <c r="EDH1469" t="s">
        <v>5265</v>
      </c>
      <c r="EDI1469">
        <v>1</v>
      </c>
    </row>
    <row r="1470" spans="2:2 1398:1413 3114:3493" x14ac:dyDescent="0.3">
      <c r="B1470" t="s">
        <v>4955</v>
      </c>
      <c r="BBG1470">
        <v>1</v>
      </c>
      <c r="DPG1470">
        <v>1</v>
      </c>
      <c r="EDG1470">
        <f>SUMPRODUCT(Constraint_1464,Decision_variables)</f>
        <v>0</v>
      </c>
      <c r="EDH1470" t="s">
        <v>5265</v>
      </c>
      <c r="EDI1470">
        <v>1</v>
      </c>
    </row>
    <row r="1471" spans="2:2 1398:1413 3114:3493" x14ac:dyDescent="0.3">
      <c r="B1471" t="s">
        <v>4956</v>
      </c>
      <c r="BBH1471">
        <v>1</v>
      </c>
      <c r="DPH1471">
        <v>1</v>
      </c>
      <c r="EDG1471">
        <f>SUMPRODUCT(Constraint_1465,Decision_variables)</f>
        <v>0</v>
      </c>
      <c r="EDH1471" t="s">
        <v>5265</v>
      </c>
      <c r="EDI1471">
        <v>1</v>
      </c>
    </row>
    <row r="1472" spans="2:2 1398:1413 3114:3493" x14ac:dyDescent="0.3">
      <c r="B1472" t="s">
        <v>4957</v>
      </c>
      <c r="BBI1472">
        <v>1</v>
      </c>
      <c r="DPI1472">
        <v>1</v>
      </c>
      <c r="EDG1472">
        <f>SUMPRODUCT(Constraint_1466,Decision_variables)</f>
        <v>0</v>
      </c>
      <c r="EDH1472" t="s">
        <v>5265</v>
      </c>
      <c r="EDI1472">
        <v>1</v>
      </c>
    </row>
    <row r="1473" spans="2:2 1414:1429 3130:3493" x14ac:dyDescent="0.3">
      <c r="B1473" t="s">
        <v>4958</v>
      </c>
      <c r="BBJ1473">
        <v>1</v>
      </c>
      <c r="DPJ1473">
        <v>1</v>
      </c>
      <c r="EDG1473">
        <f>SUMPRODUCT(Constraint_1467,Decision_variables)</f>
        <v>0</v>
      </c>
      <c r="EDH1473" t="s">
        <v>5265</v>
      </c>
      <c r="EDI1473">
        <v>1</v>
      </c>
    </row>
    <row r="1474" spans="2:2 1414:1429 3130:3493" x14ac:dyDescent="0.3">
      <c r="B1474" t="s">
        <v>4959</v>
      </c>
      <c r="BBK1474">
        <v>1</v>
      </c>
      <c r="DPK1474">
        <v>1</v>
      </c>
      <c r="EDG1474">
        <f>SUMPRODUCT(Constraint_1468,Decision_variables)</f>
        <v>0</v>
      </c>
      <c r="EDH1474" t="s">
        <v>5265</v>
      </c>
      <c r="EDI1474">
        <v>1</v>
      </c>
    </row>
    <row r="1475" spans="2:2 1414:1429 3130:3493" x14ac:dyDescent="0.3">
      <c r="B1475" t="s">
        <v>4960</v>
      </c>
      <c r="BBL1475">
        <v>1</v>
      </c>
      <c r="DPL1475">
        <v>1</v>
      </c>
      <c r="EDG1475">
        <f>SUMPRODUCT(Constraint_1469,Decision_variables)</f>
        <v>0</v>
      </c>
      <c r="EDH1475" t="s">
        <v>5265</v>
      </c>
      <c r="EDI1475">
        <v>1</v>
      </c>
    </row>
    <row r="1476" spans="2:2 1414:1429 3130:3493" x14ac:dyDescent="0.3">
      <c r="B1476" t="s">
        <v>4961</v>
      </c>
      <c r="BBM1476">
        <v>1</v>
      </c>
      <c r="DPM1476">
        <v>1</v>
      </c>
      <c r="EDG1476">
        <f>SUMPRODUCT(Constraint_1470,Decision_variables)</f>
        <v>0</v>
      </c>
      <c r="EDH1476" t="s">
        <v>5265</v>
      </c>
      <c r="EDI1476">
        <v>1</v>
      </c>
    </row>
    <row r="1477" spans="2:2 1414:1429 3130:3493" x14ac:dyDescent="0.3">
      <c r="B1477" t="s">
        <v>4962</v>
      </c>
      <c r="BBN1477">
        <v>1</v>
      </c>
      <c r="DPN1477">
        <v>1</v>
      </c>
      <c r="EDG1477">
        <f>SUMPRODUCT(Constraint_1471,Decision_variables)</f>
        <v>0</v>
      </c>
      <c r="EDH1477" t="s">
        <v>5265</v>
      </c>
      <c r="EDI1477">
        <v>1</v>
      </c>
    </row>
    <row r="1478" spans="2:2 1414:1429 3130:3493" x14ac:dyDescent="0.3">
      <c r="B1478" t="s">
        <v>4963</v>
      </c>
      <c r="BBO1478">
        <v>1</v>
      </c>
      <c r="DPO1478">
        <v>1</v>
      </c>
      <c r="EDG1478">
        <f>SUMPRODUCT(Constraint_1472,Decision_variables)</f>
        <v>0</v>
      </c>
      <c r="EDH1478" t="s">
        <v>5265</v>
      </c>
      <c r="EDI1478">
        <v>1</v>
      </c>
    </row>
    <row r="1479" spans="2:2 1414:1429 3130:3493" x14ac:dyDescent="0.3">
      <c r="B1479" t="s">
        <v>4964</v>
      </c>
      <c r="BBP1479">
        <v>1</v>
      </c>
      <c r="DPP1479">
        <v>1</v>
      </c>
      <c r="EDG1479">
        <f>SUMPRODUCT(Constraint_1473,Decision_variables)</f>
        <v>0</v>
      </c>
      <c r="EDH1479" t="s">
        <v>5265</v>
      </c>
      <c r="EDI1479">
        <v>1</v>
      </c>
    </row>
    <row r="1480" spans="2:2 1414:1429 3130:3493" x14ac:dyDescent="0.3">
      <c r="B1480" t="s">
        <v>4965</v>
      </c>
      <c r="BBQ1480">
        <v>1</v>
      </c>
      <c r="DPQ1480">
        <v>1</v>
      </c>
      <c r="EDG1480">
        <f>SUMPRODUCT(Constraint_1474,Decision_variables)</f>
        <v>0</v>
      </c>
      <c r="EDH1480" t="s">
        <v>5265</v>
      </c>
      <c r="EDI1480">
        <v>1</v>
      </c>
    </row>
    <row r="1481" spans="2:2 1414:1429 3130:3493" x14ac:dyDescent="0.3">
      <c r="B1481" t="s">
        <v>4966</v>
      </c>
      <c r="BBR1481">
        <v>1</v>
      </c>
      <c r="DPR1481">
        <v>1</v>
      </c>
      <c r="EDG1481">
        <f>SUMPRODUCT(Constraint_1475,Decision_variables)</f>
        <v>0</v>
      </c>
      <c r="EDH1481" t="s">
        <v>5265</v>
      </c>
      <c r="EDI1481">
        <v>1</v>
      </c>
    </row>
    <row r="1482" spans="2:2 1414:1429 3130:3493" x14ac:dyDescent="0.3">
      <c r="B1482" t="s">
        <v>4967</v>
      </c>
      <c r="BBS1482">
        <v>1</v>
      </c>
      <c r="DPS1482">
        <v>1</v>
      </c>
      <c r="EDG1482">
        <f>SUMPRODUCT(Constraint_1476,Decision_variables)</f>
        <v>0</v>
      </c>
      <c r="EDH1482" t="s">
        <v>5265</v>
      </c>
      <c r="EDI1482">
        <v>1</v>
      </c>
    </row>
    <row r="1483" spans="2:2 1414:1429 3130:3493" x14ac:dyDescent="0.3">
      <c r="B1483" t="s">
        <v>4968</v>
      </c>
      <c r="BBT1483">
        <v>1</v>
      </c>
      <c r="DPT1483">
        <v>1</v>
      </c>
      <c r="EDG1483">
        <f>SUMPRODUCT(Constraint_1477,Decision_variables)</f>
        <v>0</v>
      </c>
      <c r="EDH1483" t="s">
        <v>5265</v>
      </c>
      <c r="EDI1483">
        <v>1</v>
      </c>
    </row>
    <row r="1484" spans="2:2 1414:1429 3130:3493" x14ac:dyDescent="0.3">
      <c r="B1484" t="s">
        <v>4969</v>
      </c>
      <c r="BBU1484">
        <v>1</v>
      </c>
      <c r="DPU1484">
        <v>1</v>
      </c>
      <c r="EDG1484">
        <f>SUMPRODUCT(Constraint_1478,Decision_variables)</f>
        <v>0</v>
      </c>
      <c r="EDH1484" t="s">
        <v>5265</v>
      </c>
      <c r="EDI1484">
        <v>1</v>
      </c>
    </row>
    <row r="1485" spans="2:2 1414:1429 3130:3493" x14ac:dyDescent="0.3">
      <c r="B1485" t="s">
        <v>4970</v>
      </c>
      <c r="BBV1485">
        <v>1</v>
      </c>
      <c r="DPV1485">
        <v>1</v>
      </c>
      <c r="EDG1485">
        <f>SUMPRODUCT(Constraint_1479,Decision_variables)</f>
        <v>0</v>
      </c>
      <c r="EDH1485" t="s">
        <v>5265</v>
      </c>
      <c r="EDI1485">
        <v>1</v>
      </c>
    </row>
    <row r="1486" spans="2:2 1414:1429 3130:3493" x14ac:dyDescent="0.3">
      <c r="B1486" t="s">
        <v>4971</v>
      </c>
      <c r="BBW1486">
        <v>1</v>
      </c>
      <c r="DPW1486">
        <v>1</v>
      </c>
      <c r="EDG1486">
        <f>SUMPRODUCT(Constraint_1480,Decision_variables)</f>
        <v>0</v>
      </c>
      <c r="EDH1486" t="s">
        <v>5265</v>
      </c>
      <c r="EDI1486">
        <v>1</v>
      </c>
    </row>
    <row r="1487" spans="2:2 1414:1429 3130:3493" x14ac:dyDescent="0.3">
      <c r="B1487" t="s">
        <v>4972</v>
      </c>
      <c r="BBX1487">
        <v>1</v>
      </c>
      <c r="DPX1487">
        <v>1</v>
      </c>
      <c r="EDG1487">
        <f>SUMPRODUCT(Constraint_1481,Decision_variables)</f>
        <v>0</v>
      </c>
      <c r="EDH1487" t="s">
        <v>5265</v>
      </c>
      <c r="EDI1487">
        <v>1</v>
      </c>
    </row>
    <row r="1488" spans="2:2 1414:1429 3130:3493" x14ac:dyDescent="0.3">
      <c r="B1488" t="s">
        <v>4973</v>
      </c>
      <c r="BBY1488">
        <v>1</v>
      </c>
      <c r="DPY1488">
        <v>1</v>
      </c>
      <c r="EDG1488">
        <f>SUMPRODUCT(Constraint_1482,Decision_variables)</f>
        <v>0</v>
      </c>
      <c r="EDH1488" t="s">
        <v>5265</v>
      </c>
      <c r="EDI1488">
        <v>1</v>
      </c>
    </row>
    <row r="1489" spans="2:2 1430:1445 3146:3493" x14ac:dyDescent="0.3">
      <c r="B1489" t="s">
        <v>4974</v>
      </c>
      <c r="BBZ1489">
        <v>1</v>
      </c>
      <c r="DPZ1489">
        <v>1</v>
      </c>
      <c r="EDG1489">
        <f>SUMPRODUCT(Constraint_1483,Decision_variables)</f>
        <v>0</v>
      </c>
      <c r="EDH1489" t="s">
        <v>5265</v>
      </c>
      <c r="EDI1489">
        <v>1</v>
      </c>
    </row>
    <row r="1490" spans="2:2 1430:1445 3146:3493" x14ac:dyDescent="0.3">
      <c r="B1490" t="s">
        <v>4975</v>
      </c>
      <c r="BCA1490">
        <v>1</v>
      </c>
      <c r="DQA1490">
        <v>1</v>
      </c>
      <c r="EDG1490">
        <f>SUMPRODUCT(Constraint_1484,Decision_variables)</f>
        <v>0</v>
      </c>
      <c r="EDH1490" t="s">
        <v>5265</v>
      </c>
      <c r="EDI1490">
        <v>1</v>
      </c>
    </row>
    <row r="1491" spans="2:2 1430:1445 3146:3493" x14ac:dyDescent="0.3">
      <c r="B1491" t="s">
        <v>4976</v>
      </c>
      <c r="BCB1491">
        <v>1</v>
      </c>
      <c r="DQB1491">
        <v>1</v>
      </c>
      <c r="EDG1491">
        <f>SUMPRODUCT(Constraint_1485,Decision_variables)</f>
        <v>0</v>
      </c>
      <c r="EDH1491" t="s">
        <v>5265</v>
      </c>
      <c r="EDI1491">
        <v>1</v>
      </c>
    </row>
    <row r="1492" spans="2:2 1430:1445 3146:3493" x14ac:dyDescent="0.3">
      <c r="B1492" t="s">
        <v>4977</v>
      </c>
      <c r="BCC1492">
        <v>1</v>
      </c>
      <c r="DQC1492">
        <v>1</v>
      </c>
      <c r="EDG1492">
        <f>SUMPRODUCT(Constraint_1486,Decision_variables)</f>
        <v>0</v>
      </c>
      <c r="EDH1492" t="s">
        <v>5265</v>
      </c>
      <c r="EDI1492">
        <v>1</v>
      </c>
    </row>
    <row r="1493" spans="2:2 1430:1445 3146:3493" x14ac:dyDescent="0.3">
      <c r="B1493" t="s">
        <v>4978</v>
      </c>
      <c r="BCD1493">
        <v>1</v>
      </c>
      <c r="DQD1493">
        <v>1</v>
      </c>
      <c r="EDG1493">
        <f>SUMPRODUCT(Constraint_1487,Decision_variables)</f>
        <v>0</v>
      </c>
      <c r="EDH1493" t="s">
        <v>5265</v>
      </c>
      <c r="EDI1493">
        <v>1</v>
      </c>
    </row>
    <row r="1494" spans="2:2 1430:1445 3146:3493" x14ac:dyDescent="0.3">
      <c r="B1494" t="s">
        <v>4979</v>
      </c>
      <c r="BCE1494">
        <v>1</v>
      </c>
      <c r="DQE1494">
        <v>1</v>
      </c>
      <c r="EDG1494">
        <f>SUMPRODUCT(Constraint_1488,Decision_variables)</f>
        <v>0</v>
      </c>
      <c r="EDH1494" t="s">
        <v>5265</v>
      </c>
      <c r="EDI1494">
        <v>1</v>
      </c>
    </row>
    <row r="1495" spans="2:2 1430:1445 3146:3493" x14ac:dyDescent="0.3">
      <c r="B1495" t="s">
        <v>4980</v>
      </c>
      <c r="BCF1495">
        <v>1</v>
      </c>
      <c r="DQF1495">
        <v>1</v>
      </c>
      <c r="EDG1495">
        <f>SUMPRODUCT(Constraint_1489,Decision_variables)</f>
        <v>0</v>
      </c>
      <c r="EDH1495" t="s">
        <v>5265</v>
      </c>
      <c r="EDI1495">
        <v>1</v>
      </c>
    </row>
    <row r="1496" spans="2:2 1430:1445 3146:3493" x14ac:dyDescent="0.3">
      <c r="B1496" t="s">
        <v>4981</v>
      </c>
      <c r="BCG1496">
        <v>1</v>
      </c>
      <c r="DQG1496">
        <v>1</v>
      </c>
      <c r="EDG1496">
        <f>SUMPRODUCT(Constraint_1490,Decision_variables)</f>
        <v>0</v>
      </c>
      <c r="EDH1496" t="s">
        <v>5265</v>
      </c>
      <c r="EDI1496">
        <v>1</v>
      </c>
    </row>
    <row r="1497" spans="2:2 1430:1445 3146:3493" x14ac:dyDescent="0.3">
      <c r="B1497" t="s">
        <v>4982</v>
      </c>
      <c r="BCH1497">
        <v>1</v>
      </c>
      <c r="DQH1497">
        <v>1</v>
      </c>
      <c r="EDG1497">
        <f>SUMPRODUCT(Constraint_1491,Decision_variables)</f>
        <v>0</v>
      </c>
      <c r="EDH1497" t="s">
        <v>5265</v>
      </c>
      <c r="EDI1497">
        <v>1</v>
      </c>
    </row>
    <row r="1498" spans="2:2 1430:1445 3146:3493" x14ac:dyDescent="0.3">
      <c r="B1498" t="s">
        <v>4983</v>
      </c>
      <c r="BCI1498">
        <v>1</v>
      </c>
      <c r="DQI1498">
        <v>1</v>
      </c>
      <c r="EDG1498">
        <f>SUMPRODUCT(Constraint_1492,Decision_variables)</f>
        <v>0</v>
      </c>
      <c r="EDH1498" t="s">
        <v>5265</v>
      </c>
      <c r="EDI1498">
        <v>1</v>
      </c>
    </row>
    <row r="1499" spans="2:2 1430:1445 3146:3493" x14ac:dyDescent="0.3">
      <c r="B1499" t="s">
        <v>4984</v>
      </c>
      <c r="BCJ1499">
        <v>1</v>
      </c>
      <c r="DQJ1499">
        <v>1</v>
      </c>
      <c r="EDG1499">
        <f>SUMPRODUCT(Constraint_1493,Decision_variables)</f>
        <v>0</v>
      </c>
      <c r="EDH1499" t="s">
        <v>5265</v>
      </c>
      <c r="EDI1499">
        <v>1</v>
      </c>
    </row>
    <row r="1500" spans="2:2 1430:1445 3146:3493" x14ac:dyDescent="0.3">
      <c r="B1500" t="s">
        <v>4985</v>
      </c>
      <c r="BCK1500">
        <v>1</v>
      </c>
      <c r="DQK1500">
        <v>1</v>
      </c>
      <c r="EDG1500">
        <f>SUMPRODUCT(Constraint_1494,Decision_variables)</f>
        <v>0</v>
      </c>
      <c r="EDH1500" t="s">
        <v>5265</v>
      </c>
      <c r="EDI1500">
        <v>1</v>
      </c>
    </row>
    <row r="1501" spans="2:2 1430:1445 3146:3493" x14ac:dyDescent="0.3">
      <c r="B1501" t="s">
        <v>4986</v>
      </c>
      <c r="BCL1501">
        <v>1</v>
      </c>
      <c r="DQL1501">
        <v>1</v>
      </c>
      <c r="EDG1501">
        <f>SUMPRODUCT(Constraint_1495,Decision_variables)</f>
        <v>0</v>
      </c>
      <c r="EDH1501" t="s">
        <v>5265</v>
      </c>
      <c r="EDI1501">
        <v>1</v>
      </c>
    </row>
    <row r="1502" spans="2:2 1430:1445 3146:3493" x14ac:dyDescent="0.3">
      <c r="B1502" t="s">
        <v>4987</v>
      </c>
      <c r="BCM1502">
        <v>1</v>
      </c>
      <c r="DQM1502">
        <v>1</v>
      </c>
      <c r="EDG1502">
        <f>SUMPRODUCT(Constraint_1496,Decision_variables)</f>
        <v>0</v>
      </c>
      <c r="EDH1502" t="s">
        <v>5265</v>
      </c>
      <c r="EDI1502">
        <v>1</v>
      </c>
    </row>
    <row r="1503" spans="2:2 1430:1445 3146:3493" x14ac:dyDescent="0.3">
      <c r="B1503" t="s">
        <v>4988</v>
      </c>
      <c r="BCN1503">
        <v>1</v>
      </c>
      <c r="DQN1503">
        <v>1</v>
      </c>
      <c r="EDG1503">
        <f>SUMPRODUCT(Constraint_1497,Decision_variables)</f>
        <v>0</v>
      </c>
      <c r="EDH1503" t="s">
        <v>5265</v>
      </c>
      <c r="EDI1503">
        <v>1</v>
      </c>
    </row>
    <row r="1504" spans="2:2 1430:1445 3146:3493" x14ac:dyDescent="0.3">
      <c r="B1504" t="s">
        <v>4989</v>
      </c>
      <c r="BCO1504">
        <v>1</v>
      </c>
      <c r="DQO1504">
        <v>1</v>
      </c>
      <c r="EDG1504">
        <f>SUMPRODUCT(Constraint_1498,Decision_variables)</f>
        <v>0</v>
      </c>
      <c r="EDH1504" t="s">
        <v>5265</v>
      </c>
      <c r="EDI1504">
        <v>1</v>
      </c>
    </row>
    <row r="1505" spans="2:2 1446:1461 3162:3493" x14ac:dyDescent="0.3">
      <c r="B1505" t="s">
        <v>4990</v>
      </c>
      <c r="BCP1505">
        <v>1</v>
      </c>
      <c r="DQP1505">
        <v>1</v>
      </c>
      <c r="EDG1505">
        <f>SUMPRODUCT(Constraint_1499,Decision_variables)</f>
        <v>0</v>
      </c>
      <c r="EDH1505" t="s">
        <v>5265</v>
      </c>
      <c r="EDI1505">
        <v>1</v>
      </c>
    </row>
    <row r="1506" spans="2:2 1446:1461 3162:3493" x14ac:dyDescent="0.3">
      <c r="B1506" t="s">
        <v>4991</v>
      </c>
      <c r="BCQ1506">
        <v>1</v>
      </c>
      <c r="DQQ1506">
        <v>1</v>
      </c>
      <c r="EDG1506">
        <f>SUMPRODUCT(Constraint_1500,Decision_variables)</f>
        <v>0</v>
      </c>
      <c r="EDH1506" t="s">
        <v>5265</v>
      </c>
      <c r="EDI1506">
        <v>1</v>
      </c>
    </row>
    <row r="1507" spans="2:2 1446:1461 3162:3493" x14ac:dyDescent="0.3">
      <c r="B1507" t="s">
        <v>4992</v>
      </c>
      <c r="BCR1507">
        <v>1</v>
      </c>
      <c r="DQR1507">
        <v>1</v>
      </c>
      <c r="EDG1507">
        <f>SUMPRODUCT(Constraint_1501,Decision_variables)</f>
        <v>0</v>
      </c>
      <c r="EDH1507" t="s">
        <v>5265</v>
      </c>
      <c r="EDI1507">
        <v>1</v>
      </c>
    </row>
    <row r="1508" spans="2:2 1446:1461 3162:3493" x14ac:dyDescent="0.3">
      <c r="B1508" t="s">
        <v>4993</v>
      </c>
      <c r="BCS1508">
        <v>1</v>
      </c>
      <c r="DQS1508">
        <v>1</v>
      </c>
      <c r="EDG1508">
        <f>SUMPRODUCT(Constraint_1502,Decision_variables)</f>
        <v>0</v>
      </c>
      <c r="EDH1508" t="s">
        <v>5265</v>
      </c>
      <c r="EDI1508">
        <v>1</v>
      </c>
    </row>
    <row r="1509" spans="2:2 1446:1461 3162:3493" x14ac:dyDescent="0.3">
      <c r="B1509" t="s">
        <v>4994</v>
      </c>
      <c r="BCT1509">
        <v>1</v>
      </c>
      <c r="DQT1509">
        <v>1</v>
      </c>
      <c r="EDG1509">
        <f>SUMPRODUCT(Constraint_1503,Decision_variables)</f>
        <v>0</v>
      </c>
      <c r="EDH1509" t="s">
        <v>5265</v>
      </c>
      <c r="EDI1509">
        <v>1</v>
      </c>
    </row>
    <row r="1510" spans="2:2 1446:1461 3162:3493" x14ac:dyDescent="0.3">
      <c r="B1510" t="s">
        <v>4995</v>
      </c>
      <c r="BCU1510">
        <v>1</v>
      </c>
      <c r="DQU1510">
        <v>1</v>
      </c>
      <c r="EDG1510">
        <f>SUMPRODUCT(Constraint_1504,Decision_variables)</f>
        <v>0</v>
      </c>
      <c r="EDH1510" t="s">
        <v>5265</v>
      </c>
      <c r="EDI1510">
        <v>1</v>
      </c>
    </row>
    <row r="1511" spans="2:2 1446:1461 3162:3493" x14ac:dyDescent="0.3">
      <c r="B1511" t="s">
        <v>4996</v>
      </c>
      <c r="BCV1511">
        <v>1</v>
      </c>
      <c r="DQV1511">
        <v>1</v>
      </c>
      <c r="EDG1511">
        <f>SUMPRODUCT(Constraint_1505,Decision_variables)</f>
        <v>0</v>
      </c>
      <c r="EDH1511" t="s">
        <v>5265</v>
      </c>
      <c r="EDI1511">
        <v>1</v>
      </c>
    </row>
    <row r="1512" spans="2:2 1446:1461 3162:3493" x14ac:dyDescent="0.3">
      <c r="B1512" t="s">
        <v>4997</v>
      </c>
      <c r="BCW1512">
        <v>1</v>
      </c>
      <c r="DQW1512">
        <v>1</v>
      </c>
      <c r="EDG1512">
        <f>SUMPRODUCT(Constraint_1506,Decision_variables)</f>
        <v>0</v>
      </c>
      <c r="EDH1512" t="s">
        <v>5265</v>
      </c>
      <c r="EDI1512">
        <v>1</v>
      </c>
    </row>
    <row r="1513" spans="2:2 1446:1461 3162:3493" x14ac:dyDescent="0.3">
      <c r="B1513" t="s">
        <v>4998</v>
      </c>
      <c r="BCX1513">
        <v>1</v>
      </c>
      <c r="DQX1513">
        <v>1</v>
      </c>
      <c r="EDG1513">
        <f>SUMPRODUCT(Constraint_1507,Decision_variables)</f>
        <v>0</v>
      </c>
      <c r="EDH1513" t="s">
        <v>5265</v>
      </c>
      <c r="EDI1513">
        <v>1</v>
      </c>
    </row>
    <row r="1514" spans="2:2 1446:1461 3162:3493" x14ac:dyDescent="0.3">
      <c r="B1514" t="s">
        <v>4999</v>
      </c>
      <c r="BCY1514">
        <v>1</v>
      </c>
      <c r="DQY1514">
        <v>1</v>
      </c>
      <c r="EDG1514">
        <f>SUMPRODUCT(Constraint_1508,Decision_variables)</f>
        <v>0</v>
      </c>
      <c r="EDH1514" t="s">
        <v>5265</v>
      </c>
      <c r="EDI1514">
        <v>1</v>
      </c>
    </row>
    <row r="1515" spans="2:2 1446:1461 3162:3493" x14ac:dyDescent="0.3">
      <c r="B1515" t="s">
        <v>5000</v>
      </c>
      <c r="BCZ1515">
        <v>1</v>
      </c>
      <c r="DQZ1515">
        <v>1</v>
      </c>
      <c r="EDG1515">
        <f>SUMPRODUCT(Constraint_1509,Decision_variables)</f>
        <v>0</v>
      </c>
      <c r="EDH1515" t="s">
        <v>5265</v>
      </c>
      <c r="EDI1515">
        <v>1</v>
      </c>
    </row>
    <row r="1516" spans="2:2 1446:1461 3162:3493" x14ac:dyDescent="0.3">
      <c r="B1516" t="s">
        <v>5001</v>
      </c>
      <c r="BDA1516">
        <v>1</v>
      </c>
      <c r="DRA1516">
        <v>1</v>
      </c>
      <c r="EDG1516">
        <f>SUMPRODUCT(Constraint_1510,Decision_variables)</f>
        <v>0</v>
      </c>
      <c r="EDH1516" t="s">
        <v>5265</v>
      </c>
      <c r="EDI1516">
        <v>1</v>
      </c>
    </row>
    <row r="1517" spans="2:2 1446:1461 3162:3493" x14ac:dyDescent="0.3">
      <c r="B1517" t="s">
        <v>5002</v>
      </c>
      <c r="BDB1517">
        <v>1</v>
      </c>
      <c r="DRB1517">
        <v>1</v>
      </c>
      <c r="EDG1517">
        <f>SUMPRODUCT(Constraint_1511,Decision_variables)</f>
        <v>0</v>
      </c>
      <c r="EDH1517" t="s">
        <v>5265</v>
      </c>
      <c r="EDI1517">
        <v>1</v>
      </c>
    </row>
    <row r="1518" spans="2:2 1446:1461 3162:3493" x14ac:dyDescent="0.3">
      <c r="B1518" t="s">
        <v>5003</v>
      </c>
      <c r="BDC1518">
        <v>1</v>
      </c>
      <c r="DRC1518">
        <v>1</v>
      </c>
      <c r="EDG1518">
        <f>SUMPRODUCT(Constraint_1512,Decision_variables)</f>
        <v>0</v>
      </c>
      <c r="EDH1518" t="s">
        <v>5265</v>
      </c>
      <c r="EDI1518">
        <v>1</v>
      </c>
    </row>
    <row r="1519" spans="2:2 1446:1461 3162:3493" x14ac:dyDescent="0.3">
      <c r="B1519" t="s">
        <v>5004</v>
      </c>
      <c r="BDD1519">
        <v>1</v>
      </c>
      <c r="DRD1519">
        <v>1</v>
      </c>
      <c r="EDG1519">
        <f>SUMPRODUCT(Constraint_1513,Decision_variables)</f>
        <v>0</v>
      </c>
      <c r="EDH1519" t="s">
        <v>5265</v>
      </c>
      <c r="EDI1519">
        <v>1</v>
      </c>
    </row>
    <row r="1520" spans="2:2 1446:1461 3162:3493" x14ac:dyDescent="0.3">
      <c r="B1520" t="s">
        <v>5005</v>
      </c>
      <c r="BDE1520">
        <v>1</v>
      </c>
      <c r="DRE1520">
        <v>1</v>
      </c>
      <c r="EDG1520">
        <f>SUMPRODUCT(Constraint_1514,Decision_variables)</f>
        <v>0</v>
      </c>
      <c r="EDH1520" t="s">
        <v>5265</v>
      </c>
      <c r="EDI1520">
        <v>1</v>
      </c>
    </row>
    <row r="1521" spans="2:2 1462:1477 3178:3493" x14ac:dyDescent="0.3">
      <c r="B1521" t="s">
        <v>5006</v>
      </c>
      <c r="BDF1521">
        <v>1</v>
      </c>
      <c r="DRF1521">
        <v>1</v>
      </c>
      <c r="EDG1521">
        <f>SUMPRODUCT(Constraint_1515,Decision_variables)</f>
        <v>0</v>
      </c>
      <c r="EDH1521" t="s">
        <v>5265</v>
      </c>
      <c r="EDI1521">
        <v>1</v>
      </c>
    </row>
    <row r="1522" spans="2:2 1462:1477 3178:3493" x14ac:dyDescent="0.3">
      <c r="B1522" t="s">
        <v>5007</v>
      </c>
      <c r="BDG1522">
        <v>1</v>
      </c>
      <c r="DRG1522">
        <v>1</v>
      </c>
      <c r="EDG1522">
        <f>SUMPRODUCT(Constraint_1516,Decision_variables)</f>
        <v>0</v>
      </c>
      <c r="EDH1522" t="s">
        <v>5265</v>
      </c>
      <c r="EDI1522">
        <v>1</v>
      </c>
    </row>
    <row r="1523" spans="2:2 1462:1477 3178:3493" x14ac:dyDescent="0.3">
      <c r="B1523" t="s">
        <v>5008</v>
      </c>
      <c r="BDH1523">
        <v>1</v>
      </c>
      <c r="DRH1523">
        <v>1</v>
      </c>
      <c r="EDG1523">
        <f>SUMPRODUCT(Constraint_1517,Decision_variables)</f>
        <v>0</v>
      </c>
      <c r="EDH1523" t="s">
        <v>5265</v>
      </c>
      <c r="EDI1523">
        <v>1</v>
      </c>
    </row>
    <row r="1524" spans="2:2 1462:1477 3178:3493" x14ac:dyDescent="0.3">
      <c r="B1524" t="s">
        <v>5009</v>
      </c>
      <c r="BDI1524">
        <v>1</v>
      </c>
      <c r="DRI1524">
        <v>1</v>
      </c>
      <c r="EDG1524">
        <f>SUMPRODUCT(Constraint_1518,Decision_variables)</f>
        <v>0</v>
      </c>
      <c r="EDH1524" t="s">
        <v>5265</v>
      </c>
      <c r="EDI1524">
        <v>1</v>
      </c>
    </row>
    <row r="1525" spans="2:2 1462:1477 3178:3493" x14ac:dyDescent="0.3">
      <c r="B1525" t="s">
        <v>5010</v>
      </c>
      <c r="BDJ1525">
        <v>1</v>
      </c>
      <c r="DRJ1525">
        <v>1</v>
      </c>
      <c r="EDG1525">
        <f>SUMPRODUCT(Constraint_1519,Decision_variables)</f>
        <v>0</v>
      </c>
      <c r="EDH1525" t="s">
        <v>5265</v>
      </c>
      <c r="EDI1525">
        <v>1</v>
      </c>
    </row>
    <row r="1526" spans="2:2 1462:1477 3178:3493" x14ac:dyDescent="0.3">
      <c r="B1526" t="s">
        <v>5011</v>
      </c>
      <c r="BDK1526">
        <v>1</v>
      </c>
      <c r="DRK1526">
        <v>1</v>
      </c>
      <c r="EDG1526">
        <f>SUMPRODUCT(Constraint_1520,Decision_variables)</f>
        <v>0</v>
      </c>
      <c r="EDH1526" t="s">
        <v>5265</v>
      </c>
      <c r="EDI1526">
        <v>1</v>
      </c>
    </row>
    <row r="1527" spans="2:2 1462:1477 3178:3493" x14ac:dyDescent="0.3">
      <c r="B1527" t="s">
        <v>5012</v>
      </c>
      <c r="BDL1527">
        <v>1</v>
      </c>
      <c r="DRL1527">
        <v>1</v>
      </c>
      <c r="EDG1527">
        <f>SUMPRODUCT(Constraint_1521,Decision_variables)</f>
        <v>0</v>
      </c>
      <c r="EDH1527" t="s">
        <v>5265</v>
      </c>
      <c r="EDI1527">
        <v>1</v>
      </c>
    </row>
    <row r="1528" spans="2:2 1462:1477 3178:3493" x14ac:dyDescent="0.3">
      <c r="B1528" t="s">
        <v>5013</v>
      </c>
      <c r="BDM1528">
        <v>1</v>
      </c>
      <c r="DRM1528">
        <v>1</v>
      </c>
      <c r="EDG1528">
        <f>SUMPRODUCT(Constraint_1522,Decision_variables)</f>
        <v>0</v>
      </c>
      <c r="EDH1528" t="s">
        <v>5265</v>
      </c>
      <c r="EDI1528">
        <v>1</v>
      </c>
    </row>
    <row r="1529" spans="2:2 1462:1477 3178:3493" x14ac:dyDescent="0.3">
      <c r="B1529" t="s">
        <v>5014</v>
      </c>
      <c r="BDN1529">
        <v>1</v>
      </c>
      <c r="DRN1529">
        <v>1</v>
      </c>
      <c r="EDG1529">
        <f>SUMPRODUCT(Constraint_1523,Decision_variables)</f>
        <v>0</v>
      </c>
      <c r="EDH1529" t="s">
        <v>5265</v>
      </c>
      <c r="EDI1529">
        <v>1</v>
      </c>
    </row>
    <row r="1530" spans="2:2 1462:1477 3178:3493" x14ac:dyDescent="0.3">
      <c r="B1530" t="s">
        <v>5015</v>
      </c>
      <c r="BDO1530">
        <v>1</v>
      </c>
      <c r="DRO1530">
        <v>1</v>
      </c>
      <c r="EDG1530">
        <f>SUMPRODUCT(Constraint_1524,Decision_variables)</f>
        <v>0</v>
      </c>
      <c r="EDH1530" t="s">
        <v>5265</v>
      </c>
      <c r="EDI1530">
        <v>1</v>
      </c>
    </row>
    <row r="1531" spans="2:2 1462:1477 3178:3493" x14ac:dyDescent="0.3">
      <c r="B1531" t="s">
        <v>5016</v>
      </c>
      <c r="BDP1531">
        <v>1</v>
      </c>
      <c r="DRP1531">
        <v>1</v>
      </c>
      <c r="EDG1531">
        <f>SUMPRODUCT(Constraint_1525,Decision_variables)</f>
        <v>0</v>
      </c>
      <c r="EDH1531" t="s">
        <v>5265</v>
      </c>
      <c r="EDI1531">
        <v>1</v>
      </c>
    </row>
    <row r="1532" spans="2:2 1462:1477 3178:3493" x14ac:dyDescent="0.3">
      <c r="B1532" t="s">
        <v>5017</v>
      </c>
      <c r="BDQ1532">
        <v>1</v>
      </c>
      <c r="DRQ1532">
        <v>1</v>
      </c>
      <c r="EDG1532">
        <f>SUMPRODUCT(Constraint_1526,Decision_variables)</f>
        <v>0</v>
      </c>
      <c r="EDH1532" t="s">
        <v>5265</v>
      </c>
      <c r="EDI1532">
        <v>1</v>
      </c>
    </row>
    <row r="1533" spans="2:2 1462:1477 3178:3493" x14ac:dyDescent="0.3">
      <c r="B1533" t="s">
        <v>5018</v>
      </c>
      <c r="BDR1533">
        <v>1</v>
      </c>
      <c r="DRR1533">
        <v>1</v>
      </c>
      <c r="EDG1533">
        <f>SUMPRODUCT(Constraint_1527,Decision_variables)</f>
        <v>0</v>
      </c>
      <c r="EDH1533" t="s">
        <v>5265</v>
      </c>
      <c r="EDI1533">
        <v>1</v>
      </c>
    </row>
    <row r="1534" spans="2:2 1462:1477 3178:3493" x14ac:dyDescent="0.3">
      <c r="B1534" t="s">
        <v>5019</v>
      </c>
      <c r="BDS1534">
        <v>1</v>
      </c>
      <c r="DRS1534">
        <v>1</v>
      </c>
      <c r="EDG1534">
        <f>SUMPRODUCT(Constraint_1528,Decision_variables)</f>
        <v>0</v>
      </c>
      <c r="EDH1534" t="s">
        <v>5265</v>
      </c>
      <c r="EDI1534">
        <v>1</v>
      </c>
    </row>
    <row r="1535" spans="2:2 1462:1477 3178:3493" x14ac:dyDescent="0.3">
      <c r="B1535" t="s">
        <v>5020</v>
      </c>
      <c r="BDT1535">
        <v>1</v>
      </c>
      <c r="DRT1535">
        <v>1</v>
      </c>
      <c r="EDG1535">
        <f>SUMPRODUCT(Constraint_1529,Decision_variables)</f>
        <v>0</v>
      </c>
      <c r="EDH1535" t="s">
        <v>5265</v>
      </c>
      <c r="EDI1535">
        <v>1</v>
      </c>
    </row>
    <row r="1536" spans="2:2 1462:1477 3178:3493" x14ac:dyDescent="0.3">
      <c r="B1536" t="s">
        <v>5021</v>
      </c>
      <c r="BDU1536">
        <v>1</v>
      </c>
      <c r="DRU1536">
        <v>1</v>
      </c>
      <c r="EDG1536">
        <f>SUMPRODUCT(Constraint_1530,Decision_variables)</f>
        <v>0</v>
      </c>
      <c r="EDH1536" t="s">
        <v>5265</v>
      </c>
      <c r="EDI1536">
        <v>1</v>
      </c>
    </row>
    <row r="1537" spans="2:2 1478:1493 3194:3493" x14ac:dyDescent="0.3">
      <c r="B1537" t="s">
        <v>5022</v>
      </c>
      <c r="BDV1537">
        <v>1</v>
      </c>
      <c r="DRV1537">
        <v>1</v>
      </c>
      <c r="EDG1537">
        <f>SUMPRODUCT(Constraint_1531,Decision_variables)</f>
        <v>0</v>
      </c>
      <c r="EDH1537" t="s">
        <v>5265</v>
      </c>
      <c r="EDI1537">
        <v>1</v>
      </c>
    </row>
    <row r="1538" spans="2:2 1478:1493 3194:3493" x14ac:dyDescent="0.3">
      <c r="B1538" t="s">
        <v>5023</v>
      </c>
      <c r="BDW1538">
        <v>1</v>
      </c>
      <c r="DRW1538">
        <v>1</v>
      </c>
      <c r="EDG1538">
        <f>SUMPRODUCT(Constraint_1532,Decision_variables)</f>
        <v>0</v>
      </c>
      <c r="EDH1538" t="s">
        <v>5265</v>
      </c>
      <c r="EDI1538">
        <v>1</v>
      </c>
    </row>
    <row r="1539" spans="2:2 1478:1493 3194:3493" x14ac:dyDescent="0.3">
      <c r="B1539" t="s">
        <v>5024</v>
      </c>
      <c r="BDX1539">
        <v>1</v>
      </c>
      <c r="DRX1539">
        <v>1</v>
      </c>
      <c r="EDG1539">
        <f>SUMPRODUCT(Constraint_1533,Decision_variables)</f>
        <v>0</v>
      </c>
      <c r="EDH1539" t="s">
        <v>5265</v>
      </c>
      <c r="EDI1539">
        <v>1</v>
      </c>
    </row>
    <row r="1540" spans="2:2 1478:1493 3194:3493" x14ac:dyDescent="0.3">
      <c r="B1540" t="s">
        <v>5025</v>
      </c>
      <c r="BDY1540">
        <v>1</v>
      </c>
      <c r="DRY1540">
        <v>1</v>
      </c>
      <c r="EDG1540">
        <f>SUMPRODUCT(Constraint_1534,Decision_variables)</f>
        <v>0</v>
      </c>
      <c r="EDH1540" t="s">
        <v>5265</v>
      </c>
      <c r="EDI1540">
        <v>1</v>
      </c>
    </row>
    <row r="1541" spans="2:2 1478:1493 3194:3493" x14ac:dyDescent="0.3">
      <c r="B1541" t="s">
        <v>5026</v>
      </c>
      <c r="BDZ1541">
        <v>1</v>
      </c>
      <c r="DRZ1541">
        <v>1</v>
      </c>
      <c r="EDG1541">
        <f>SUMPRODUCT(Constraint_1535,Decision_variables)</f>
        <v>0</v>
      </c>
      <c r="EDH1541" t="s">
        <v>5265</v>
      </c>
      <c r="EDI1541">
        <v>1</v>
      </c>
    </row>
    <row r="1542" spans="2:2 1478:1493 3194:3493" x14ac:dyDescent="0.3">
      <c r="B1542" t="s">
        <v>5027</v>
      </c>
      <c r="BEA1542">
        <v>1</v>
      </c>
      <c r="DSA1542">
        <v>1</v>
      </c>
      <c r="EDG1542">
        <f>SUMPRODUCT(Constraint_1536,Decision_variables)</f>
        <v>0</v>
      </c>
      <c r="EDH1542" t="s">
        <v>5265</v>
      </c>
      <c r="EDI1542">
        <v>1</v>
      </c>
    </row>
    <row r="1543" spans="2:2 1478:1493 3194:3493" x14ac:dyDescent="0.3">
      <c r="B1543" t="s">
        <v>5028</v>
      </c>
      <c r="BEB1543">
        <v>1</v>
      </c>
      <c r="DSB1543">
        <v>1</v>
      </c>
      <c r="EDG1543">
        <f>SUMPRODUCT(Constraint_1537,Decision_variables)</f>
        <v>0</v>
      </c>
      <c r="EDH1543" t="s">
        <v>5265</v>
      </c>
      <c r="EDI1543">
        <v>1</v>
      </c>
    </row>
    <row r="1544" spans="2:2 1478:1493 3194:3493" x14ac:dyDescent="0.3">
      <c r="B1544" t="s">
        <v>5029</v>
      </c>
      <c r="BEC1544">
        <v>1</v>
      </c>
      <c r="DSC1544">
        <v>1</v>
      </c>
      <c r="EDG1544">
        <f>SUMPRODUCT(Constraint_1538,Decision_variables)</f>
        <v>0</v>
      </c>
      <c r="EDH1544" t="s">
        <v>5265</v>
      </c>
      <c r="EDI1544">
        <v>1</v>
      </c>
    </row>
    <row r="1545" spans="2:2 1478:1493 3194:3493" x14ac:dyDescent="0.3">
      <c r="B1545" t="s">
        <v>5030</v>
      </c>
      <c r="BED1545">
        <v>1</v>
      </c>
      <c r="DSD1545">
        <v>1</v>
      </c>
      <c r="EDG1545">
        <f>SUMPRODUCT(Constraint_1539,Decision_variables)</f>
        <v>0</v>
      </c>
      <c r="EDH1545" t="s">
        <v>5265</v>
      </c>
      <c r="EDI1545">
        <v>1</v>
      </c>
    </row>
    <row r="1546" spans="2:2 1478:1493 3194:3493" x14ac:dyDescent="0.3">
      <c r="B1546" t="s">
        <v>5031</v>
      </c>
      <c r="BEE1546">
        <v>1</v>
      </c>
      <c r="DSE1546">
        <v>1</v>
      </c>
      <c r="EDG1546">
        <f>SUMPRODUCT(Constraint_1540,Decision_variables)</f>
        <v>0</v>
      </c>
      <c r="EDH1546" t="s">
        <v>5265</v>
      </c>
      <c r="EDI1546">
        <v>1</v>
      </c>
    </row>
    <row r="1547" spans="2:2 1478:1493 3194:3493" x14ac:dyDescent="0.3">
      <c r="B1547" t="s">
        <v>5032</v>
      </c>
      <c r="BEF1547">
        <v>1</v>
      </c>
      <c r="DSF1547">
        <v>1</v>
      </c>
      <c r="EDG1547">
        <f>SUMPRODUCT(Constraint_1541,Decision_variables)</f>
        <v>0</v>
      </c>
      <c r="EDH1547" t="s">
        <v>5265</v>
      </c>
      <c r="EDI1547">
        <v>1</v>
      </c>
    </row>
    <row r="1548" spans="2:2 1478:1493 3194:3493" x14ac:dyDescent="0.3">
      <c r="B1548" t="s">
        <v>5033</v>
      </c>
      <c r="BEG1548">
        <v>1</v>
      </c>
      <c r="DSG1548">
        <v>1</v>
      </c>
      <c r="EDG1548">
        <f>SUMPRODUCT(Constraint_1542,Decision_variables)</f>
        <v>0</v>
      </c>
      <c r="EDH1548" t="s">
        <v>5265</v>
      </c>
      <c r="EDI1548">
        <v>1</v>
      </c>
    </row>
    <row r="1549" spans="2:2 1478:1493 3194:3493" x14ac:dyDescent="0.3">
      <c r="B1549" t="s">
        <v>5034</v>
      </c>
      <c r="BEH1549">
        <v>1</v>
      </c>
      <c r="DSH1549">
        <v>1</v>
      </c>
      <c r="EDG1549">
        <f>SUMPRODUCT(Constraint_1543,Decision_variables)</f>
        <v>0</v>
      </c>
      <c r="EDH1549" t="s">
        <v>5265</v>
      </c>
      <c r="EDI1549">
        <v>1</v>
      </c>
    </row>
    <row r="1550" spans="2:2 1478:1493 3194:3493" x14ac:dyDescent="0.3">
      <c r="B1550" t="s">
        <v>5035</v>
      </c>
      <c r="BEI1550">
        <v>1</v>
      </c>
      <c r="DSI1550">
        <v>1</v>
      </c>
      <c r="EDG1550">
        <f>SUMPRODUCT(Constraint_1544,Decision_variables)</f>
        <v>0</v>
      </c>
      <c r="EDH1550" t="s">
        <v>5265</v>
      </c>
      <c r="EDI1550">
        <v>1</v>
      </c>
    </row>
    <row r="1551" spans="2:2 1478:1493 3194:3493" x14ac:dyDescent="0.3">
      <c r="B1551" t="s">
        <v>5036</v>
      </c>
      <c r="BEJ1551">
        <v>1</v>
      </c>
      <c r="DSJ1551">
        <v>1</v>
      </c>
      <c r="EDG1551">
        <f>SUMPRODUCT(Constraint_1545,Decision_variables)</f>
        <v>0</v>
      </c>
      <c r="EDH1551" t="s">
        <v>5265</v>
      </c>
      <c r="EDI1551">
        <v>1</v>
      </c>
    </row>
    <row r="1552" spans="2:2 1478:1493 3194:3493" x14ac:dyDescent="0.3">
      <c r="B1552" t="s">
        <v>5037</v>
      </c>
      <c r="BEK1552">
        <v>1</v>
      </c>
      <c r="DSK1552">
        <v>1</v>
      </c>
      <c r="EDG1552">
        <f>SUMPRODUCT(Constraint_1546,Decision_variables)</f>
        <v>0</v>
      </c>
      <c r="EDH1552" t="s">
        <v>5265</v>
      </c>
      <c r="EDI1552">
        <v>1</v>
      </c>
    </row>
    <row r="1553" spans="2:2 1494:1509 3210:3493" x14ac:dyDescent="0.3">
      <c r="B1553" t="s">
        <v>5038</v>
      </c>
      <c r="BEL1553">
        <v>1</v>
      </c>
      <c r="DSL1553">
        <v>1</v>
      </c>
      <c r="EDG1553">
        <f>SUMPRODUCT(Constraint_1547,Decision_variables)</f>
        <v>0</v>
      </c>
      <c r="EDH1553" t="s">
        <v>5265</v>
      </c>
      <c r="EDI1553">
        <v>1</v>
      </c>
    </row>
    <row r="1554" spans="2:2 1494:1509 3210:3493" x14ac:dyDescent="0.3">
      <c r="B1554" t="s">
        <v>5039</v>
      </c>
      <c r="BEM1554">
        <v>1</v>
      </c>
      <c r="DSM1554">
        <v>1</v>
      </c>
      <c r="EDG1554">
        <f>SUMPRODUCT(Constraint_1548,Decision_variables)</f>
        <v>0</v>
      </c>
      <c r="EDH1554" t="s">
        <v>5265</v>
      </c>
      <c r="EDI1554">
        <v>1</v>
      </c>
    </row>
    <row r="1555" spans="2:2 1494:1509 3210:3493" x14ac:dyDescent="0.3">
      <c r="B1555" t="s">
        <v>5040</v>
      </c>
      <c r="BEN1555">
        <v>1</v>
      </c>
      <c r="DSN1555">
        <v>1</v>
      </c>
      <c r="EDG1555">
        <f>SUMPRODUCT(Constraint_1549,Decision_variables)</f>
        <v>0</v>
      </c>
      <c r="EDH1555" t="s">
        <v>5265</v>
      </c>
      <c r="EDI1555">
        <v>1</v>
      </c>
    </row>
    <row r="1556" spans="2:2 1494:1509 3210:3493" x14ac:dyDescent="0.3">
      <c r="B1556" t="s">
        <v>5041</v>
      </c>
      <c r="BEO1556">
        <v>1</v>
      </c>
      <c r="DSO1556">
        <v>1</v>
      </c>
      <c r="EDG1556">
        <f>SUMPRODUCT(Constraint_1550,Decision_variables)</f>
        <v>0</v>
      </c>
      <c r="EDH1556" t="s">
        <v>5265</v>
      </c>
      <c r="EDI1556">
        <v>1</v>
      </c>
    </row>
    <row r="1557" spans="2:2 1494:1509 3210:3493" x14ac:dyDescent="0.3">
      <c r="B1557" t="s">
        <v>5042</v>
      </c>
      <c r="BEP1557">
        <v>1</v>
      </c>
      <c r="DSP1557">
        <v>1</v>
      </c>
      <c r="EDG1557">
        <f>SUMPRODUCT(Constraint_1551,Decision_variables)</f>
        <v>0</v>
      </c>
      <c r="EDH1557" t="s">
        <v>5265</v>
      </c>
      <c r="EDI1557">
        <v>1</v>
      </c>
    </row>
    <row r="1558" spans="2:2 1494:1509 3210:3493" x14ac:dyDescent="0.3">
      <c r="B1558" t="s">
        <v>5043</v>
      </c>
      <c r="BEQ1558">
        <v>1</v>
      </c>
      <c r="DSQ1558">
        <v>1</v>
      </c>
      <c r="EDG1558">
        <f>SUMPRODUCT(Constraint_1552,Decision_variables)</f>
        <v>0</v>
      </c>
      <c r="EDH1558" t="s">
        <v>5265</v>
      </c>
      <c r="EDI1558">
        <v>1</v>
      </c>
    </row>
    <row r="1559" spans="2:2 1494:1509 3210:3493" x14ac:dyDescent="0.3">
      <c r="B1559" t="s">
        <v>5044</v>
      </c>
      <c r="BER1559">
        <v>1</v>
      </c>
      <c r="DSR1559">
        <v>1</v>
      </c>
      <c r="EDG1559">
        <f>SUMPRODUCT(Constraint_1553,Decision_variables)</f>
        <v>0</v>
      </c>
      <c r="EDH1559" t="s">
        <v>5265</v>
      </c>
      <c r="EDI1559">
        <v>1</v>
      </c>
    </row>
    <row r="1560" spans="2:2 1494:1509 3210:3493" x14ac:dyDescent="0.3">
      <c r="B1560" t="s">
        <v>5045</v>
      </c>
      <c r="BES1560">
        <v>1</v>
      </c>
      <c r="DSS1560">
        <v>1</v>
      </c>
      <c r="EDG1560">
        <f>SUMPRODUCT(Constraint_1554,Decision_variables)</f>
        <v>0</v>
      </c>
      <c r="EDH1560" t="s">
        <v>5265</v>
      </c>
      <c r="EDI1560">
        <v>1</v>
      </c>
    </row>
    <row r="1561" spans="2:2 1494:1509 3210:3493" x14ac:dyDescent="0.3">
      <c r="B1561" t="s">
        <v>5046</v>
      </c>
      <c r="BET1561">
        <v>1</v>
      </c>
      <c r="DST1561">
        <v>1</v>
      </c>
      <c r="EDG1561">
        <f>SUMPRODUCT(Constraint_1555,Decision_variables)</f>
        <v>0</v>
      </c>
      <c r="EDH1561" t="s">
        <v>5265</v>
      </c>
      <c r="EDI1561">
        <v>1</v>
      </c>
    </row>
    <row r="1562" spans="2:2 1494:1509 3210:3493" x14ac:dyDescent="0.3">
      <c r="B1562" t="s">
        <v>5047</v>
      </c>
      <c r="BEU1562">
        <v>1</v>
      </c>
      <c r="DSU1562">
        <v>1</v>
      </c>
      <c r="EDG1562">
        <f>SUMPRODUCT(Constraint_1556,Decision_variables)</f>
        <v>0</v>
      </c>
      <c r="EDH1562" t="s">
        <v>5265</v>
      </c>
      <c r="EDI1562">
        <v>1</v>
      </c>
    </row>
    <row r="1563" spans="2:2 1494:1509 3210:3493" x14ac:dyDescent="0.3">
      <c r="B1563" t="s">
        <v>5048</v>
      </c>
      <c r="BEV1563">
        <v>1</v>
      </c>
      <c r="DSV1563">
        <v>1</v>
      </c>
      <c r="EDG1563">
        <f>SUMPRODUCT(Constraint_1557,Decision_variables)</f>
        <v>0</v>
      </c>
      <c r="EDH1563" t="s">
        <v>5265</v>
      </c>
      <c r="EDI1563">
        <v>1</v>
      </c>
    </row>
    <row r="1564" spans="2:2 1494:1509 3210:3493" x14ac:dyDescent="0.3">
      <c r="B1564" t="s">
        <v>5049</v>
      </c>
      <c r="BEW1564">
        <v>1</v>
      </c>
      <c r="DSW1564">
        <v>1</v>
      </c>
      <c r="EDG1564">
        <f>SUMPRODUCT(Constraint_1558,Decision_variables)</f>
        <v>0</v>
      </c>
      <c r="EDH1564" t="s">
        <v>5265</v>
      </c>
      <c r="EDI1564">
        <v>1</v>
      </c>
    </row>
    <row r="1565" spans="2:2 1494:1509 3210:3493" x14ac:dyDescent="0.3">
      <c r="B1565" t="s">
        <v>5050</v>
      </c>
      <c r="BEX1565">
        <v>1</v>
      </c>
      <c r="DSX1565">
        <v>1</v>
      </c>
      <c r="EDG1565">
        <f>SUMPRODUCT(Constraint_1559,Decision_variables)</f>
        <v>0</v>
      </c>
      <c r="EDH1565" t="s">
        <v>5265</v>
      </c>
      <c r="EDI1565">
        <v>1</v>
      </c>
    </row>
    <row r="1566" spans="2:2 1494:1509 3210:3493" x14ac:dyDescent="0.3">
      <c r="B1566" t="s">
        <v>5051</v>
      </c>
      <c r="BEY1566">
        <v>1</v>
      </c>
      <c r="DSY1566">
        <v>1</v>
      </c>
      <c r="EDG1566">
        <f>SUMPRODUCT(Constraint_1560,Decision_variables)</f>
        <v>0</v>
      </c>
      <c r="EDH1566" t="s">
        <v>5265</v>
      </c>
      <c r="EDI1566">
        <v>1</v>
      </c>
    </row>
    <row r="1567" spans="2:2 1494:1509 3210:3493" x14ac:dyDescent="0.3">
      <c r="B1567" t="s">
        <v>5052</v>
      </c>
      <c r="BEZ1567">
        <v>1</v>
      </c>
      <c r="DSZ1567">
        <v>1</v>
      </c>
      <c r="EDG1567">
        <f>SUMPRODUCT(Constraint_1561,Decision_variables)</f>
        <v>0</v>
      </c>
      <c r="EDH1567" t="s">
        <v>5265</v>
      </c>
      <c r="EDI1567">
        <v>1</v>
      </c>
    </row>
    <row r="1568" spans="2:2 1494:1509 3210:3493" x14ac:dyDescent="0.3">
      <c r="B1568" t="s">
        <v>5053</v>
      </c>
      <c r="BFA1568">
        <v>1</v>
      </c>
      <c r="DTA1568">
        <v>1</v>
      </c>
      <c r="EDG1568">
        <f>SUMPRODUCT(Constraint_1562,Decision_variables)</f>
        <v>0</v>
      </c>
      <c r="EDH1568" t="s">
        <v>5265</v>
      </c>
      <c r="EDI1568">
        <v>1</v>
      </c>
    </row>
    <row r="1569" spans="2:2 1510:1525 3226:3493" x14ac:dyDescent="0.3">
      <c r="B1569" t="s">
        <v>5054</v>
      </c>
      <c r="BFB1569">
        <v>1</v>
      </c>
      <c r="DTB1569">
        <v>1</v>
      </c>
      <c r="EDG1569">
        <f>SUMPRODUCT(Constraint_1563,Decision_variables)</f>
        <v>0</v>
      </c>
      <c r="EDH1569" t="s">
        <v>5265</v>
      </c>
      <c r="EDI1569">
        <v>1</v>
      </c>
    </row>
    <row r="1570" spans="2:2 1510:1525 3226:3493" x14ac:dyDescent="0.3">
      <c r="B1570" t="s">
        <v>5055</v>
      </c>
      <c r="BFC1570">
        <v>1</v>
      </c>
      <c r="DTC1570">
        <v>1</v>
      </c>
      <c r="EDG1570">
        <f>SUMPRODUCT(Constraint_1564,Decision_variables)</f>
        <v>0</v>
      </c>
      <c r="EDH1570" t="s">
        <v>5265</v>
      </c>
      <c r="EDI1570">
        <v>1</v>
      </c>
    </row>
    <row r="1571" spans="2:2 1510:1525 3226:3493" x14ac:dyDescent="0.3">
      <c r="B1571" t="s">
        <v>5056</v>
      </c>
      <c r="BFD1571">
        <v>1</v>
      </c>
      <c r="DTD1571">
        <v>1</v>
      </c>
      <c r="EDG1571">
        <f>SUMPRODUCT(Constraint_1565,Decision_variables)</f>
        <v>0</v>
      </c>
      <c r="EDH1571" t="s">
        <v>5265</v>
      </c>
      <c r="EDI1571">
        <v>1</v>
      </c>
    </row>
    <row r="1572" spans="2:2 1510:1525 3226:3493" x14ac:dyDescent="0.3">
      <c r="B1572" t="s">
        <v>5057</v>
      </c>
      <c r="BFE1572">
        <v>1</v>
      </c>
      <c r="DTE1572">
        <v>1</v>
      </c>
      <c r="EDG1572">
        <f>SUMPRODUCT(Constraint_1566,Decision_variables)</f>
        <v>0</v>
      </c>
      <c r="EDH1572" t="s">
        <v>5265</v>
      </c>
      <c r="EDI1572">
        <v>1</v>
      </c>
    </row>
    <row r="1573" spans="2:2 1510:1525 3226:3493" x14ac:dyDescent="0.3">
      <c r="B1573" t="s">
        <v>5058</v>
      </c>
      <c r="BFF1573">
        <v>1</v>
      </c>
      <c r="DTF1573">
        <v>1</v>
      </c>
      <c r="EDG1573">
        <f>SUMPRODUCT(Constraint_1567,Decision_variables)</f>
        <v>0</v>
      </c>
      <c r="EDH1573" t="s">
        <v>5265</v>
      </c>
      <c r="EDI1573">
        <v>1</v>
      </c>
    </row>
    <row r="1574" spans="2:2 1510:1525 3226:3493" x14ac:dyDescent="0.3">
      <c r="B1574" t="s">
        <v>5059</v>
      </c>
      <c r="BFG1574">
        <v>1</v>
      </c>
      <c r="DTG1574">
        <v>1</v>
      </c>
      <c r="EDG1574">
        <f>SUMPRODUCT(Constraint_1568,Decision_variables)</f>
        <v>0</v>
      </c>
      <c r="EDH1574" t="s">
        <v>5265</v>
      </c>
      <c r="EDI1574">
        <v>1</v>
      </c>
    </row>
    <row r="1575" spans="2:2 1510:1525 3226:3493" x14ac:dyDescent="0.3">
      <c r="B1575" t="s">
        <v>5060</v>
      </c>
      <c r="BFH1575">
        <v>1</v>
      </c>
      <c r="DTH1575">
        <v>1</v>
      </c>
      <c r="EDG1575">
        <f>SUMPRODUCT(Constraint_1569,Decision_variables)</f>
        <v>0</v>
      </c>
      <c r="EDH1575" t="s">
        <v>5265</v>
      </c>
      <c r="EDI1575">
        <v>1</v>
      </c>
    </row>
    <row r="1576" spans="2:2 1510:1525 3226:3493" x14ac:dyDescent="0.3">
      <c r="B1576" t="s">
        <v>5061</v>
      </c>
      <c r="BFI1576">
        <v>1</v>
      </c>
      <c r="DTI1576">
        <v>1</v>
      </c>
      <c r="EDG1576">
        <f>SUMPRODUCT(Constraint_1570,Decision_variables)</f>
        <v>0</v>
      </c>
      <c r="EDH1576" t="s">
        <v>5265</v>
      </c>
      <c r="EDI1576">
        <v>1</v>
      </c>
    </row>
    <row r="1577" spans="2:2 1510:1525 3226:3493" x14ac:dyDescent="0.3">
      <c r="B1577" t="s">
        <v>5062</v>
      </c>
      <c r="BFJ1577">
        <v>1</v>
      </c>
      <c r="DTJ1577">
        <v>1</v>
      </c>
      <c r="EDG1577">
        <f>SUMPRODUCT(Constraint_1571,Decision_variables)</f>
        <v>0</v>
      </c>
      <c r="EDH1577" t="s">
        <v>5265</v>
      </c>
      <c r="EDI1577">
        <v>1</v>
      </c>
    </row>
    <row r="1578" spans="2:2 1510:1525 3226:3493" x14ac:dyDescent="0.3">
      <c r="B1578" t="s">
        <v>5063</v>
      </c>
      <c r="BFK1578">
        <v>1</v>
      </c>
      <c r="DTK1578">
        <v>1</v>
      </c>
      <c r="EDG1578">
        <f>SUMPRODUCT(Constraint_1572,Decision_variables)</f>
        <v>0</v>
      </c>
      <c r="EDH1578" t="s">
        <v>5265</v>
      </c>
      <c r="EDI1578">
        <v>1</v>
      </c>
    </row>
    <row r="1579" spans="2:2 1510:1525 3226:3493" x14ac:dyDescent="0.3">
      <c r="B1579" t="s">
        <v>5064</v>
      </c>
      <c r="BFL1579">
        <v>1</v>
      </c>
      <c r="DTL1579">
        <v>1</v>
      </c>
      <c r="EDG1579">
        <f>SUMPRODUCT(Constraint_1573,Decision_variables)</f>
        <v>0</v>
      </c>
      <c r="EDH1579" t="s">
        <v>5265</v>
      </c>
      <c r="EDI1579">
        <v>1</v>
      </c>
    </row>
    <row r="1580" spans="2:2 1510:1525 3226:3493" x14ac:dyDescent="0.3">
      <c r="B1580" t="s">
        <v>5065</v>
      </c>
      <c r="BFM1580">
        <v>1</v>
      </c>
      <c r="DTM1580">
        <v>1</v>
      </c>
      <c r="EDG1580">
        <f>SUMPRODUCT(Constraint_1574,Decision_variables)</f>
        <v>0</v>
      </c>
      <c r="EDH1580" t="s">
        <v>5265</v>
      </c>
      <c r="EDI1580">
        <v>1</v>
      </c>
    </row>
    <row r="1581" spans="2:2 1510:1525 3226:3493" x14ac:dyDescent="0.3">
      <c r="B1581" t="s">
        <v>5066</v>
      </c>
      <c r="BFN1581">
        <v>1</v>
      </c>
      <c r="DTN1581">
        <v>1</v>
      </c>
      <c r="EDG1581">
        <f>SUMPRODUCT(Constraint_1575,Decision_variables)</f>
        <v>0</v>
      </c>
      <c r="EDH1581" t="s">
        <v>5265</v>
      </c>
      <c r="EDI1581">
        <v>1</v>
      </c>
    </row>
    <row r="1582" spans="2:2 1510:1525 3226:3493" x14ac:dyDescent="0.3">
      <c r="B1582" t="s">
        <v>5067</v>
      </c>
      <c r="BFO1582">
        <v>1</v>
      </c>
      <c r="DTO1582">
        <v>1</v>
      </c>
      <c r="EDG1582">
        <f>SUMPRODUCT(Constraint_1576,Decision_variables)</f>
        <v>0</v>
      </c>
      <c r="EDH1582" t="s">
        <v>5265</v>
      </c>
      <c r="EDI1582">
        <v>1</v>
      </c>
    </row>
    <row r="1583" spans="2:2 1510:1525 3226:3493" x14ac:dyDescent="0.3">
      <c r="B1583" t="s">
        <v>5068</v>
      </c>
      <c r="BFP1583">
        <v>1</v>
      </c>
      <c r="DTP1583">
        <v>1</v>
      </c>
      <c r="EDG1583">
        <f>SUMPRODUCT(Constraint_1577,Decision_variables)</f>
        <v>0</v>
      </c>
      <c r="EDH1583" t="s">
        <v>5265</v>
      </c>
      <c r="EDI1583">
        <v>1</v>
      </c>
    </row>
    <row r="1584" spans="2:2 1510:1525 3226:3493" x14ac:dyDescent="0.3">
      <c r="B1584" t="s">
        <v>5069</v>
      </c>
      <c r="BFQ1584">
        <v>1</v>
      </c>
      <c r="DTQ1584">
        <v>1</v>
      </c>
      <c r="EDG1584">
        <f>SUMPRODUCT(Constraint_1578,Decision_variables)</f>
        <v>0</v>
      </c>
      <c r="EDH1584" t="s">
        <v>5265</v>
      </c>
      <c r="EDI1584">
        <v>1</v>
      </c>
    </row>
    <row r="1585" spans="2:2 1526:1541 3242:3493" x14ac:dyDescent="0.3">
      <c r="B1585" t="s">
        <v>5070</v>
      </c>
      <c r="BFR1585">
        <v>1</v>
      </c>
      <c r="DTR1585">
        <v>1</v>
      </c>
      <c r="EDG1585">
        <f>SUMPRODUCT(Constraint_1579,Decision_variables)</f>
        <v>0</v>
      </c>
      <c r="EDH1585" t="s">
        <v>5265</v>
      </c>
      <c r="EDI1585">
        <v>1</v>
      </c>
    </row>
    <row r="1586" spans="2:2 1526:1541 3242:3493" x14ac:dyDescent="0.3">
      <c r="B1586" t="s">
        <v>5071</v>
      </c>
      <c r="BFS1586">
        <v>1</v>
      </c>
      <c r="DTS1586">
        <v>1</v>
      </c>
      <c r="EDG1586">
        <f>SUMPRODUCT(Constraint_1580,Decision_variables)</f>
        <v>0</v>
      </c>
      <c r="EDH1586" t="s">
        <v>5265</v>
      </c>
      <c r="EDI1586">
        <v>1</v>
      </c>
    </row>
    <row r="1587" spans="2:2 1526:1541 3242:3493" x14ac:dyDescent="0.3">
      <c r="B1587" t="s">
        <v>5072</v>
      </c>
      <c r="BFT1587">
        <v>1</v>
      </c>
      <c r="DTT1587">
        <v>1</v>
      </c>
      <c r="EDG1587">
        <f>SUMPRODUCT(Constraint_1581,Decision_variables)</f>
        <v>0</v>
      </c>
      <c r="EDH1587" t="s">
        <v>5265</v>
      </c>
      <c r="EDI1587">
        <v>1</v>
      </c>
    </row>
    <row r="1588" spans="2:2 1526:1541 3242:3493" x14ac:dyDescent="0.3">
      <c r="B1588" t="s">
        <v>5073</v>
      </c>
      <c r="BFU1588">
        <v>1</v>
      </c>
      <c r="DTU1588">
        <v>1</v>
      </c>
      <c r="EDG1588">
        <f>SUMPRODUCT(Constraint_1582,Decision_variables)</f>
        <v>0</v>
      </c>
      <c r="EDH1588" t="s">
        <v>5265</v>
      </c>
      <c r="EDI1588">
        <v>1</v>
      </c>
    </row>
    <row r="1589" spans="2:2 1526:1541 3242:3493" x14ac:dyDescent="0.3">
      <c r="B1589" t="s">
        <v>5074</v>
      </c>
      <c r="BFV1589">
        <v>1</v>
      </c>
      <c r="DTV1589">
        <v>1</v>
      </c>
      <c r="EDG1589">
        <f>SUMPRODUCT(Constraint_1583,Decision_variables)</f>
        <v>0</v>
      </c>
      <c r="EDH1589" t="s">
        <v>5265</v>
      </c>
      <c r="EDI1589">
        <v>1</v>
      </c>
    </row>
    <row r="1590" spans="2:2 1526:1541 3242:3493" x14ac:dyDescent="0.3">
      <c r="B1590" t="s">
        <v>5075</v>
      </c>
      <c r="BFW1590">
        <v>1</v>
      </c>
      <c r="DTW1590">
        <v>1</v>
      </c>
      <c r="EDG1590">
        <f>SUMPRODUCT(Constraint_1584,Decision_variables)</f>
        <v>0</v>
      </c>
      <c r="EDH1590" t="s">
        <v>5265</v>
      </c>
      <c r="EDI1590">
        <v>1</v>
      </c>
    </row>
    <row r="1591" spans="2:2 1526:1541 3242:3493" x14ac:dyDescent="0.3">
      <c r="B1591" t="s">
        <v>5076</v>
      </c>
      <c r="BFX1591">
        <v>1</v>
      </c>
      <c r="DTX1591">
        <v>1</v>
      </c>
      <c r="EDG1591">
        <f>SUMPRODUCT(Constraint_1585,Decision_variables)</f>
        <v>0</v>
      </c>
      <c r="EDH1591" t="s">
        <v>5265</v>
      </c>
      <c r="EDI1591">
        <v>1</v>
      </c>
    </row>
    <row r="1592" spans="2:2 1526:1541 3242:3493" x14ac:dyDescent="0.3">
      <c r="B1592" t="s">
        <v>5077</v>
      </c>
      <c r="BFY1592">
        <v>1</v>
      </c>
      <c r="DTY1592">
        <v>1</v>
      </c>
      <c r="EDG1592">
        <f>SUMPRODUCT(Constraint_1586,Decision_variables)</f>
        <v>0</v>
      </c>
      <c r="EDH1592" t="s">
        <v>5265</v>
      </c>
      <c r="EDI1592">
        <v>1</v>
      </c>
    </row>
    <row r="1593" spans="2:2 1526:1541 3242:3493" x14ac:dyDescent="0.3">
      <c r="B1593" t="s">
        <v>5078</v>
      </c>
      <c r="BFZ1593">
        <v>1</v>
      </c>
      <c r="DTZ1593">
        <v>1</v>
      </c>
      <c r="EDG1593">
        <f>SUMPRODUCT(Constraint_1587,Decision_variables)</f>
        <v>0</v>
      </c>
      <c r="EDH1593" t="s">
        <v>5265</v>
      </c>
      <c r="EDI1593">
        <v>1</v>
      </c>
    </row>
    <row r="1594" spans="2:2 1526:1541 3242:3493" x14ac:dyDescent="0.3">
      <c r="B1594" t="s">
        <v>5079</v>
      </c>
      <c r="BGA1594">
        <v>1</v>
      </c>
      <c r="DUA1594">
        <v>1</v>
      </c>
      <c r="EDG1594">
        <f>SUMPRODUCT(Constraint_1588,Decision_variables)</f>
        <v>0</v>
      </c>
      <c r="EDH1594" t="s">
        <v>5265</v>
      </c>
      <c r="EDI1594">
        <v>1</v>
      </c>
    </row>
    <row r="1595" spans="2:2 1526:1541 3242:3493" x14ac:dyDescent="0.3">
      <c r="B1595" t="s">
        <v>5080</v>
      </c>
      <c r="BGB1595">
        <v>1</v>
      </c>
      <c r="DUB1595">
        <v>1</v>
      </c>
      <c r="EDG1595">
        <f>SUMPRODUCT(Constraint_1589,Decision_variables)</f>
        <v>0</v>
      </c>
      <c r="EDH1595" t="s">
        <v>5265</v>
      </c>
      <c r="EDI1595">
        <v>1</v>
      </c>
    </row>
    <row r="1596" spans="2:2 1526:1541 3242:3493" x14ac:dyDescent="0.3">
      <c r="B1596" t="s">
        <v>5081</v>
      </c>
      <c r="BGC1596">
        <v>1</v>
      </c>
      <c r="DUC1596">
        <v>1</v>
      </c>
      <c r="EDG1596">
        <f>SUMPRODUCT(Constraint_1590,Decision_variables)</f>
        <v>0</v>
      </c>
      <c r="EDH1596" t="s">
        <v>5265</v>
      </c>
      <c r="EDI1596">
        <v>1</v>
      </c>
    </row>
    <row r="1597" spans="2:2 1526:1541 3242:3493" x14ac:dyDescent="0.3">
      <c r="B1597" t="s">
        <v>5082</v>
      </c>
      <c r="BGD1597">
        <v>1</v>
      </c>
      <c r="DUD1597">
        <v>1</v>
      </c>
      <c r="EDG1597">
        <f>SUMPRODUCT(Constraint_1591,Decision_variables)</f>
        <v>0</v>
      </c>
      <c r="EDH1597" t="s">
        <v>5265</v>
      </c>
      <c r="EDI1597">
        <v>1</v>
      </c>
    </row>
    <row r="1598" spans="2:2 1526:1541 3242:3493" x14ac:dyDescent="0.3">
      <c r="B1598" t="s">
        <v>5083</v>
      </c>
      <c r="BGE1598">
        <v>1</v>
      </c>
      <c r="DUE1598">
        <v>1</v>
      </c>
      <c r="EDG1598">
        <f>SUMPRODUCT(Constraint_1592,Decision_variables)</f>
        <v>0</v>
      </c>
      <c r="EDH1598" t="s">
        <v>5265</v>
      </c>
      <c r="EDI1598">
        <v>1</v>
      </c>
    </row>
    <row r="1599" spans="2:2 1526:1541 3242:3493" x14ac:dyDescent="0.3">
      <c r="B1599" t="s">
        <v>5084</v>
      </c>
      <c r="BGF1599">
        <v>1</v>
      </c>
      <c r="DUF1599">
        <v>1</v>
      </c>
      <c r="EDG1599">
        <f>SUMPRODUCT(Constraint_1593,Decision_variables)</f>
        <v>0</v>
      </c>
      <c r="EDH1599" t="s">
        <v>5265</v>
      </c>
      <c r="EDI1599">
        <v>1</v>
      </c>
    </row>
    <row r="1600" spans="2:2 1526:1541 3242:3493" x14ac:dyDescent="0.3">
      <c r="B1600" t="s">
        <v>5085</v>
      </c>
      <c r="BGG1600">
        <v>1</v>
      </c>
      <c r="DUG1600">
        <v>1</v>
      </c>
      <c r="EDG1600">
        <f>SUMPRODUCT(Constraint_1594,Decision_variables)</f>
        <v>0</v>
      </c>
      <c r="EDH1600" t="s">
        <v>5265</v>
      </c>
      <c r="EDI1600">
        <v>1</v>
      </c>
    </row>
    <row r="1601" spans="2:2 1542:1557 3258:3493" x14ac:dyDescent="0.3">
      <c r="B1601" t="s">
        <v>5086</v>
      </c>
      <c r="BGH1601">
        <v>1</v>
      </c>
      <c r="DUH1601">
        <v>1</v>
      </c>
      <c r="EDG1601">
        <f>SUMPRODUCT(Constraint_1595,Decision_variables)</f>
        <v>0</v>
      </c>
      <c r="EDH1601" t="s">
        <v>5265</v>
      </c>
      <c r="EDI1601">
        <v>1</v>
      </c>
    </row>
    <row r="1602" spans="2:2 1542:1557 3258:3493" x14ac:dyDescent="0.3">
      <c r="B1602" t="s">
        <v>5087</v>
      </c>
      <c r="BGI1602">
        <v>1</v>
      </c>
      <c r="DUI1602">
        <v>1</v>
      </c>
      <c r="EDG1602">
        <f>SUMPRODUCT(Constraint_1596,Decision_variables)</f>
        <v>0</v>
      </c>
      <c r="EDH1602" t="s">
        <v>5265</v>
      </c>
      <c r="EDI1602">
        <v>1</v>
      </c>
    </row>
    <row r="1603" spans="2:2 1542:1557 3258:3493" x14ac:dyDescent="0.3">
      <c r="B1603" t="s">
        <v>5088</v>
      </c>
      <c r="BGJ1603">
        <v>1</v>
      </c>
      <c r="DUJ1603">
        <v>1</v>
      </c>
      <c r="EDG1603">
        <f>SUMPRODUCT(Constraint_1597,Decision_variables)</f>
        <v>0</v>
      </c>
      <c r="EDH1603" t="s">
        <v>5265</v>
      </c>
      <c r="EDI1603">
        <v>1</v>
      </c>
    </row>
    <row r="1604" spans="2:2 1542:1557 3258:3493" x14ac:dyDescent="0.3">
      <c r="B1604" t="s">
        <v>5089</v>
      </c>
      <c r="BGK1604">
        <v>1</v>
      </c>
      <c r="DUK1604">
        <v>1</v>
      </c>
      <c r="EDG1604">
        <f>SUMPRODUCT(Constraint_1598,Decision_variables)</f>
        <v>0</v>
      </c>
      <c r="EDH1604" t="s">
        <v>5265</v>
      </c>
      <c r="EDI1604">
        <v>1</v>
      </c>
    </row>
    <row r="1605" spans="2:2 1542:1557 3258:3493" x14ac:dyDescent="0.3">
      <c r="B1605" t="s">
        <v>5090</v>
      </c>
      <c r="BGL1605">
        <v>1</v>
      </c>
      <c r="DUL1605">
        <v>1</v>
      </c>
      <c r="EDG1605">
        <f>SUMPRODUCT(Constraint_1599,Decision_variables)</f>
        <v>0</v>
      </c>
      <c r="EDH1605" t="s">
        <v>5265</v>
      </c>
      <c r="EDI1605">
        <v>1</v>
      </c>
    </row>
    <row r="1606" spans="2:2 1542:1557 3258:3493" x14ac:dyDescent="0.3">
      <c r="B1606" t="s">
        <v>5091</v>
      </c>
      <c r="BGM1606">
        <v>1</v>
      </c>
      <c r="DUM1606">
        <v>1</v>
      </c>
      <c r="EDG1606">
        <f>SUMPRODUCT(Constraint_1600,Decision_variables)</f>
        <v>0</v>
      </c>
      <c r="EDH1606" t="s">
        <v>5265</v>
      </c>
      <c r="EDI1606">
        <v>1</v>
      </c>
    </row>
    <row r="1607" spans="2:2 1542:1557 3258:3493" x14ac:dyDescent="0.3">
      <c r="B1607" t="s">
        <v>5092</v>
      </c>
      <c r="BGN1607">
        <v>1</v>
      </c>
      <c r="DUN1607">
        <v>1</v>
      </c>
      <c r="EDG1607">
        <f>SUMPRODUCT(Constraint_1601,Decision_variables)</f>
        <v>0</v>
      </c>
      <c r="EDH1607" t="s">
        <v>5265</v>
      </c>
      <c r="EDI1607">
        <v>1</v>
      </c>
    </row>
    <row r="1608" spans="2:2 1542:1557 3258:3493" x14ac:dyDescent="0.3">
      <c r="B1608" t="s">
        <v>5093</v>
      </c>
      <c r="BGO1608">
        <v>1</v>
      </c>
      <c r="DUO1608">
        <v>1</v>
      </c>
      <c r="EDG1608">
        <f>SUMPRODUCT(Constraint_1602,Decision_variables)</f>
        <v>0</v>
      </c>
      <c r="EDH1608" t="s">
        <v>5265</v>
      </c>
      <c r="EDI1608">
        <v>1</v>
      </c>
    </row>
    <row r="1609" spans="2:2 1542:1557 3258:3493" x14ac:dyDescent="0.3">
      <c r="B1609" t="s">
        <v>5094</v>
      </c>
      <c r="BGP1609">
        <v>1</v>
      </c>
      <c r="DUP1609">
        <v>1</v>
      </c>
      <c r="EDG1609">
        <f>SUMPRODUCT(Constraint_1603,Decision_variables)</f>
        <v>0</v>
      </c>
      <c r="EDH1609" t="s">
        <v>5265</v>
      </c>
      <c r="EDI1609">
        <v>1</v>
      </c>
    </row>
    <row r="1610" spans="2:2 1542:1557 3258:3493" x14ac:dyDescent="0.3">
      <c r="B1610" t="s">
        <v>5095</v>
      </c>
      <c r="BGQ1610">
        <v>1</v>
      </c>
      <c r="DUQ1610">
        <v>1</v>
      </c>
      <c r="EDG1610">
        <f>SUMPRODUCT(Constraint_1604,Decision_variables)</f>
        <v>0</v>
      </c>
      <c r="EDH1610" t="s">
        <v>5265</v>
      </c>
      <c r="EDI1610">
        <v>1</v>
      </c>
    </row>
    <row r="1611" spans="2:2 1542:1557 3258:3493" x14ac:dyDescent="0.3">
      <c r="B1611" t="s">
        <v>5096</v>
      </c>
      <c r="BGR1611">
        <v>1</v>
      </c>
      <c r="DUR1611">
        <v>1</v>
      </c>
      <c r="EDG1611">
        <f>SUMPRODUCT(Constraint_1605,Decision_variables)</f>
        <v>0</v>
      </c>
      <c r="EDH1611" t="s">
        <v>5265</v>
      </c>
      <c r="EDI1611">
        <v>1</v>
      </c>
    </row>
    <row r="1612" spans="2:2 1542:1557 3258:3493" x14ac:dyDescent="0.3">
      <c r="B1612" t="s">
        <v>5097</v>
      </c>
      <c r="BGS1612">
        <v>1</v>
      </c>
      <c r="DUS1612">
        <v>1</v>
      </c>
      <c r="EDG1612">
        <f>SUMPRODUCT(Constraint_1606,Decision_variables)</f>
        <v>0</v>
      </c>
      <c r="EDH1612" t="s">
        <v>5265</v>
      </c>
      <c r="EDI1612">
        <v>1</v>
      </c>
    </row>
    <row r="1613" spans="2:2 1542:1557 3258:3493" x14ac:dyDescent="0.3">
      <c r="B1613" t="s">
        <v>5098</v>
      </c>
      <c r="BGT1613">
        <v>1</v>
      </c>
      <c r="DUT1613">
        <v>1</v>
      </c>
      <c r="EDG1613">
        <f>SUMPRODUCT(Constraint_1607,Decision_variables)</f>
        <v>0</v>
      </c>
      <c r="EDH1613" t="s">
        <v>5265</v>
      </c>
      <c r="EDI1613">
        <v>1</v>
      </c>
    </row>
    <row r="1614" spans="2:2 1542:1557 3258:3493" x14ac:dyDescent="0.3">
      <c r="B1614" t="s">
        <v>5099</v>
      </c>
      <c r="BGU1614">
        <v>1</v>
      </c>
      <c r="DUU1614">
        <v>1</v>
      </c>
      <c r="EDG1614">
        <f>SUMPRODUCT(Constraint_1608,Decision_variables)</f>
        <v>0</v>
      </c>
      <c r="EDH1614" t="s">
        <v>5265</v>
      </c>
      <c r="EDI1614">
        <v>1</v>
      </c>
    </row>
    <row r="1615" spans="2:2 1542:1557 3258:3493" x14ac:dyDescent="0.3">
      <c r="B1615" t="s">
        <v>5100</v>
      </c>
      <c r="BGV1615">
        <v>1</v>
      </c>
      <c r="DUV1615">
        <v>1</v>
      </c>
      <c r="EDG1615">
        <f>SUMPRODUCT(Constraint_1609,Decision_variables)</f>
        <v>0</v>
      </c>
      <c r="EDH1615" t="s">
        <v>5265</v>
      </c>
      <c r="EDI1615">
        <v>1</v>
      </c>
    </row>
    <row r="1616" spans="2:2 1542:1557 3258:3493" x14ac:dyDescent="0.3">
      <c r="B1616" t="s">
        <v>5101</v>
      </c>
      <c r="BGW1616">
        <v>1</v>
      </c>
      <c r="DUW1616">
        <v>1</v>
      </c>
      <c r="EDG1616">
        <f>SUMPRODUCT(Constraint_1610,Decision_variables)</f>
        <v>0</v>
      </c>
      <c r="EDH1616" t="s">
        <v>5265</v>
      </c>
      <c r="EDI1616">
        <v>1</v>
      </c>
    </row>
    <row r="1617" spans="2:2 1558:1573 3274:3493" x14ac:dyDescent="0.3">
      <c r="B1617" t="s">
        <v>5102</v>
      </c>
      <c r="BGX1617">
        <v>1</v>
      </c>
      <c r="DUX1617">
        <v>1</v>
      </c>
      <c r="EDG1617">
        <f>SUMPRODUCT(Constraint_1611,Decision_variables)</f>
        <v>0</v>
      </c>
      <c r="EDH1617" t="s">
        <v>5265</v>
      </c>
      <c r="EDI1617">
        <v>1</v>
      </c>
    </row>
    <row r="1618" spans="2:2 1558:1573 3274:3493" x14ac:dyDescent="0.3">
      <c r="B1618" t="s">
        <v>5103</v>
      </c>
      <c r="BGY1618">
        <v>1</v>
      </c>
      <c r="DUY1618">
        <v>1</v>
      </c>
      <c r="EDG1618">
        <f>SUMPRODUCT(Constraint_1612,Decision_variables)</f>
        <v>0</v>
      </c>
      <c r="EDH1618" t="s">
        <v>5265</v>
      </c>
      <c r="EDI1618">
        <v>1</v>
      </c>
    </row>
    <row r="1619" spans="2:2 1558:1573 3274:3493" x14ac:dyDescent="0.3">
      <c r="B1619" t="s">
        <v>5104</v>
      </c>
      <c r="BGZ1619">
        <v>1</v>
      </c>
      <c r="DUZ1619">
        <v>1</v>
      </c>
      <c r="EDG1619">
        <f>SUMPRODUCT(Constraint_1613,Decision_variables)</f>
        <v>0</v>
      </c>
      <c r="EDH1619" t="s">
        <v>5265</v>
      </c>
      <c r="EDI1619">
        <v>1</v>
      </c>
    </row>
    <row r="1620" spans="2:2 1558:1573 3274:3493" x14ac:dyDescent="0.3">
      <c r="B1620" t="s">
        <v>5105</v>
      </c>
      <c r="BHA1620">
        <v>1</v>
      </c>
      <c r="DVA1620">
        <v>1</v>
      </c>
      <c r="EDG1620">
        <f>SUMPRODUCT(Constraint_1614,Decision_variables)</f>
        <v>0</v>
      </c>
      <c r="EDH1620" t="s">
        <v>5265</v>
      </c>
      <c r="EDI1620">
        <v>1</v>
      </c>
    </row>
    <row r="1621" spans="2:2 1558:1573 3274:3493" x14ac:dyDescent="0.3">
      <c r="B1621" t="s">
        <v>5106</v>
      </c>
      <c r="BHB1621">
        <v>1</v>
      </c>
      <c r="DVB1621">
        <v>1</v>
      </c>
      <c r="EDG1621">
        <f>SUMPRODUCT(Constraint_1615,Decision_variables)</f>
        <v>0</v>
      </c>
      <c r="EDH1621" t="s">
        <v>5265</v>
      </c>
      <c r="EDI1621">
        <v>1</v>
      </c>
    </row>
    <row r="1622" spans="2:2 1558:1573 3274:3493" x14ac:dyDescent="0.3">
      <c r="B1622" t="s">
        <v>5107</v>
      </c>
      <c r="BHC1622">
        <v>1</v>
      </c>
      <c r="DVC1622">
        <v>1</v>
      </c>
      <c r="EDG1622">
        <f>SUMPRODUCT(Constraint_1616,Decision_variables)</f>
        <v>0</v>
      </c>
      <c r="EDH1622" t="s">
        <v>5265</v>
      </c>
      <c r="EDI1622">
        <v>1</v>
      </c>
    </row>
    <row r="1623" spans="2:2 1558:1573 3274:3493" x14ac:dyDescent="0.3">
      <c r="B1623" t="s">
        <v>5108</v>
      </c>
      <c r="BHD1623">
        <v>1</v>
      </c>
      <c r="DVD1623">
        <v>1</v>
      </c>
      <c r="EDG1623">
        <f>SUMPRODUCT(Constraint_1617,Decision_variables)</f>
        <v>0</v>
      </c>
      <c r="EDH1623" t="s">
        <v>5265</v>
      </c>
      <c r="EDI1623">
        <v>1</v>
      </c>
    </row>
    <row r="1624" spans="2:2 1558:1573 3274:3493" x14ac:dyDescent="0.3">
      <c r="B1624" t="s">
        <v>5109</v>
      </c>
      <c r="BHE1624">
        <v>1</v>
      </c>
      <c r="DVE1624">
        <v>1</v>
      </c>
      <c r="EDG1624">
        <f>SUMPRODUCT(Constraint_1618,Decision_variables)</f>
        <v>0</v>
      </c>
      <c r="EDH1624" t="s">
        <v>5265</v>
      </c>
      <c r="EDI1624">
        <v>1</v>
      </c>
    </row>
    <row r="1625" spans="2:2 1558:1573 3274:3493" x14ac:dyDescent="0.3">
      <c r="B1625" t="s">
        <v>5110</v>
      </c>
      <c r="BHF1625">
        <v>1</v>
      </c>
      <c r="DVF1625">
        <v>1</v>
      </c>
      <c r="EDG1625">
        <f>SUMPRODUCT(Constraint_1619,Decision_variables)</f>
        <v>0</v>
      </c>
      <c r="EDH1625" t="s">
        <v>5265</v>
      </c>
      <c r="EDI1625">
        <v>1</v>
      </c>
    </row>
    <row r="1626" spans="2:2 1558:1573 3274:3493" x14ac:dyDescent="0.3">
      <c r="B1626" t="s">
        <v>5111</v>
      </c>
      <c r="BHG1626">
        <v>1</v>
      </c>
      <c r="DVG1626">
        <v>1</v>
      </c>
      <c r="EDG1626">
        <f>SUMPRODUCT(Constraint_1620,Decision_variables)</f>
        <v>0</v>
      </c>
      <c r="EDH1626" t="s">
        <v>5265</v>
      </c>
      <c r="EDI1626">
        <v>1</v>
      </c>
    </row>
    <row r="1627" spans="2:2 1558:1573 3274:3493" x14ac:dyDescent="0.3">
      <c r="B1627" t="s">
        <v>5112</v>
      </c>
      <c r="BHH1627">
        <v>1</v>
      </c>
      <c r="DVH1627">
        <v>1</v>
      </c>
      <c r="EDG1627">
        <f>SUMPRODUCT(Constraint_1621,Decision_variables)</f>
        <v>0</v>
      </c>
      <c r="EDH1627" t="s">
        <v>5265</v>
      </c>
      <c r="EDI1627">
        <v>1</v>
      </c>
    </row>
    <row r="1628" spans="2:2 1558:1573 3274:3493" x14ac:dyDescent="0.3">
      <c r="B1628" t="s">
        <v>5113</v>
      </c>
      <c r="BHI1628">
        <v>1</v>
      </c>
      <c r="DVI1628">
        <v>1</v>
      </c>
      <c r="EDG1628">
        <f>SUMPRODUCT(Constraint_1622,Decision_variables)</f>
        <v>0</v>
      </c>
      <c r="EDH1628" t="s">
        <v>5265</v>
      </c>
      <c r="EDI1628">
        <v>1</v>
      </c>
    </row>
    <row r="1629" spans="2:2 1558:1573 3274:3493" x14ac:dyDescent="0.3">
      <c r="B1629" t="s">
        <v>5114</v>
      </c>
      <c r="BHJ1629">
        <v>1</v>
      </c>
      <c r="DVJ1629">
        <v>1</v>
      </c>
      <c r="EDG1629">
        <f>SUMPRODUCT(Constraint_1623,Decision_variables)</f>
        <v>0</v>
      </c>
      <c r="EDH1629" t="s">
        <v>5265</v>
      </c>
      <c r="EDI1629">
        <v>1</v>
      </c>
    </row>
    <row r="1630" spans="2:2 1558:1573 3274:3493" x14ac:dyDescent="0.3">
      <c r="B1630" t="s">
        <v>5115</v>
      </c>
      <c r="BHK1630">
        <v>1</v>
      </c>
      <c r="DVK1630">
        <v>1</v>
      </c>
      <c r="EDG1630">
        <f>SUMPRODUCT(Constraint_1624,Decision_variables)</f>
        <v>0</v>
      </c>
      <c r="EDH1630" t="s">
        <v>5265</v>
      </c>
      <c r="EDI1630">
        <v>1</v>
      </c>
    </row>
    <row r="1631" spans="2:2 1558:1573 3274:3493" x14ac:dyDescent="0.3">
      <c r="B1631" t="s">
        <v>5116</v>
      </c>
      <c r="BHL1631">
        <v>1</v>
      </c>
      <c r="DVL1631">
        <v>1</v>
      </c>
      <c r="EDG1631">
        <f>SUMPRODUCT(Constraint_1625,Decision_variables)</f>
        <v>0</v>
      </c>
      <c r="EDH1631" t="s">
        <v>5265</v>
      </c>
      <c r="EDI1631">
        <v>1</v>
      </c>
    </row>
    <row r="1632" spans="2:2 1558:1573 3274:3493" x14ac:dyDescent="0.3">
      <c r="B1632" t="s">
        <v>5117</v>
      </c>
      <c r="BHM1632">
        <v>1</v>
      </c>
      <c r="DVM1632">
        <v>1</v>
      </c>
      <c r="EDG1632">
        <f>SUMPRODUCT(Constraint_1626,Decision_variables)</f>
        <v>0</v>
      </c>
      <c r="EDH1632" t="s">
        <v>5265</v>
      </c>
      <c r="EDI1632">
        <v>1</v>
      </c>
    </row>
    <row r="1633" spans="2:2 1574:1589 3290:3493" x14ac:dyDescent="0.3">
      <c r="B1633" t="s">
        <v>5118</v>
      </c>
      <c r="BHN1633">
        <v>1</v>
      </c>
      <c r="DVN1633">
        <v>1</v>
      </c>
      <c r="EDG1633">
        <f>SUMPRODUCT(Constraint_1627,Decision_variables)</f>
        <v>0</v>
      </c>
      <c r="EDH1633" t="s">
        <v>5265</v>
      </c>
      <c r="EDI1633">
        <v>1</v>
      </c>
    </row>
    <row r="1634" spans="2:2 1574:1589 3290:3493" x14ac:dyDescent="0.3">
      <c r="B1634" t="s">
        <v>5119</v>
      </c>
      <c r="BHO1634">
        <v>1</v>
      </c>
      <c r="DVO1634">
        <v>1</v>
      </c>
      <c r="EDG1634">
        <f>SUMPRODUCT(Constraint_1628,Decision_variables)</f>
        <v>0</v>
      </c>
      <c r="EDH1634" t="s">
        <v>5265</v>
      </c>
      <c r="EDI1634">
        <v>1</v>
      </c>
    </row>
    <row r="1635" spans="2:2 1574:1589 3290:3493" x14ac:dyDescent="0.3">
      <c r="B1635" t="s">
        <v>5120</v>
      </c>
      <c r="BHP1635">
        <v>1</v>
      </c>
      <c r="DVP1635">
        <v>1</v>
      </c>
      <c r="EDG1635">
        <f>SUMPRODUCT(Constraint_1629,Decision_variables)</f>
        <v>0</v>
      </c>
      <c r="EDH1635" t="s">
        <v>5265</v>
      </c>
      <c r="EDI1635">
        <v>1</v>
      </c>
    </row>
    <row r="1636" spans="2:2 1574:1589 3290:3493" x14ac:dyDescent="0.3">
      <c r="B1636" t="s">
        <v>5121</v>
      </c>
      <c r="BHQ1636">
        <v>1</v>
      </c>
      <c r="DVQ1636">
        <v>1</v>
      </c>
      <c r="EDG1636">
        <f>SUMPRODUCT(Constraint_1630,Decision_variables)</f>
        <v>0</v>
      </c>
      <c r="EDH1636" t="s">
        <v>5265</v>
      </c>
      <c r="EDI1636">
        <v>1</v>
      </c>
    </row>
    <row r="1637" spans="2:2 1574:1589 3290:3493" x14ac:dyDescent="0.3">
      <c r="B1637" t="s">
        <v>5122</v>
      </c>
      <c r="BHR1637">
        <v>1</v>
      </c>
      <c r="DVR1637">
        <v>1</v>
      </c>
      <c r="EDG1637">
        <f>SUMPRODUCT(Constraint_1631,Decision_variables)</f>
        <v>0</v>
      </c>
      <c r="EDH1637" t="s">
        <v>5265</v>
      </c>
      <c r="EDI1637">
        <v>1</v>
      </c>
    </row>
    <row r="1638" spans="2:2 1574:1589 3290:3493" x14ac:dyDescent="0.3">
      <c r="B1638" t="s">
        <v>5123</v>
      </c>
      <c r="BHS1638">
        <v>1</v>
      </c>
      <c r="DVS1638">
        <v>1</v>
      </c>
      <c r="EDG1638">
        <f>SUMPRODUCT(Constraint_1632,Decision_variables)</f>
        <v>0</v>
      </c>
      <c r="EDH1638" t="s">
        <v>5265</v>
      </c>
      <c r="EDI1638">
        <v>1</v>
      </c>
    </row>
    <row r="1639" spans="2:2 1574:1589 3290:3493" x14ac:dyDescent="0.3">
      <c r="B1639" t="s">
        <v>5124</v>
      </c>
      <c r="BHT1639">
        <v>1</v>
      </c>
      <c r="DVT1639">
        <v>1</v>
      </c>
      <c r="EDG1639">
        <f>SUMPRODUCT(Constraint_1633,Decision_variables)</f>
        <v>0</v>
      </c>
      <c r="EDH1639" t="s">
        <v>5265</v>
      </c>
      <c r="EDI1639">
        <v>1</v>
      </c>
    </row>
    <row r="1640" spans="2:2 1574:1589 3290:3493" x14ac:dyDescent="0.3">
      <c r="B1640" t="s">
        <v>5125</v>
      </c>
      <c r="BHU1640">
        <v>1</v>
      </c>
      <c r="DVU1640">
        <v>1</v>
      </c>
      <c r="EDG1640">
        <f>SUMPRODUCT(Constraint_1634,Decision_variables)</f>
        <v>0</v>
      </c>
      <c r="EDH1640" t="s">
        <v>5265</v>
      </c>
      <c r="EDI1640">
        <v>1</v>
      </c>
    </row>
    <row r="1641" spans="2:2 1574:1589 3290:3493" x14ac:dyDescent="0.3">
      <c r="B1641" t="s">
        <v>5126</v>
      </c>
      <c r="BHV1641">
        <v>1</v>
      </c>
      <c r="DVV1641">
        <v>1</v>
      </c>
      <c r="EDG1641">
        <f>SUMPRODUCT(Constraint_1635,Decision_variables)</f>
        <v>0</v>
      </c>
      <c r="EDH1641" t="s">
        <v>5265</v>
      </c>
      <c r="EDI1641">
        <v>1</v>
      </c>
    </row>
    <row r="1642" spans="2:2 1574:1589 3290:3493" x14ac:dyDescent="0.3">
      <c r="B1642" t="s">
        <v>5127</v>
      </c>
      <c r="BHW1642">
        <v>1</v>
      </c>
      <c r="DVW1642">
        <v>1</v>
      </c>
      <c r="EDG1642">
        <f>SUMPRODUCT(Constraint_1636,Decision_variables)</f>
        <v>0</v>
      </c>
      <c r="EDH1642" t="s">
        <v>5265</v>
      </c>
      <c r="EDI1642">
        <v>1</v>
      </c>
    </row>
    <row r="1643" spans="2:2 1574:1589 3290:3493" x14ac:dyDescent="0.3">
      <c r="B1643" t="s">
        <v>5128</v>
      </c>
      <c r="BHX1643">
        <v>1</v>
      </c>
      <c r="DVX1643">
        <v>1</v>
      </c>
      <c r="EDG1643">
        <f>SUMPRODUCT(Constraint_1637,Decision_variables)</f>
        <v>0</v>
      </c>
      <c r="EDH1643" t="s">
        <v>5265</v>
      </c>
      <c r="EDI1643">
        <v>1</v>
      </c>
    </row>
    <row r="1644" spans="2:2 1574:1589 3290:3493" x14ac:dyDescent="0.3">
      <c r="B1644" t="s">
        <v>5129</v>
      </c>
      <c r="BHY1644">
        <v>1</v>
      </c>
      <c r="DVY1644">
        <v>1</v>
      </c>
      <c r="EDG1644">
        <f>SUMPRODUCT(Constraint_1638,Decision_variables)</f>
        <v>0</v>
      </c>
      <c r="EDH1644" t="s">
        <v>5265</v>
      </c>
      <c r="EDI1644">
        <v>1</v>
      </c>
    </row>
    <row r="1645" spans="2:2 1574:1589 3290:3493" x14ac:dyDescent="0.3">
      <c r="B1645" t="s">
        <v>5130</v>
      </c>
      <c r="BHZ1645">
        <v>1</v>
      </c>
      <c r="DVZ1645">
        <v>1</v>
      </c>
      <c r="EDG1645">
        <f>SUMPRODUCT(Constraint_1639,Decision_variables)</f>
        <v>0</v>
      </c>
      <c r="EDH1645" t="s">
        <v>5265</v>
      </c>
      <c r="EDI1645">
        <v>1</v>
      </c>
    </row>
    <row r="1646" spans="2:2 1574:1589 3290:3493" x14ac:dyDescent="0.3">
      <c r="B1646" t="s">
        <v>5131</v>
      </c>
      <c r="BIA1646">
        <v>1</v>
      </c>
      <c r="DWA1646">
        <v>1</v>
      </c>
      <c r="EDG1646">
        <f>SUMPRODUCT(Constraint_1640,Decision_variables)</f>
        <v>0</v>
      </c>
      <c r="EDH1646" t="s">
        <v>5265</v>
      </c>
      <c r="EDI1646">
        <v>1</v>
      </c>
    </row>
    <row r="1647" spans="2:2 1574:1589 3290:3493" x14ac:dyDescent="0.3">
      <c r="B1647" t="s">
        <v>5132</v>
      </c>
      <c r="BIB1647">
        <v>1</v>
      </c>
      <c r="DWB1647">
        <v>1</v>
      </c>
      <c r="EDG1647">
        <f>SUMPRODUCT(Constraint_1641,Decision_variables)</f>
        <v>0</v>
      </c>
      <c r="EDH1647" t="s">
        <v>5265</v>
      </c>
      <c r="EDI1647">
        <v>1</v>
      </c>
    </row>
    <row r="1648" spans="2:2 1574:1589 3290:3493" x14ac:dyDescent="0.3">
      <c r="B1648" t="s">
        <v>5133</v>
      </c>
      <c r="BIC1648">
        <v>1</v>
      </c>
      <c r="DWC1648">
        <v>1</v>
      </c>
      <c r="EDG1648">
        <f>SUMPRODUCT(Constraint_1642,Decision_variables)</f>
        <v>0</v>
      </c>
      <c r="EDH1648" t="s">
        <v>5265</v>
      </c>
      <c r="EDI1648">
        <v>1</v>
      </c>
    </row>
    <row r="1649" spans="2:2 1590:1605 3306:3493" x14ac:dyDescent="0.3">
      <c r="B1649" t="s">
        <v>5134</v>
      </c>
      <c r="BID1649">
        <v>1</v>
      </c>
      <c r="DWD1649">
        <v>1</v>
      </c>
      <c r="EDG1649">
        <f>SUMPRODUCT(Constraint_1643,Decision_variables)</f>
        <v>0</v>
      </c>
      <c r="EDH1649" t="s">
        <v>5265</v>
      </c>
      <c r="EDI1649">
        <v>1</v>
      </c>
    </row>
    <row r="1650" spans="2:2 1590:1605 3306:3493" x14ac:dyDescent="0.3">
      <c r="B1650" t="s">
        <v>5135</v>
      </c>
      <c r="BIE1650">
        <v>1</v>
      </c>
      <c r="DWE1650">
        <v>1</v>
      </c>
      <c r="EDG1650">
        <f>SUMPRODUCT(Constraint_1644,Decision_variables)</f>
        <v>0</v>
      </c>
      <c r="EDH1650" t="s">
        <v>5265</v>
      </c>
      <c r="EDI1650">
        <v>1</v>
      </c>
    </row>
    <row r="1651" spans="2:2 1590:1605 3306:3493" x14ac:dyDescent="0.3">
      <c r="B1651" t="s">
        <v>5136</v>
      </c>
      <c r="BIF1651">
        <v>1</v>
      </c>
      <c r="DWF1651">
        <v>1</v>
      </c>
      <c r="EDG1651">
        <f>SUMPRODUCT(Constraint_1645,Decision_variables)</f>
        <v>0</v>
      </c>
      <c r="EDH1651" t="s">
        <v>5265</v>
      </c>
      <c r="EDI1651">
        <v>1</v>
      </c>
    </row>
    <row r="1652" spans="2:2 1590:1605 3306:3493" x14ac:dyDescent="0.3">
      <c r="B1652" t="s">
        <v>5137</v>
      </c>
      <c r="BIG1652">
        <v>1</v>
      </c>
      <c r="DWG1652">
        <v>1</v>
      </c>
      <c r="EDG1652">
        <f>SUMPRODUCT(Constraint_1646,Decision_variables)</f>
        <v>0</v>
      </c>
      <c r="EDH1652" t="s">
        <v>5265</v>
      </c>
      <c r="EDI1652">
        <v>1</v>
      </c>
    </row>
    <row r="1653" spans="2:2 1590:1605 3306:3493" x14ac:dyDescent="0.3">
      <c r="B1653" t="s">
        <v>5138</v>
      </c>
      <c r="BIH1653">
        <v>1</v>
      </c>
      <c r="DWH1653">
        <v>1</v>
      </c>
      <c r="EDG1653">
        <f>SUMPRODUCT(Constraint_1647,Decision_variables)</f>
        <v>0</v>
      </c>
      <c r="EDH1653" t="s">
        <v>5265</v>
      </c>
      <c r="EDI1653">
        <v>1</v>
      </c>
    </row>
    <row r="1654" spans="2:2 1590:1605 3306:3493" x14ac:dyDescent="0.3">
      <c r="B1654" t="s">
        <v>5139</v>
      </c>
      <c r="BII1654">
        <v>1</v>
      </c>
      <c r="DWI1654">
        <v>1</v>
      </c>
      <c r="EDG1654">
        <f>SUMPRODUCT(Constraint_1648,Decision_variables)</f>
        <v>0</v>
      </c>
      <c r="EDH1654" t="s">
        <v>5265</v>
      </c>
      <c r="EDI1654">
        <v>1</v>
      </c>
    </row>
    <row r="1655" spans="2:2 1590:1605 3306:3493" x14ac:dyDescent="0.3">
      <c r="B1655" t="s">
        <v>5140</v>
      </c>
      <c r="BIJ1655">
        <v>1</v>
      </c>
      <c r="DWJ1655">
        <v>1</v>
      </c>
      <c r="EDG1655">
        <f>SUMPRODUCT(Constraint_1649,Decision_variables)</f>
        <v>0</v>
      </c>
      <c r="EDH1655" t="s">
        <v>5265</v>
      </c>
      <c r="EDI1655">
        <v>1</v>
      </c>
    </row>
    <row r="1656" spans="2:2 1590:1605 3306:3493" x14ac:dyDescent="0.3">
      <c r="B1656" t="s">
        <v>5141</v>
      </c>
      <c r="BIK1656">
        <v>1</v>
      </c>
      <c r="DWK1656">
        <v>1</v>
      </c>
      <c r="EDG1656">
        <f>SUMPRODUCT(Constraint_1650,Decision_variables)</f>
        <v>0</v>
      </c>
      <c r="EDH1656" t="s">
        <v>5265</v>
      </c>
      <c r="EDI1656">
        <v>1</v>
      </c>
    </row>
    <row r="1657" spans="2:2 1590:1605 3306:3493" x14ac:dyDescent="0.3">
      <c r="B1657" t="s">
        <v>5142</v>
      </c>
      <c r="BIL1657">
        <v>1</v>
      </c>
      <c r="DWL1657">
        <v>1</v>
      </c>
      <c r="EDG1657">
        <f>SUMPRODUCT(Constraint_1651,Decision_variables)</f>
        <v>0</v>
      </c>
      <c r="EDH1657" t="s">
        <v>5265</v>
      </c>
      <c r="EDI1657">
        <v>1</v>
      </c>
    </row>
    <row r="1658" spans="2:2 1590:1605 3306:3493" x14ac:dyDescent="0.3">
      <c r="B1658" t="s">
        <v>5143</v>
      </c>
      <c r="BIM1658">
        <v>1</v>
      </c>
      <c r="DWM1658">
        <v>1</v>
      </c>
      <c r="EDG1658">
        <f>SUMPRODUCT(Constraint_1652,Decision_variables)</f>
        <v>0</v>
      </c>
      <c r="EDH1658" t="s">
        <v>5265</v>
      </c>
      <c r="EDI1658">
        <v>1</v>
      </c>
    </row>
    <row r="1659" spans="2:2 1590:1605 3306:3493" x14ac:dyDescent="0.3">
      <c r="B1659" t="s">
        <v>5144</v>
      </c>
      <c r="BIN1659">
        <v>1</v>
      </c>
      <c r="DWN1659">
        <v>1</v>
      </c>
      <c r="EDG1659">
        <f>SUMPRODUCT(Constraint_1653,Decision_variables)</f>
        <v>0</v>
      </c>
      <c r="EDH1659" t="s">
        <v>5265</v>
      </c>
      <c r="EDI1659">
        <v>1</v>
      </c>
    </row>
    <row r="1660" spans="2:2 1590:1605 3306:3493" x14ac:dyDescent="0.3">
      <c r="B1660" t="s">
        <v>5145</v>
      </c>
      <c r="BIO1660">
        <v>1</v>
      </c>
      <c r="DWO1660">
        <v>1</v>
      </c>
      <c r="EDG1660">
        <f>SUMPRODUCT(Constraint_1654,Decision_variables)</f>
        <v>0</v>
      </c>
      <c r="EDH1660" t="s">
        <v>5265</v>
      </c>
      <c r="EDI1660">
        <v>1</v>
      </c>
    </row>
    <row r="1661" spans="2:2 1590:1605 3306:3493" x14ac:dyDescent="0.3">
      <c r="B1661" t="s">
        <v>5146</v>
      </c>
      <c r="BIP1661">
        <v>1</v>
      </c>
      <c r="DWP1661">
        <v>1</v>
      </c>
      <c r="EDG1661">
        <f>SUMPRODUCT(Constraint_1655,Decision_variables)</f>
        <v>0</v>
      </c>
      <c r="EDH1661" t="s">
        <v>5265</v>
      </c>
      <c r="EDI1661">
        <v>1</v>
      </c>
    </row>
    <row r="1662" spans="2:2 1590:1605 3306:3493" x14ac:dyDescent="0.3">
      <c r="B1662" t="s">
        <v>5147</v>
      </c>
      <c r="BIQ1662">
        <v>1</v>
      </c>
      <c r="DWQ1662">
        <v>1</v>
      </c>
      <c r="EDG1662">
        <f>SUMPRODUCT(Constraint_1656,Decision_variables)</f>
        <v>0</v>
      </c>
      <c r="EDH1662" t="s">
        <v>5265</v>
      </c>
      <c r="EDI1662">
        <v>1</v>
      </c>
    </row>
    <row r="1663" spans="2:2 1590:1605 3306:3493" x14ac:dyDescent="0.3">
      <c r="B1663" t="s">
        <v>5148</v>
      </c>
      <c r="BIR1663">
        <v>1</v>
      </c>
      <c r="DWR1663">
        <v>1</v>
      </c>
      <c r="EDG1663">
        <f>SUMPRODUCT(Constraint_1657,Decision_variables)</f>
        <v>0</v>
      </c>
      <c r="EDH1663" t="s">
        <v>5265</v>
      </c>
      <c r="EDI1663">
        <v>1</v>
      </c>
    </row>
    <row r="1664" spans="2:2 1590:1605 3306:3493" x14ac:dyDescent="0.3">
      <c r="B1664" t="s">
        <v>5149</v>
      </c>
      <c r="BIS1664">
        <v>1</v>
      </c>
      <c r="DWS1664">
        <v>1</v>
      </c>
      <c r="EDG1664">
        <f>SUMPRODUCT(Constraint_1658,Decision_variables)</f>
        <v>0</v>
      </c>
      <c r="EDH1664" t="s">
        <v>5265</v>
      </c>
      <c r="EDI1664">
        <v>1</v>
      </c>
    </row>
    <row r="1665" spans="2:2 1606:1621 3322:3493" x14ac:dyDescent="0.3">
      <c r="B1665" t="s">
        <v>5150</v>
      </c>
      <c r="BIT1665">
        <v>1</v>
      </c>
      <c r="DWT1665">
        <v>1</v>
      </c>
      <c r="EDG1665">
        <f>SUMPRODUCT(Constraint_1659,Decision_variables)</f>
        <v>0</v>
      </c>
      <c r="EDH1665" t="s">
        <v>5265</v>
      </c>
      <c r="EDI1665">
        <v>1</v>
      </c>
    </row>
    <row r="1666" spans="2:2 1606:1621 3322:3493" x14ac:dyDescent="0.3">
      <c r="B1666" t="s">
        <v>5151</v>
      </c>
      <c r="BIU1666">
        <v>1</v>
      </c>
      <c r="DWU1666">
        <v>1</v>
      </c>
      <c r="EDG1666">
        <f>SUMPRODUCT(Constraint_1660,Decision_variables)</f>
        <v>0</v>
      </c>
      <c r="EDH1666" t="s">
        <v>5265</v>
      </c>
      <c r="EDI1666">
        <v>1</v>
      </c>
    </row>
    <row r="1667" spans="2:2 1606:1621 3322:3493" x14ac:dyDescent="0.3">
      <c r="B1667" t="s">
        <v>5152</v>
      </c>
      <c r="BIV1667">
        <v>1</v>
      </c>
      <c r="DWV1667">
        <v>1</v>
      </c>
      <c r="EDG1667">
        <f>SUMPRODUCT(Constraint_1661,Decision_variables)</f>
        <v>0</v>
      </c>
      <c r="EDH1667" t="s">
        <v>5265</v>
      </c>
      <c r="EDI1667">
        <v>1</v>
      </c>
    </row>
    <row r="1668" spans="2:2 1606:1621 3322:3493" x14ac:dyDescent="0.3">
      <c r="B1668" t="s">
        <v>5153</v>
      </c>
      <c r="BIW1668">
        <v>1</v>
      </c>
      <c r="DWW1668">
        <v>1</v>
      </c>
      <c r="EDG1668">
        <f>SUMPRODUCT(Constraint_1662,Decision_variables)</f>
        <v>0</v>
      </c>
      <c r="EDH1668" t="s">
        <v>5265</v>
      </c>
      <c r="EDI1668">
        <v>1</v>
      </c>
    </row>
    <row r="1669" spans="2:2 1606:1621 3322:3493" x14ac:dyDescent="0.3">
      <c r="B1669" t="s">
        <v>5154</v>
      </c>
      <c r="BIX1669">
        <v>1</v>
      </c>
      <c r="DWX1669">
        <v>1</v>
      </c>
      <c r="EDG1669">
        <f>SUMPRODUCT(Constraint_1663,Decision_variables)</f>
        <v>0</v>
      </c>
      <c r="EDH1669" t="s">
        <v>5265</v>
      </c>
      <c r="EDI1669">
        <v>1</v>
      </c>
    </row>
    <row r="1670" spans="2:2 1606:1621 3322:3493" x14ac:dyDescent="0.3">
      <c r="B1670" t="s">
        <v>5155</v>
      </c>
      <c r="BIY1670">
        <v>1</v>
      </c>
      <c r="DWY1670">
        <v>1</v>
      </c>
      <c r="EDG1670">
        <f>SUMPRODUCT(Constraint_1664,Decision_variables)</f>
        <v>0</v>
      </c>
      <c r="EDH1670" t="s">
        <v>5265</v>
      </c>
      <c r="EDI1670">
        <v>1</v>
      </c>
    </row>
    <row r="1671" spans="2:2 1606:1621 3322:3493" x14ac:dyDescent="0.3">
      <c r="B1671" t="s">
        <v>5156</v>
      </c>
      <c r="BIZ1671">
        <v>1</v>
      </c>
      <c r="DWZ1671">
        <v>1</v>
      </c>
      <c r="EDG1671">
        <f>SUMPRODUCT(Constraint_1665,Decision_variables)</f>
        <v>0</v>
      </c>
      <c r="EDH1671" t="s">
        <v>5265</v>
      </c>
      <c r="EDI1671">
        <v>1</v>
      </c>
    </row>
    <row r="1672" spans="2:2 1606:1621 3322:3493" x14ac:dyDescent="0.3">
      <c r="B1672" t="s">
        <v>5157</v>
      </c>
      <c r="BJA1672">
        <v>1</v>
      </c>
      <c r="DXA1672">
        <v>1</v>
      </c>
      <c r="EDG1672">
        <f>SUMPRODUCT(Constraint_1666,Decision_variables)</f>
        <v>0</v>
      </c>
      <c r="EDH1672" t="s">
        <v>5265</v>
      </c>
      <c r="EDI1672">
        <v>1</v>
      </c>
    </row>
    <row r="1673" spans="2:2 1606:1621 3322:3493" x14ac:dyDescent="0.3">
      <c r="B1673" t="s">
        <v>5158</v>
      </c>
      <c r="BJB1673">
        <v>1</v>
      </c>
      <c r="DXB1673">
        <v>1</v>
      </c>
      <c r="EDG1673">
        <f>SUMPRODUCT(Constraint_1667,Decision_variables)</f>
        <v>0</v>
      </c>
      <c r="EDH1673" t="s">
        <v>5265</v>
      </c>
      <c r="EDI1673">
        <v>1</v>
      </c>
    </row>
    <row r="1674" spans="2:2 1606:1621 3322:3493" x14ac:dyDescent="0.3">
      <c r="B1674" t="s">
        <v>5159</v>
      </c>
      <c r="BJC1674">
        <v>1</v>
      </c>
      <c r="DXC1674">
        <v>1</v>
      </c>
      <c r="EDG1674">
        <f>SUMPRODUCT(Constraint_1668,Decision_variables)</f>
        <v>0</v>
      </c>
      <c r="EDH1674" t="s">
        <v>5265</v>
      </c>
      <c r="EDI1674">
        <v>1</v>
      </c>
    </row>
    <row r="1675" spans="2:2 1606:1621 3322:3493" x14ac:dyDescent="0.3">
      <c r="B1675" t="s">
        <v>5160</v>
      </c>
      <c r="BJD1675">
        <v>1</v>
      </c>
      <c r="DXD1675">
        <v>1</v>
      </c>
      <c r="EDG1675">
        <f>SUMPRODUCT(Constraint_1669,Decision_variables)</f>
        <v>0</v>
      </c>
      <c r="EDH1675" t="s">
        <v>5265</v>
      </c>
      <c r="EDI1675">
        <v>1</v>
      </c>
    </row>
    <row r="1676" spans="2:2 1606:1621 3322:3493" x14ac:dyDescent="0.3">
      <c r="B1676" t="s">
        <v>5161</v>
      </c>
      <c r="BJE1676">
        <v>1</v>
      </c>
      <c r="DXE1676">
        <v>1</v>
      </c>
      <c r="EDG1676">
        <f>SUMPRODUCT(Constraint_1670,Decision_variables)</f>
        <v>0</v>
      </c>
      <c r="EDH1676" t="s">
        <v>5265</v>
      </c>
      <c r="EDI1676">
        <v>1</v>
      </c>
    </row>
    <row r="1677" spans="2:2 1606:1621 3322:3493" x14ac:dyDescent="0.3">
      <c r="B1677" t="s">
        <v>5162</v>
      </c>
      <c r="BJF1677">
        <v>1</v>
      </c>
      <c r="DXF1677">
        <v>1</v>
      </c>
      <c r="EDG1677">
        <f>SUMPRODUCT(Constraint_1671,Decision_variables)</f>
        <v>0</v>
      </c>
      <c r="EDH1677" t="s">
        <v>5265</v>
      </c>
      <c r="EDI1677">
        <v>1</v>
      </c>
    </row>
    <row r="1678" spans="2:2 1606:1621 3322:3493" x14ac:dyDescent="0.3">
      <c r="B1678" t="s">
        <v>5163</v>
      </c>
      <c r="BJG1678">
        <v>1</v>
      </c>
      <c r="DXG1678">
        <v>1</v>
      </c>
      <c r="EDG1678">
        <f>SUMPRODUCT(Constraint_1672,Decision_variables)</f>
        <v>0</v>
      </c>
      <c r="EDH1678" t="s">
        <v>5265</v>
      </c>
      <c r="EDI1678">
        <v>1</v>
      </c>
    </row>
    <row r="1679" spans="2:2 1606:1621 3322:3493" x14ac:dyDescent="0.3">
      <c r="B1679" t="s">
        <v>5164</v>
      </c>
      <c r="BJH1679">
        <v>1</v>
      </c>
      <c r="DXH1679">
        <v>1</v>
      </c>
      <c r="EDG1679">
        <f>SUMPRODUCT(Constraint_1673,Decision_variables)</f>
        <v>0</v>
      </c>
      <c r="EDH1679" t="s">
        <v>5265</v>
      </c>
      <c r="EDI1679">
        <v>1</v>
      </c>
    </row>
    <row r="1680" spans="2:2 1606:1621 3322:3493" x14ac:dyDescent="0.3">
      <c r="B1680" t="s">
        <v>5165</v>
      </c>
      <c r="BJI1680">
        <v>1</v>
      </c>
      <c r="DXI1680">
        <v>1</v>
      </c>
      <c r="EDG1680">
        <f>SUMPRODUCT(Constraint_1674,Decision_variables)</f>
        <v>0</v>
      </c>
      <c r="EDH1680" t="s">
        <v>5265</v>
      </c>
      <c r="EDI1680">
        <v>1</v>
      </c>
    </row>
    <row r="1681" spans="2:2 1622:1637 3338:3493" x14ac:dyDescent="0.3">
      <c r="B1681" t="s">
        <v>5166</v>
      </c>
      <c r="BJJ1681">
        <v>1</v>
      </c>
      <c r="DXJ1681">
        <v>1</v>
      </c>
      <c r="EDG1681">
        <f>SUMPRODUCT(Constraint_1675,Decision_variables)</f>
        <v>0</v>
      </c>
      <c r="EDH1681" t="s">
        <v>5265</v>
      </c>
      <c r="EDI1681">
        <v>1</v>
      </c>
    </row>
    <row r="1682" spans="2:2 1622:1637 3338:3493" x14ac:dyDescent="0.3">
      <c r="B1682" t="s">
        <v>5167</v>
      </c>
      <c r="BJK1682">
        <v>1</v>
      </c>
      <c r="DXK1682">
        <v>1</v>
      </c>
      <c r="EDG1682">
        <f>SUMPRODUCT(Constraint_1676,Decision_variables)</f>
        <v>0</v>
      </c>
      <c r="EDH1682" t="s">
        <v>5265</v>
      </c>
      <c r="EDI1682">
        <v>1</v>
      </c>
    </row>
    <row r="1683" spans="2:2 1622:1637 3338:3493" x14ac:dyDescent="0.3">
      <c r="B1683" t="s">
        <v>5168</v>
      </c>
      <c r="BJL1683">
        <v>1</v>
      </c>
      <c r="DXL1683">
        <v>1</v>
      </c>
      <c r="EDG1683">
        <f>SUMPRODUCT(Constraint_1677,Decision_variables)</f>
        <v>0</v>
      </c>
      <c r="EDH1683" t="s">
        <v>5265</v>
      </c>
      <c r="EDI1683">
        <v>1</v>
      </c>
    </row>
    <row r="1684" spans="2:2 1622:1637 3338:3493" x14ac:dyDescent="0.3">
      <c r="B1684" t="s">
        <v>5169</v>
      </c>
      <c r="BJM1684">
        <v>1</v>
      </c>
      <c r="DXM1684">
        <v>1</v>
      </c>
      <c r="EDG1684">
        <f>SUMPRODUCT(Constraint_1678,Decision_variables)</f>
        <v>0</v>
      </c>
      <c r="EDH1684" t="s">
        <v>5265</v>
      </c>
      <c r="EDI1684">
        <v>1</v>
      </c>
    </row>
    <row r="1685" spans="2:2 1622:1637 3338:3493" x14ac:dyDescent="0.3">
      <c r="B1685" t="s">
        <v>5170</v>
      </c>
      <c r="BJN1685">
        <v>1</v>
      </c>
      <c r="DXN1685">
        <v>1</v>
      </c>
      <c r="EDG1685">
        <f>SUMPRODUCT(Constraint_1679,Decision_variables)</f>
        <v>0</v>
      </c>
      <c r="EDH1685" t="s">
        <v>5265</v>
      </c>
      <c r="EDI1685">
        <v>1</v>
      </c>
    </row>
    <row r="1686" spans="2:2 1622:1637 3338:3493" x14ac:dyDescent="0.3">
      <c r="B1686" t="s">
        <v>5171</v>
      </c>
      <c r="BJO1686">
        <v>1</v>
      </c>
      <c r="DXO1686">
        <v>1</v>
      </c>
      <c r="EDG1686">
        <f>SUMPRODUCT(Constraint_1680,Decision_variables)</f>
        <v>0</v>
      </c>
      <c r="EDH1686" t="s">
        <v>5265</v>
      </c>
      <c r="EDI1686">
        <v>1</v>
      </c>
    </row>
    <row r="1687" spans="2:2 1622:1637 3338:3493" x14ac:dyDescent="0.3">
      <c r="B1687" t="s">
        <v>5172</v>
      </c>
      <c r="BJP1687">
        <v>1</v>
      </c>
      <c r="DXP1687">
        <v>1</v>
      </c>
      <c r="EDG1687">
        <f>SUMPRODUCT(Constraint_1681,Decision_variables)</f>
        <v>0</v>
      </c>
      <c r="EDH1687" t="s">
        <v>5265</v>
      </c>
      <c r="EDI1687">
        <v>1</v>
      </c>
    </row>
    <row r="1688" spans="2:2 1622:1637 3338:3493" x14ac:dyDescent="0.3">
      <c r="B1688" t="s">
        <v>5173</v>
      </c>
      <c r="BJQ1688">
        <v>1</v>
      </c>
      <c r="DXQ1688">
        <v>1</v>
      </c>
      <c r="EDG1688">
        <f>SUMPRODUCT(Constraint_1682,Decision_variables)</f>
        <v>0</v>
      </c>
      <c r="EDH1688" t="s">
        <v>5265</v>
      </c>
      <c r="EDI1688">
        <v>1</v>
      </c>
    </row>
    <row r="1689" spans="2:2 1622:1637 3338:3493" x14ac:dyDescent="0.3">
      <c r="B1689" t="s">
        <v>5174</v>
      </c>
      <c r="BJR1689">
        <v>1</v>
      </c>
      <c r="DXR1689">
        <v>1</v>
      </c>
      <c r="EDG1689">
        <f>SUMPRODUCT(Constraint_1683,Decision_variables)</f>
        <v>0</v>
      </c>
      <c r="EDH1689" t="s">
        <v>5265</v>
      </c>
      <c r="EDI1689">
        <v>1</v>
      </c>
    </row>
    <row r="1690" spans="2:2 1622:1637 3338:3493" x14ac:dyDescent="0.3">
      <c r="B1690" t="s">
        <v>5175</v>
      </c>
      <c r="BJS1690">
        <v>1</v>
      </c>
      <c r="DXS1690">
        <v>1</v>
      </c>
      <c r="EDG1690">
        <f>SUMPRODUCT(Constraint_1684,Decision_variables)</f>
        <v>0</v>
      </c>
      <c r="EDH1690" t="s">
        <v>5265</v>
      </c>
      <c r="EDI1690">
        <v>1</v>
      </c>
    </row>
    <row r="1691" spans="2:2 1622:1637 3338:3493" x14ac:dyDescent="0.3">
      <c r="B1691" t="s">
        <v>5176</v>
      </c>
      <c r="BJT1691">
        <v>1</v>
      </c>
      <c r="DXT1691">
        <v>1</v>
      </c>
      <c r="EDG1691">
        <f>SUMPRODUCT(Constraint_1685,Decision_variables)</f>
        <v>0</v>
      </c>
      <c r="EDH1691" t="s">
        <v>5265</v>
      </c>
      <c r="EDI1691">
        <v>1</v>
      </c>
    </row>
    <row r="1692" spans="2:2 1622:1637 3338:3493" x14ac:dyDescent="0.3">
      <c r="B1692" t="s">
        <v>5177</v>
      </c>
      <c r="BJU1692">
        <v>1</v>
      </c>
      <c r="DXU1692">
        <v>1</v>
      </c>
      <c r="EDG1692">
        <f>SUMPRODUCT(Constraint_1686,Decision_variables)</f>
        <v>0</v>
      </c>
      <c r="EDH1692" t="s">
        <v>5265</v>
      </c>
      <c r="EDI1692">
        <v>1</v>
      </c>
    </row>
    <row r="1693" spans="2:2 1622:1637 3338:3493" x14ac:dyDescent="0.3">
      <c r="B1693" t="s">
        <v>5178</v>
      </c>
      <c r="BJV1693">
        <v>1</v>
      </c>
      <c r="DXV1693">
        <v>1</v>
      </c>
      <c r="EDG1693">
        <f>SUMPRODUCT(Constraint_1687,Decision_variables)</f>
        <v>0</v>
      </c>
      <c r="EDH1693" t="s">
        <v>5265</v>
      </c>
      <c r="EDI1693">
        <v>1</v>
      </c>
    </row>
    <row r="1694" spans="2:2 1622:1637 3338:3493" x14ac:dyDescent="0.3">
      <c r="B1694" t="s">
        <v>5179</v>
      </c>
      <c r="BJW1694">
        <v>1</v>
      </c>
      <c r="DXW1694">
        <v>1</v>
      </c>
      <c r="EDG1694">
        <f>SUMPRODUCT(Constraint_1688,Decision_variables)</f>
        <v>0</v>
      </c>
      <c r="EDH1694" t="s">
        <v>5265</v>
      </c>
      <c r="EDI1694">
        <v>1</v>
      </c>
    </row>
    <row r="1695" spans="2:2 1622:1637 3338:3493" x14ac:dyDescent="0.3">
      <c r="B1695" t="s">
        <v>5180</v>
      </c>
      <c r="BJX1695">
        <v>1</v>
      </c>
      <c r="DXX1695">
        <v>1</v>
      </c>
      <c r="EDG1695">
        <f>SUMPRODUCT(Constraint_1689,Decision_variables)</f>
        <v>0</v>
      </c>
      <c r="EDH1695" t="s">
        <v>5265</v>
      </c>
      <c r="EDI1695">
        <v>1</v>
      </c>
    </row>
    <row r="1696" spans="2:2 1622:1637 3338:3493" x14ac:dyDescent="0.3">
      <c r="B1696" t="s">
        <v>5181</v>
      </c>
      <c r="BJY1696">
        <v>1</v>
      </c>
      <c r="DXY1696">
        <v>1</v>
      </c>
      <c r="EDG1696">
        <f>SUMPRODUCT(Constraint_1690,Decision_variables)</f>
        <v>0</v>
      </c>
      <c r="EDH1696" t="s">
        <v>5265</v>
      </c>
      <c r="EDI1696">
        <v>1</v>
      </c>
    </row>
    <row r="1697" spans="2:2 1638:1653 3354:3493" x14ac:dyDescent="0.3">
      <c r="B1697" t="s">
        <v>5182</v>
      </c>
      <c r="BJZ1697">
        <v>1</v>
      </c>
      <c r="DXZ1697">
        <v>1</v>
      </c>
      <c r="EDG1697">
        <f>SUMPRODUCT(Constraint_1691,Decision_variables)</f>
        <v>0</v>
      </c>
      <c r="EDH1697" t="s">
        <v>5265</v>
      </c>
      <c r="EDI1697">
        <v>1</v>
      </c>
    </row>
    <row r="1698" spans="2:2 1638:1653 3354:3493" x14ac:dyDescent="0.3">
      <c r="B1698" t="s">
        <v>5183</v>
      </c>
      <c r="BKA1698">
        <v>1</v>
      </c>
      <c r="DYA1698">
        <v>1</v>
      </c>
      <c r="EDG1698">
        <f>SUMPRODUCT(Constraint_1692,Decision_variables)</f>
        <v>0</v>
      </c>
      <c r="EDH1698" t="s">
        <v>5265</v>
      </c>
      <c r="EDI1698">
        <v>1</v>
      </c>
    </row>
    <row r="1699" spans="2:2 1638:1653 3354:3493" x14ac:dyDescent="0.3">
      <c r="B1699" t="s">
        <v>5184</v>
      </c>
      <c r="BKB1699">
        <v>1</v>
      </c>
      <c r="DYB1699">
        <v>1</v>
      </c>
      <c r="EDG1699">
        <f>SUMPRODUCT(Constraint_1693,Decision_variables)</f>
        <v>0</v>
      </c>
      <c r="EDH1699" t="s">
        <v>5265</v>
      </c>
      <c r="EDI1699">
        <v>1</v>
      </c>
    </row>
    <row r="1700" spans="2:2 1638:1653 3354:3493" x14ac:dyDescent="0.3">
      <c r="B1700" t="s">
        <v>5185</v>
      </c>
      <c r="BKC1700">
        <v>1</v>
      </c>
      <c r="DYC1700">
        <v>1</v>
      </c>
      <c r="EDG1700">
        <f>SUMPRODUCT(Constraint_1694,Decision_variables)</f>
        <v>0</v>
      </c>
      <c r="EDH1700" t="s">
        <v>5265</v>
      </c>
      <c r="EDI1700">
        <v>1</v>
      </c>
    </row>
    <row r="1701" spans="2:2 1638:1653 3354:3493" x14ac:dyDescent="0.3">
      <c r="B1701" t="s">
        <v>5186</v>
      </c>
      <c r="BKD1701">
        <v>1</v>
      </c>
      <c r="DYD1701">
        <v>1</v>
      </c>
      <c r="EDG1701">
        <f>SUMPRODUCT(Constraint_1695,Decision_variables)</f>
        <v>0</v>
      </c>
      <c r="EDH1701" t="s">
        <v>5265</v>
      </c>
      <c r="EDI1701">
        <v>1</v>
      </c>
    </row>
    <row r="1702" spans="2:2 1638:1653 3354:3493" x14ac:dyDescent="0.3">
      <c r="B1702" t="s">
        <v>5187</v>
      </c>
      <c r="BKE1702">
        <v>1</v>
      </c>
      <c r="DYE1702">
        <v>1</v>
      </c>
      <c r="EDG1702">
        <f>SUMPRODUCT(Constraint_1696,Decision_variables)</f>
        <v>0</v>
      </c>
      <c r="EDH1702" t="s">
        <v>5265</v>
      </c>
      <c r="EDI1702">
        <v>1</v>
      </c>
    </row>
    <row r="1703" spans="2:2 1638:1653 3354:3493" x14ac:dyDescent="0.3">
      <c r="B1703" t="s">
        <v>5188</v>
      </c>
      <c r="BKF1703">
        <v>1</v>
      </c>
      <c r="DYF1703">
        <v>1</v>
      </c>
      <c r="EDG1703">
        <f>SUMPRODUCT(Constraint_1697,Decision_variables)</f>
        <v>0</v>
      </c>
      <c r="EDH1703" t="s">
        <v>5265</v>
      </c>
      <c r="EDI1703">
        <v>1</v>
      </c>
    </row>
    <row r="1704" spans="2:2 1638:1653 3354:3493" x14ac:dyDescent="0.3">
      <c r="B1704" t="s">
        <v>5189</v>
      </c>
      <c r="BKG1704">
        <v>1</v>
      </c>
      <c r="DYG1704">
        <v>1</v>
      </c>
      <c r="EDG1704">
        <f>SUMPRODUCT(Constraint_1698,Decision_variables)</f>
        <v>0</v>
      </c>
      <c r="EDH1704" t="s">
        <v>5265</v>
      </c>
      <c r="EDI1704">
        <v>1</v>
      </c>
    </row>
    <row r="1705" spans="2:2 1638:1653 3354:3493" x14ac:dyDescent="0.3">
      <c r="B1705" t="s">
        <v>5190</v>
      </c>
      <c r="BKH1705">
        <v>1</v>
      </c>
      <c r="DYH1705">
        <v>1</v>
      </c>
      <c r="EDG1705">
        <f>SUMPRODUCT(Constraint_1699,Decision_variables)</f>
        <v>0</v>
      </c>
      <c r="EDH1705" t="s">
        <v>5265</v>
      </c>
      <c r="EDI1705">
        <v>1</v>
      </c>
    </row>
    <row r="1706" spans="2:2 1638:1653 3354:3493" x14ac:dyDescent="0.3">
      <c r="B1706" t="s">
        <v>5191</v>
      </c>
      <c r="BKI1706">
        <v>1</v>
      </c>
      <c r="DYI1706">
        <v>1</v>
      </c>
      <c r="EDG1706">
        <f>SUMPRODUCT(Constraint_1700,Decision_variables)</f>
        <v>0</v>
      </c>
      <c r="EDH1706" t="s">
        <v>5265</v>
      </c>
      <c r="EDI1706">
        <v>1</v>
      </c>
    </row>
    <row r="1707" spans="2:2 1638:1653 3354:3493" x14ac:dyDescent="0.3">
      <c r="B1707" t="s">
        <v>5192</v>
      </c>
      <c r="BKJ1707">
        <v>1</v>
      </c>
      <c r="DYJ1707">
        <v>1</v>
      </c>
      <c r="EDG1707">
        <f>SUMPRODUCT(Constraint_1701,Decision_variables)</f>
        <v>0</v>
      </c>
      <c r="EDH1707" t="s">
        <v>5265</v>
      </c>
      <c r="EDI1707">
        <v>1</v>
      </c>
    </row>
    <row r="1708" spans="2:2 1638:1653 3354:3493" x14ac:dyDescent="0.3">
      <c r="B1708" t="s">
        <v>5193</v>
      </c>
      <c r="BKK1708">
        <v>1</v>
      </c>
      <c r="DYK1708">
        <v>1</v>
      </c>
      <c r="EDG1708">
        <f>SUMPRODUCT(Constraint_1702,Decision_variables)</f>
        <v>0</v>
      </c>
      <c r="EDH1708" t="s">
        <v>5265</v>
      </c>
      <c r="EDI1708">
        <v>1</v>
      </c>
    </row>
    <row r="1709" spans="2:2 1638:1653 3354:3493" x14ac:dyDescent="0.3">
      <c r="B1709" t="s">
        <v>5194</v>
      </c>
      <c r="BKL1709">
        <v>1</v>
      </c>
      <c r="DYL1709">
        <v>1</v>
      </c>
      <c r="EDG1709">
        <f>SUMPRODUCT(Constraint_1703,Decision_variables)</f>
        <v>0</v>
      </c>
      <c r="EDH1709" t="s">
        <v>5265</v>
      </c>
      <c r="EDI1709">
        <v>1</v>
      </c>
    </row>
    <row r="1710" spans="2:2 1638:1653 3354:3493" x14ac:dyDescent="0.3">
      <c r="B1710" t="s">
        <v>5195</v>
      </c>
      <c r="BKM1710">
        <v>1</v>
      </c>
      <c r="DYM1710">
        <v>1</v>
      </c>
      <c r="EDG1710">
        <f>SUMPRODUCT(Constraint_1704,Decision_variables)</f>
        <v>0</v>
      </c>
      <c r="EDH1710" t="s">
        <v>5265</v>
      </c>
      <c r="EDI1710">
        <v>1</v>
      </c>
    </row>
    <row r="1711" spans="2:2 1638:1653 3354:3493" x14ac:dyDescent="0.3">
      <c r="B1711" t="s">
        <v>5196</v>
      </c>
      <c r="BKN1711">
        <v>1</v>
      </c>
      <c r="DYN1711">
        <v>1</v>
      </c>
      <c r="EDG1711">
        <f>SUMPRODUCT(Constraint_1705,Decision_variables)</f>
        <v>0</v>
      </c>
      <c r="EDH1711" t="s">
        <v>5265</v>
      </c>
      <c r="EDI1711">
        <v>1</v>
      </c>
    </row>
    <row r="1712" spans="2:2 1638:1653 3354:3493" x14ac:dyDescent="0.3">
      <c r="B1712" t="s">
        <v>5197</v>
      </c>
      <c r="BKO1712">
        <v>1</v>
      </c>
      <c r="DYO1712">
        <v>1</v>
      </c>
      <c r="EDG1712">
        <f>SUMPRODUCT(Constraint_1706,Decision_variables)</f>
        <v>0</v>
      </c>
      <c r="EDH1712" t="s">
        <v>5265</v>
      </c>
      <c r="EDI1712">
        <v>1</v>
      </c>
    </row>
    <row r="1713" spans="2:2 1654:1669 3370:3493" x14ac:dyDescent="0.3">
      <c r="B1713" t="s">
        <v>5198</v>
      </c>
      <c r="BKP1713">
        <v>1</v>
      </c>
      <c r="DYP1713">
        <v>1</v>
      </c>
      <c r="EDG1713">
        <f>SUMPRODUCT(Constraint_1707,Decision_variables)</f>
        <v>0</v>
      </c>
      <c r="EDH1713" t="s">
        <v>5265</v>
      </c>
      <c r="EDI1713">
        <v>1</v>
      </c>
    </row>
    <row r="1714" spans="2:2 1654:1669 3370:3493" x14ac:dyDescent="0.3">
      <c r="B1714" t="s">
        <v>5199</v>
      </c>
      <c r="BKQ1714">
        <v>1</v>
      </c>
      <c r="DYQ1714">
        <v>1</v>
      </c>
      <c r="EDG1714">
        <f>SUMPRODUCT(Constraint_1708,Decision_variables)</f>
        <v>0</v>
      </c>
      <c r="EDH1714" t="s">
        <v>5265</v>
      </c>
      <c r="EDI1714">
        <v>1</v>
      </c>
    </row>
    <row r="1715" spans="2:2 1654:1669 3370:3493" x14ac:dyDescent="0.3">
      <c r="B1715" t="s">
        <v>5200</v>
      </c>
      <c r="BKR1715">
        <v>1</v>
      </c>
      <c r="DYR1715">
        <v>1</v>
      </c>
      <c r="EDG1715">
        <f>SUMPRODUCT(Constraint_1709,Decision_variables)</f>
        <v>0</v>
      </c>
      <c r="EDH1715" t="s">
        <v>5265</v>
      </c>
      <c r="EDI1715">
        <v>1</v>
      </c>
    </row>
    <row r="1716" spans="2:2 1654:1669 3370:3493" x14ac:dyDescent="0.3">
      <c r="B1716" t="s">
        <v>5201</v>
      </c>
      <c r="BKS1716">
        <v>1</v>
      </c>
      <c r="DYS1716">
        <v>1</v>
      </c>
      <c r="EDG1716">
        <f>SUMPRODUCT(Constraint_1710,Decision_variables)</f>
        <v>0</v>
      </c>
      <c r="EDH1716" t="s">
        <v>5265</v>
      </c>
      <c r="EDI1716">
        <v>1</v>
      </c>
    </row>
    <row r="1717" spans="2:2 1654:1669 3370:3493" x14ac:dyDescent="0.3">
      <c r="B1717" t="s">
        <v>5202</v>
      </c>
      <c r="BKT1717">
        <v>1</v>
      </c>
      <c r="DYT1717">
        <v>1</v>
      </c>
      <c r="EDG1717">
        <f>SUMPRODUCT(Constraint_1711,Decision_variables)</f>
        <v>0</v>
      </c>
      <c r="EDH1717" t="s">
        <v>5265</v>
      </c>
      <c r="EDI1717">
        <v>1</v>
      </c>
    </row>
    <row r="1718" spans="2:2 1654:1669 3370:3493" x14ac:dyDescent="0.3">
      <c r="B1718" t="s">
        <v>5203</v>
      </c>
      <c r="BKU1718">
        <v>1</v>
      </c>
      <c r="DYU1718">
        <v>1</v>
      </c>
      <c r="EDG1718">
        <f>SUMPRODUCT(Constraint_1712,Decision_variables)</f>
        <v>0</v>
      </c>
      <c r="EDH1718" t="s">
        <v>5265</v>
      </c>
      <c r="EDI1718">
        <v>1</v>
      </c>
    </row>
    <row r="1719" spans="2:2 1654:1669 3370:3493" x14ac:dyDescent="0.3">
      <c r="B1719" t="s">
        <v>5204</v>
      </c>
      <c r="BKV1719">
        <v>1</v>
      </c>
      <c r="DYV1719">
        <v>1</v>
      </c>
      <c r="EDG1719">
        <f>SUMPRODUCT(Constraint_1713,Decision_variables)</f>
        <v>0</v>
      </c>
      <c r="EDH1719" t="s">
        <v>5265</v>
      </c>
      <c r="EDI1719">
        <v>1</v>
      </c>
    </row>
    <row r="1720" spans="2:2 1654:1669 3370:3493" x14ac:dyDescent="0.3">
      <c r="B1720" t="s">
        <v>5205</v>
      </c>
      <c r="BKW1720">
        <v>1</v>
      </c>
      <c r="DYW1720">
        <v>1</v>
      </c>
      <c r="EDG1720">
        <f>SUMPRODUCT(Constraint_1714,Decision_variables)</f>
        <v>0</v>
      </c>
      <c r="EDH1720" t="s">
        <v>5265</v>
      </c>
      <c r="EDI1720">
        <v>1</v>
      </c>
    </row>
    <row r="1721" spans="2:2 1654:1669 3370:3493" x14ac:dyDescent="0.3">
      <c r="B1721" t="s">
        <v>5206</v>
      </c>
      <c r="BKX1721">
        <v>1</v>
      </c>
      <c r="DYX1721">
        <v>1</v>
      </c>
      <c r="EDG1721">
        <f>SUMPRODUCT(Constraint_1715,Decision_variables)</f>
        <v>0</v>
      </c>
      <c r="EDH1721" t="s">
        <v>5265</v>
      </c>
      <c r="EDI1721">
        <v>1</v>
      </c>
    </row>
    <row r="1722" spans="2:2 1654:1669 3370:3493" x14ac:dyDescent="0.3">
      <c r="B1722" t="s">
        <v>5207</v>
      </c>
      <c r="BKY1722">
        <v>1</v>
      </c>
      <c r="DYY1722">
        <v>1</v>
      </c>
      <c r="EDG1722">
        <f>SUMPRODUCT(Constraint_1716,Decision_variables)</f>
        <v>0</v>
      </c>
      <c r="EDH1722" t="s">
        <v>5265</v>
      </c>
      <c r="EDI1722">
        <v>1</v>
      </c>
    </row>
    <row r="1723" spans="2:2 1654:1669 3370:3493" x14ac:dyDescent="0.3">
      <c r="B1723" t="s">
        <v>5208</v>
      </c>
      <c r="BKZ1723">
        <v>1</v>
      </c>
      <c r="DYZ1723">
        <v>1</v>
      </c>
      <c r="EDG1723">
        <f>SUMPRODUCT(Constraint_1717,Decision_variables)</f>
        <v>0</v>
      </c>
      <c r="EDH1723" t="s">
        <v>5265</v>
      </c>
      <c r="EDI1723">
        <v>1</v>
      </c>
    </row>
    <row r="1724" spans="2:2 1654:1669 3370:3493" x14ac:dyDescent="0.3">
      <c r="B1724" t="s">
        <v>5209</v>
      </c>
      <c r="BLA1724">
        <v>1</v>
      </c>
      <c r="DZA1724">
        <v>1</v>
      </c>
      <c r="EDG1724">
        <f>SUMPRODUCT(Constraint_1718,Decision_variables)</f>
        <v>0</v>
      </c>
      <c r="EDH1724" t="s">
        <v>5265</v>
      </c>
      <c r="EDI1724">
        <v>1</v>
      </c>
    </row>
    <row r="1725" spans="2:2 1654:1669 3370:3493" x14ac:dyDescent="0.3">
      <c r="B1725" t="s">
        <v>5210</v>
      </c>
      <c r="BLB1725">
        <v>1</v>
      </c>
      <c r="DZB1725">
        <v>1</v>
      </c>
      <c r="EDG1725">
        <f>SUMPRODUCT(Constraint_1719,Decision_variables)</f>
        <v>0</v>
      </c>
      <c r="EDH1725" t="s">
        <v>5265</v>
      </c>
      <c r="EDI1725">
        <v>1</v>
      </c>
    </row>
    <row r="1726" spans="2:2 1654:1669 3370:3493" x14ac:dyDescent="0.3">
      <c r="B1726" t="s">
        <v>5211</v>
      </c>
      <c r="BLC1726">
        <v>1</v>
      </c>
      <c r="DZC1726">
        <v>1</v>
      </c>
      <c r="EDG1726">
        <f>SUMPRODUCT(Constraint_1720,Decision_variables)</f>
        <v>0</v>
      </c>
      <c r="EDH1726" t="s">
        <v>5265</v>
      </c>
      <c r="EDI1726">
        <v>1</v>
      </c>
    </row>
    <row r="1727" spans="2:2 1654:1669 3370:3493" x14ac:dyDescent="0.3">
      <c r="B1727" t="s">
        <v>5212</v>
      </c>
      <c r="BLD1727">
        <v>1</v>
      </c>
      <c r="DZD1727">
        <v>1</v>
      </c>
      <c r="EDG1727">
        <f>SUMPRODUCT(Constraint_1721,Decision_variables)</f>
        <v>0</v>
      </c>
      <c r="EDH1727" t="s">
        <v>5265</v>
      </c>
      <c r="EDI1727">
        <v>1</v>
      </c>
    </row>
    <row r="1728" spans="2:2 1654:1669 3370:3493" x14ac:dyDescent="0.3">
      <c r="B1728" t="s">
        <v>5213</v>
      </c>
      <c r="BLE1728">
        <v>1</v>
      </c>
      <c r="DZE1728">
        <v>1</v>
      </c>
      <c r="EDG1728">
        <f>SUMPRODUCT(Constraint_1722,Decision_variables)</f>
        <v>0</v>
      </c>
      <c r="EDH1728" t="s">
        <v>5265</v>
      </c>
      <c r="EDI1728">
        <v>1</v>
      </c>
    </row>
    <row r="1729" spans="2:2 1670:1685 3386:3493" x14ac:dyDescent="0.3">
      <c r="B1729" t="s">
        <v>5214</v>
      </c>
      <c r="BLF1729">
        <v>1</v>
      </c>
      <c r="DZF1729">
        <v>1</v>
      </c>
      <c r="EDG1729">
        <f>SUMPRODUCT(Constraint_1723,Decision_variables)</f>
        <v>0</v>
      </c>
      <c r="EDH1729" t="s">
        <v>5265</v>
      </c>
      <c r="EDI1729">
        <v>1</v>
      </c>
    </row>
    <row r="1730" spans="2:2 1670:1685 3386:3493" x14ac:dyDescent="0.3">
      <c r="B1730" t="s">
        <v>5215</v>
      </c>
      <c r="BLG1730">
        <v>1</v>
      </c>
      <c r="DZG1730">
        <v>1</v>
      </c>
      <c r="EDG1730">
        <f>SUMPRODUCT(Constraint_1724,Decision_variables)</f>
        <v>0</v>
      </c>
      <c r="EDH1730" t="s">
        <v>5265</v>
      </c>
      <c r="EDI1730">
        <v>1</v>
      </c>
    </row>
    <row r="1731" spans="2:2 1670:1685 3386:3493" x14ac:dyDescent="0.3">
      <c r="B1731" t="s">
        <v>5216</v>
      </c>
      <c r="BLH1731">
        <v>1</v>
      </c>
      <c r="DZH1731">
        <v>1</v>
      </c>
      <c r="EDG1731">
        <f>SUMPRODUCT(Constraint_1725,Decision_variables)</f>
        <v>0</v>
      </c>
      <c r="EDH1731" t="s">
        <v>5265</v>
      </c>
      <c r="EDI1731">
        <v>1</v>
      </c>
    </row>
    <row r="1732" spans="2:2 1670:1685 3386:3493" x14ac:dyDescent="0.3">
      <c r="B1732" t="s">
        <v>5217</v>
      </c>
      <c r="BLI1732">
        <v>1</v>
      </c>
      <c r="DZI1732">
        <v>1</v>
      </c>
      <c r="EDG1732">
        <f>SUMPRODUCT(Constraint_1726,Decision_variables)</f>
        <v>0</v>
      </c>
      <c r="EDH1732" t="s">
        <v>5265</v>
      </c>
      <c r="EDI1732">
        <v>1</v>
      </c>
    </row>
    <row r="1733" spans="2:2 1670:1685 3386:3493" x14ac:dyDescent="0.3">
      <c r="B1733" t="s">
        <v>5218</v>
      </c>
      <c r="BLJ1733">
        <v>1</v>
      </c>
      <c r="DZJ1733">
        <v>1</v>
      </c>
      <c r="EDG1733">
        <f>SUMPRODUCT(Constraint_1727,Decision_variables)</f>
        <v>0</v>
      </c>
      <c r="EDH1733" t="s">
        <v>5265</v>
      </c>
      <c r="EDI1733">
        <v>1</v>
      </c>
    </row>
    <row r="1734" spans="2:2 1670:1685 3386:3493" x14ac:dyDescent="0.3">
      <c r="B1734" t="s">
        <v>5219</v>
      </c>
      <c r="BLK1734">
        <v>1</v>
      </c>
      <c r="DZK1734">
        <v>1</v>
      </c>
      <c r="EDG1734">
        <f>SUMPRODUCT(Constraint_1728,Decision_variables)</f>
        <v>0</v>
      </c>
      <c r="EDH1734" t="s">
        <v>5265</v>
      </c>
      <c r="EDI1734">
        <v>1</v>
      </c>
    </row>
    <row r="1735" spans="2:2 1670:1685 3386:3493" x14ac:dyDescent="0.3">
      <c r="B1735" t="s">
        <v>5220</v>
      </c>
      <c r="BLL1735">
        <v>1</v>
      </c>
      <c r="DZL1735">
        <v>1</v>
      </c>
      <c r="EDG1735">
        <f>SUMPRODUCT(Constraint_1729,Decision_variables)</f>
        <v>0</v>
      </c>
      <c r="EDH1735" t="s">
        <v>5265</v>
      </c>
      <c r="EDI1735">
        <v>1</v>
      </c>
    </row>
    <row r="1736" spans="2:2 1670:1685 3386:3493" x14ac:dyDescent="0.3">
      <c r="B1736" t="s">
        <v>5221</v>
      </c>
      <c r="BLM1736">
        <v>1</v>
      </c>
      <c r="DZM1736">
        <v>1</v>
      </c>
      <c r="EDG1736">
        <f>SUMPRODUCT(Constraint_1730,Decision_variables)</f>
        <v>0</v>
      </c>
      <c r="EDH1736" t="s">
        <v>5265</v>
      </c>
      <c r="EDI1736">
        <v>1</v>
      </c>
    </row>
    <row r="1737" spans="2:2 1670:1685 3386:3493" x14ac:dyDescent="0.3">
      <c r="B1737" t="s">
        <v>5222</v>
      </c>
      <c r="BLN1737">
        <v>1</v>
      </c>
      <c r="DZN1737">
        <v>1</v>
      </c>
      <c r="EDG1737">
        <f>SUMPRODUCT(Constraint_1731,Decision_variables)</f>
        <v>0</v>
      </c>
      <c r="EDH1737" t="s">
        <v>5265</v>
      </c>
      <c r="EDI1737">
        <v>1</v>
      </c>
    </row>
    <row r="1738" spans="2:2 1670:1685 3386:3493" x14ac:dyDescent="0.3">
      <c r="B1738" t="s">
        <v>5223</v>
      </c>
      <c r="BLO1738">
        <v>1</v>
      </c>
      <c r="DZO1738">
        <v>1</v>
      </c>
      <c r="EDG1738">
        <f>SUMPRODUCT(Constraint_1732,Decision_variables)</f>
        <v>0</v>
      </c>
      <c r="EDH1738" t="s">
        <v>5265</v>
      </c>
      <c r="EDI1738">
        <v>1</v>
      </c>
    </row>
    <row r="1739" spans="2:2 1670:1685 3386:3493" x14ac:dyDescent="0.3">
      <c r="B1739" t="s">
        <v>5224</v>
      </c>
      <c r="BLP1739">
        <v>1</v>
      </c>
      <c r="DZP1739">
        <v>1</v>
      </c>
      <c r="EDG1739">
        <f>SUMPRODUCT(Constraint_1733,Decision_variables)</f>
        <v>0</v>
      </c>
      <c r="EDH1739" t="s">
        <v>5265</v>
      </c>
      <c r="EDI1739">
        <v>1</v>
      </c>
    </row>
    <row r="1740" spans="2:2 1670:1685 3386:3493" x14ac:dyDescent="0.3">
      <c r="B1740" t="s">
        <v>5225</v>
      </c>
      <c r="BLQ1740">
        <v>1</v>
      </c>
      <c r="DZQ1740">
        <v>1</v>
      </c>
      <c r="EDG1740">
        <f>SUMPRODUCT(Constraint_1734,Decision_variables)</f>
        <v>0</v>
      </c>
      <c r="EDH1740" t="s">
        <v>5265</v>
      </c>
      <c r="EDI1740">
        <v>1</v>
      </c>
    </row>
    <row r="1741" spans="2:2 1670:1685 3386:3493" x14ac:dyDescent="0.3">
      <c r="B1741" t="s">
        <v>5226</v>
      </c>
      <c r="BLR1741">
        <v>1</v>
      </c>
      <c r="DZR1741">
        <v>1</v>
      </c>
      <c r="EDG1741">
        <f>SUMPRODUCT(Constraint_1735,Decision_variables)</f>
        <v>0</v>
      </c>
      <c r="EDH1741" t="s">
        <v>5265</v>
      </c>
      <c r="EDI1741">
        <v>1</v>
      </c>
    </row>
    <row r="1742" spans="2:2 1670:1685 3386:3493" x14ac:dyDescent="0.3">
      <c r="B1742" t="s">
        <v>5227</v>
      </c>
      <c r="BLS1742">
        <v>1</v>
      </c>
      <c r="DZS1742">
        <v>1</v>
      </c>
      <c r="EDG1742">
        <f>SUMPRODUCT(Constraint_1736,Decision_variables)</f>
        <v>0</v>
      </c>
      <c r="EDH1742" t="s">
        <v>5265</v>
      </c>
      <c r="EDI1742">
        <v>1</v>
      </c>
    </row>
    <row r="1743" spans="2:2 1670:1685 3386:3493" x14ac:dyDescent="0.3">
      <c r="B1743" t="s">
        <v>5228</v>
      </c>
      <c r="BLT1743">
        <v>1</v>
      </c>
      <c r="DZT1743">
        <v>1</v>
      </c>
      <c r="EDG1743">
        <f>SUMPRODUCT(Constraint_1737,Decision_variables)</f>
        <v>0</v>
      </c>
      <c r="EDH1743" t="s">
        <v>5265</v>
      </c>
      <c r="EDI1743">
        <v>1</v>
      </c>
    </row>
    <row r="1744" spans="2:2 1670:1685 3386:3493" x14ac:dyDescent="0.3">
      <c r="B1744" t="s">
        <v>5229</v>
      </c>
      <c r="BLU1744">
        <v>1</v>
      </c>
      <c r="DZU1744">
        <v>1</v>
      </c>
      <c r="EDG1744">
        <f>SUMPRODUCT(Constraint_1738,Decision_variables)</f>
        <v>0</v>
      </c>
      <c r="EDH1744" t="s">
        <v>5265</v>
      </c>
      <c r="EDI1744">
        <v>1</v>
      </c>
    </row>
    <row r="1745" spans="2:2 1686:1701 3402:3493" x14ac:dyDescent="0.3">
      <c r="B1745" t="s">
        <v>5230</v>
      </c>
      <c r="BLV1745">
        <v>1</v>
      </c>
      <c r="DZV1745">
        <v>1</v>
      </c>
      <c r="EDG1745">
        <f>SUMPRODUCT(Constraint_1739,Decision_variables)</f>
        <v>0</v>
      </c>
      <c r="EDH1745" t="s">
        <v>5265</v>
      </c>
      <c r="EDI1745">
        <v>1</v>
      </c>
    </row>
    <row r="1746" spans="2:2 1686:1701 3402:3493" x14ac:dyDescent="0.3">
      <c r="B1746" t="s">
        <v>5231</v>
      </c>
      <c r="BLW1746">
        <v>1</v>
      </c>
      <c r="DZW1746">
        <v>1</v>
      </c>
      <c r="EDG1746">
        <f>SUMPRODUCT(Constraint_1740,Decision_variables)</f>
        <v>0</v>
      </c>
      <c r="EDH1746" t="s">
        <v>5265</v>
      </c>
      <c r="EDI1746">
        <v>1</v>
      </c>
    </row>
    <row r="1747" spans="2:2 1686:1701 3402:3493" x14ac:dyDescent="0.3">
      <c r="B1747" t="s">
        <v>5232</v>
      </c>
      <c r="BLX1747">
        <v>1</v>
      </c>
      <c r="DZX1747">
        <v>1</v>
      </c>
      <c r="EDG1747">
        <f>SUMPRODUCT(Constraint_1741,Decision_variables)</f>
        <v>0</v>
      </c>
      <c r="EDH1747" t="s">
        <v>5265</v>
      </c>
      <c r="EDI1747">
        <v>1</v>
      </c>
    </row>
    <row r="1748" spans="2:2 1686:1701 3402:3493" x14ac:dyDescent="0.3">
      <c r="B1748" t="s">
        <v>5233</v>
      </c>
      <c r="BLY1748">
        <v>1</v>
      </c>
      <c r="DZY1748">
        <v>1</v>
      </c>
      <c r="EDG1748">
        <f>SUMPRODUCT(Constraint_1742,Decision_variables)</f>
        <v>0</v>
      </c>
      <c r="EDH1748" t="s">
        <v>5265</v>
      </c>
      <c r="EDI1748">
        <v>1</v>
      </c>
    </row>
    <row r="1749" spans="2:2 1686:1701 3402:3493" x14ac:dyDescent="0.3">
      <c r="B1749" t="s">
        <v>5234</v>
      </c>
      <c r="BLZ1749">
        <v>1</v>
      </c>
      <c r="DZZ1749">
        <v>1</v>
      </c>
      <c r="EDG1749">
        <f>SUMPRODUCT(Constraint_1743,Decision_variables)</f>
        <v>0</v>
      </c>
      <c r="EDH1749" t="s">
        <v>5265</v>
      </c>
      <c r="EDI1749">
        <v>1</v>
      </c>
    </row>
    <row r="1750" spans="2:2 1686:1701 3402:3493" x14ac:dyDescent="0.3">
      <c r="B1750" t="s">
        <v>5235</v>
      </c>
      <c r="BMA1750">
        <v>1</v>
      </c>
      <c r="EAA1750">
        <v>1</v>
      </c>
      <c r="EDG1750">
        <f>SUMPRODUCT(Constraint_1744,Decision_variables)</f>
        <v>0</v>
      </c>
      <c r="EDH1750" t="s">
        <v>5265</v>
      </c>
      <c r="EDI1750">
        <v>1</v>
      </c>
    </row>
    <row r="1751" spans="2:2 1686:1701 3402:3493" x14ac:dyDescent="0.3">
      <c r="B1751" t="s">
        <v>5236</v>
      </c>
      <c r="BMB1751">
        <v>1</v>
      </c>
      <c r="EAB1751">
        <v>1</v>
      </c>
      <c r="EDG1751">
        <f>SUMPRODUCT(Constraint_1745,Decision_variables)</f>
        <v>0</v>
      </c>
      <c r="EDH1751" t="s">
        <v>5265</v>
      </c>
      <c r="EDI1751">
        <v>1</v>
      </c>
    </row>
    <row r="1752" spans="2:2 1686:1701 3402:3493" x14ac:dyDescent="0.3">
      <c r="B1752" t="s">
        <v>5237</v>
      </c>
      <c r="BMC1752">
        <v>1</v>
      </c>
      <c r="EAC1752">
        <v>1</v>
      </c>
      <c r="EDG1752">
        <f>SUMPRODUCT(Constraint_1746,Decision_variables)</f>
        <v>0</v>
      </c>
      <c r="EDH1752" t="s">
        <v>5265</v>
      </c>
      <c r="EDI1752">
        <v>1</v>
      </c>
    </row>
    <row r="1753" spans="2:2 1686:1701 3402:3493" x14ac:dyDescent="0.3">
      <c r="B1753" t="s">
        <v>5238</v>
      </c>
      <c r="BMD1753">
        <v>1</v>
      </c>
      <c r="EAD1753">
        <v>1</v>
      </c>
      <c r="EDG1753">
        <f>SUMPRODUCT(Constraint_1747,Decision_variables)</f>
        <v>0</v>
      </c>
      <c r="EDH1753" t="s">
        <v>5265</v>
      </c>
      <c r="EDI1753">
        <v>1</v>
      </c>
    </row>
    <row r="1754" spans="2:2 1686:1701 3402:3493" x14ac:dyDescent="0.3">
      <c r="B1754" t="s">
        <v>5239</v>
      </c>
      <c r="BME1754">
        <v>1</v>
      </c>
      <c r="EAE1754">
        <v>1</v>
      </c>
      <c r="EDG1754">
        <f>SUMPRODUCT(Constraint_1748,Decision_variables)</f>
        <v>0</v>
      </c>
      <c r="EDH1754" t="s">
        <v>5265</v>
      </c>
      <c r="EDI1754">
        <v>1</v>
      </c>
    </row>
    <row r="1755" spans="2:2 1686:1701 3402:3493" x14ac:dyDescent="0.3">
      <c r="B1755" t="s">
        <v>5240</v>
      </c>
      <c r="BMF1755">
        <v>1</v>
      </c>
      <c r="EAF1755">
        <v>1</v>
      </c>
      <c r="EDG1755">
        <f>SUMPRODUCT(Constraint_1749,Decision_variables)</f>
        <v>0</v>
      </c>
      <c r="EDH1755" t="s">
        <v>5265</v>
      </c>
      <c r="EDI1755">
        <v>1</v>
      </c>
    </row>
    <row r="1756" spans="2:2 1686:1701 3402:3493" x14ac:dyDescent="0.3">
      <c r="B1756" t="s">
        <v>5241</v>
      </c>
      <c r="BMG1756">
        <v>1</v>
      </c>
      <c r="EAG1756">
        <v>1</v>
      </c>
      <c r="EDG1756">
        <f>SUMPRODUCT(Constraint_1750,Decision_variables)</f>
        <v>0</v>
      </c>
      <c r="EDH1756" t="s">
        <v>5265</v>
      </c>
      <c r="EDI1756">
        <v>1</v>
      </c>
    </row>
    <row r="1757" spans="2:2 1686:1701 3402:3493" x14ac:dyDescent="0.3">
      <c r="B1757" t="s">
        <v>5242</v>
      </c>
      <c r="BMH1757">
        <v>1</v>
      </c>
      <c r="EAH1757">
        <v>1</v>
      </c>
      <c r="EDG1757">
        <f>SUMPRODUCT(Constraint_1751,Decision_variables)</f>
        <v>0</v>
      </c>
      <c r="EDH1757" t="s">
        <v>5265</v>
      </c>
      <c r="EDI1757">
        <v>1</v>
      </c>
    </row>
    <row r="1758" spans="2:2 1686:1701 3402:3493" x14ac:dyDescent="0.3">
      <c r="B1758" t="s">
        <v>5243</v>
      </c>
      <c r="BMI1758">
        <v>1</v>
      </c>
      <c r="EAI1758">
        <v>1</v>
      </c>
      <c r="EDG1758">
        <f>SUMPRODUCT(Constraint_1752,Decision_variables)</f>
        <v>0</v>
      </c>
      <c r="EDH1758" t="s">
        <v>5265</v>
      </c>
      <c r="EDI1758">
        <v>1</v>
      </c>
    </row>
    <row r="1759" spans="2:2 1686:1701 3402:3493" x14ac:dyDescent="0.3">
      <c r="B1759" t="s">
        <v>5244</v>
      </c>
      <c r="BMJ1759">
        <v>1</v>
      </c>
      <c r="EAJ1759">
        <v>1</v>
      </c>
      <c r="EDG1759">
        <f>SUMPRODUCT(Constraint_1753,Decision_variables)</f>
        <v>0</v>
      </c>
      <c r="EDH1759" t="s">
        <v>5265</v>
      </c>
      <c r="EDI1759">
        <v>1</v>
      </c>
    </row>
    <row r="1760" spans="2:2 1686:1701 3402:3493" x14ac:dyDescent="0.3">
      <c r="B1760" t="s">
        <v>5245</v>
      </c>
      <c r="BMK1760">
        <v>1</v>
      </c>
      <c r="EAK1760">
        <v>1</v>
      </c>
      <c r="EDG1760">
        <f>SUMPRODUCT(Constraint_1754,Decision_variables)</f>
        <v>0</v>
      </c>
      <c r="EDH1760" t="s">
        <v>5265</v>
      </c>
      <c r="EDI1760">
        <v>1</v>
      </c>
    </row>
    <row r="1761" spans="2:2 1702:1717 3418:3493" x14ac:dyDescent="0.3">
      <c r="B1761" t="s">
        <v>5246</v>
      </c>
      <c r="BML1761">
        <v>1</v>
      </c>
      <c r="EAL1761">
        <v>1</v>
      </c>
      <c r="EDG1761">
        <f>SUMPRODUCT(Constraint_1755,Decision_variables)</f>
        <v>0</v>
      </c>
      <c r="EDH1761" t="s">
        <v>5265</v>
      </c>
      <c r="EDI1761">
        <v>1</v>
      </c>
    </row>
    <row r="1762" spans="2:2 1702:1717 3418:3493" x14ac:dyDescent="0.3">
      <c r="B1762" t="s">
        <v>5247</v>
      </c>
      <c r="BMM1762">
        <v>1</v>
      </c>
      <c r="EAM1762">
        <v>1</v>
      </c>
      <c r="EDG1762">
        <f>SUMPRODUCT(Constraint_1756,Decision_variables)</f>
        <v>0</v>
      </c>
      <c r="EDH1762" t="s">
        <v>5265</v>
      </c>
      <c r="EDI1762">
        <v>1</v>
      </c>
    </row>
    <row r="1763" spans="2:2 1702:1717 3418:3493" x14ac:dyDescent="0.3">
      <c r="B1763" t="s">
        <v>5248</v>
      </c>
      <c r="BMN1763">
        <v>1</v>
      </c>
      <c r="EAN1763">
        <v>1</v>
      </c>
      <c r="EDG1763">
        <f>SUMPRODUCT(Constraint_1757,Decision_variables)</f>
        <v>0</v>
      </c>
      <c r="EDH1763" t="s">
        <v>5265</v>
      </c>
      <c r="EDI1763">
        <v>1</v>
      </c>
    </row>
    <row r="1764" spans="2:2 1702:1717 3418:3493" x14ac:dyDescent="0.3">
      <c r="B1764" t="s">
        <v>5249</v>
      </c>
      <c r="BMO1764">
        <v>1</v>
      </c>
      <c r="EAO1764">
        <v>1</v>
      </c>
      <c r="EDG1764">
        <f>SUMPRODUCT(Constraint_1758,Decision_variables)</f>
        <v>0</v>
      </c>
      <c r="EDH1764" t="s">
        <v>5265</v>
      </c>
      <c r="EDI1764">
        <v>1</v>
      </c>
    </row>
    <row r="1765" spans="2:2 1702:1717 3418:3493" x14ac:dyDescent="0.3">
      <c r="B1765" t="s">
        <v>5250</v>
      </c>
      <c r="BMP1765">
        <v>1</v>
      </c>
      <c r="EAP1765">
        <v>1</v>
      </c>
      <c r="EDG1765">
        <f>SUMPRODUCT(Constraint_1759,Decision_variables)</f>
        <v>0</v>
      </c>
      <c r="EDH1765" t="s">
        <v>5265</v>
      </c>
      <c r="EDI1765">
        <v>1</v>
      </c>
    </row>
    <row r="1766" spans="2:2 1702:1717 3418:3493" x14ac:dyDescent="0.3">
      <c r="B1766" t="s">
        <v>5251</v>
      </c>
      <c r="BMQ1766">
        <v>1</v>
      </c>
      <c r="EAQ1766">
        <v>1</v>
      </c>
      <c r="EDG1766">
        <f>SUMPRODUCT(Constraint_1760,Decision_variables)</f>
        <v>0</v>
      </c>
      <c r="EDH1766" t="s">
        <v>5265</v>
      </c>
      <c r="EDI1766">
        <v>1</v>
      </c>
    </row>
    <row r="1767" spans="2:2 1702:1717 3418:3493" x14ac:dyDescent="0.3">
      <c r="B1767" t="s">
        <v>5252</v>
      </c>
      <c r="BMR1767">
        <v>1</v>
      </c>
      <c r="EAR1767">
        <v>1</v>
      </c>
      <c r="EDG1767">
        <f>SUMPRODUCT(Constraint_1761,Decision_variables)</f>
        <v>0</v>
      </c>
      <c r="EDH1767" t="s">
        <v>5265</v>
      </c>
      <c r="EDI1767">
        <v>1</v>
      </c>
    </row>
    <row r="1768" spans="2:2 1702:1717 3418:3493" x14ac:dyDescent="0.3">
      <c r="B1768" t="s">
        <v>5253</v>
      </c>
      <c r="BMS1768">
        <v>1</v>
      </c>
      <c r="EAS1768">
        <v>1</v>
      </c>
      <c r="EDG1768">
        <f>SUMPRODUCT(Constraint_1762,Decision_variables)</f>
        <v>0</v>
      </c>
      <c r="EDH1768" t="s">
        <v>5265</v>
      </c>
      <c r="EDI1768">
        <v>1</v>
      </c>
    </row>
    <row r="1769" spans="2:2 1702:1717 3418:3493" x14ac:dyDescent="0.3">
      <c r="B1769" t="s">
        <v>5254</v>
      </c>
      <c r="BMT1769">
        <v>1</v>
      </c>
      <c r="EAT1769">
        <v>1</v>
      </c>
      <c r="EDG1769">
        <f>SUMPRODUCT(Constraint_1763,Decision_variables)</f>
        <v>0</v>
      </c>
      <c r="EDH1769" t="s">
        <v>5265</v>
      </c>
      <c r="EDI1769">
        <v>1</v>
      </c>
    </row>
    <row r="1770" spans="2:2 1702:1717 3418:3493" x14ac:dyDescent="0.3">
      <c r="B1770" t="s">
        <v>5255</v>
      </c>
      <c r="BMU1770">
        <v>1</v>
      </c>
      <c r="EAU1770">
        <v>1</v>
      </c>
      <c r="EDG1770">
        <f>SUMPRODUCT(Constraint_1764,Decision_variables)</f>
        <v>0</v>
      </c>
      <c r="EDH1770" t="s">
        <v>5265</v>
      </c>
      <c r="EDI1770">
        <v>1</v>
      </c>
    </row>
    <row r="1771" spans="2:2 1702:1717 3418:3493" x14ac:dyDescent="0.3">
      <c r="B1771" t="s">
        <v>5256</v>
      </c>
      <c r="BMV1771">
        <v>1</v>
      </c>
      <c r="EAV1771">
        <v>1</v>
      </c>
      <c r="EDG1771">
        <f>SUMPRODUCT(Constraint_1765,Decision_variables)</f>
        <v>0</v>
      </c>
      <c r="EDH1771" t="s">
        <v>5265</v>
      </c>
      <c r="EDI1771">
        <v>1</v>
      </c>
    </row>
    <row r="1772" spans="2:2 1702:1717 3418:3493" x14ac:dyDescent="0.3">
      <c r="B1772" t="s">
        <v>5257</v>
      </c>
      <c r="BMW1772">
        <v>1</v>
      </c>
      <c r="EAW1772">
        <v>1</v>
      </c>
      <c r="EDG1772">
        <f>SUMPRODUCT(Constraint_1766,Decision_variables)</f>
        <v>0</v>
      </c>
      <c r="EDH1772" t="s">
        <v>5265</v>
      </c>
      <c r="EDI1772">
        <v>1</v>
      </c>
    </row>
    <row r="1773" spans="2:2 1702:1717 3418:3493" x14ac:dyDescent="0.3">
      <c r="B1773" t="s">
        <v>5258</v>
      </c>
      <c r="BMX1773">
        <v>1</v>
      </c>
      <c r="EAX1773">
        <v>1</v>
      </c>
      <c r="EDG1773">
        <f>SUMPRODUCT(Constraint_1767,Decision_variables)</f>
        <v>0</v>
      </c>
      <c r="EDH1773" t="s">
        <v>5265</v>
      </c>
      <c r="EDI1773">
        <v>1</v>
      </c>
    </row>
    <row r="1774" spans="2:2 1702:1717 3418:3493" x14ac:dyDescent="0.3">
      <c r="B1774" t="s">
        <v>5259</v>
      </c>
      <c r="BMY1774">
        <v>1</v>
      </c>
      <c r="EAY1774">
        <v>1</v>
      </c>
      <c r="EDG1774">
        <f>SUMPRODUCT(Constraint_1768,Decision_variables)</f>
        <v>0</v>
      </c>
      <c r="EDH1774" t="s">
        <v>5265</v>
      </c>
      <c r="EDI1774">
        <v>1</v>
      </c>
    </row>
    <row r="1775" spans="2:2 1702:1717 3418:3493" x14ac:dyDescent="0.3">
      <c r="B1775" t="s">
        <v>5260</v>
      </c>
      <c r="BMZ1775">
        <v>1</v>
      </c>
      <c r="EAZ1775">
        <v>1</v>
      </c>
      <c r="EDG1775">
        <f>SUMPRODUCT(Constraint_1769,Decision_variables)</f>
        <v>0</v>
      </c>
      <c r="EDH1775" t="s">
        <v>5265</v>
      </c>
      <c r="EDI1775">
        <v>1</v>
      </c>
    </row>
    <row r="1776" spans="2:2 1702:1717 3418:3493" x14ac:dyDescent="0.3">
      <c r="B1776" t="s">
        <v>5261</v>
      </c>
      <c r="BNA1776">
        <v>1</v>
      </c>
      <c r="EBA1776">
        <v>1</v>
      </c>
      <c r="EDG1776">
        <f>SUMPRODUCT(Constraint_1770,Decision_variables)</f>
        <v>0</v>
      </c>
      <c r="EDH1776" t="s">
        <v>5265</v>
      </c>
      <c r="EDI1776">
        <v>1</v>
      </c>
    </row>
    <row r="1777" spans="1:3493" x14ac:dyDescent="0.3">
      <c r="B1777" t="s">
        <v>5262</v>
      </c>
      <c r="BNB1777">
        <v>1</v>
      </c>
      <c r="EBB1777">
        <v>1</v>
      </c>
      <c r="EDG1777">
        <f>SUMPRODUCT(Constraint_1771,Decision_variables)</f>
        <v>0</v>
      </c>
      <c r="EDH1777" t="s">
        <v>5265</v>
      </c>
      <c r="EDI1777">
        <v>1</v>
      </c>
    </row>
    <row r="1778" spans="1:3493" x14ac:dyDescent="0.3">
      <c r="B1778" t="s">
        <v>5263</v>
      </c>
      <c r="EBC1778">
        <v>1</v>
      </c>
      <c r="EBD1778">
        <v>1</v>
      </c>
      <c r="EBE1778">
        <v>1</v>
      </c>
      <c r="EBF1778">
        <v>1</v>
      </c>
      <c r="EBG1778">
        <v>1</v>
      </c>
      <c r="EBH1778">
        <v>1</v>
      </c>
      <c r="EBI1778">
        <v>1</v>
      </c>
      <c r="EBJ1778">
        <v>1</v>
      </c>
      <c r="EBK1778">
        <v>1</v>
      </c>
      <c r="EBL1778">
        <v>1</v>
      </c>
      <c r="EBM1778">
        <v>1</v>
      </c>
      <c r="EBN1778">
        <v>1</v>
      </c>
      <c r="EBO1778">
        <v>1</v>
      </c>
      <c r="EBP1778">
        <v>1</v>
      </c>
      <c r="EBQ1778">
        <v>1</v>
      </c>
      <c r="EBR1778">
        <v>1</v>
      </c>
      <c r="EBS1778">
        <v>1</v>
      </c>
      <c r="EBT1778">
        <v>1</v>
      </c>
      <c r="EBU1778">
        <v>1</v>
      </c>
      <c r="EBV1778">
        <v>1</v>
      </c>
      <c r="EBW1778">
        <v>1</v>
      </c>
      <c r="EBX1778">
        <v>1</v>
      </c>
      <c r="EBY1778">
        <v>1</v>
      </c>
      <c r="EBZ1778">
        <v>1</v>
      </c>
      <c r="ECA1778">
        <v>1</v>
      </c>
      <c r="ECB1778">
        <v>1</v>
      </c>
      <c r="ECC1778">
        <v>1</v>
      </c>
      <c r="ECD1778">
        <v>1</v>
      </c>
      <c r="ECE1778">
        <v>1</v>
      </c>
      <c r="ECF1778">
        <v>1</v>
      </c>
      <c r="ECG1778">
        <v>1</v>
      </c>
      <c r="ECH1778">
        <v>1</v>
      </c>
      <c r="ECI1778">
        <v>1</v>
      </c>
      <c r="ECJ1778">
        <v>1</v>
      </c>
      <c r="ECK1778">
        <v>1</v>
      </c>
      <c r="ECL1778">
        <v>1</v>
      </c>
      <c r="ECM1778">
        <v>1</v>
      </c>
      <c r="ECN1778">
        <v>1</v>
      </c>
      <c r="ECO1778">
        <v>1</v>
      </c>
      <c r="ECP1778">
        <v>1</v>
      </c>
      <c r="ECQ1778">
        <v>1</v>
      </c>
      <c r="ECR1778">
        <v>1</v>
      </c>
      <c r="ECS1778">
        <v>1</v>
      </c>
      <c r="ECT1778">
        <v>1</v>
      </c>
      <c r="ECU1778">
        <v>1</v>
      </c>
      <c r="ECV1778">
        <v>1</v>
      </c>
      <c r="ECW1778">
        <v>1</v>
      </c>
      <c r="ECX1778">
        <v>1</v>
      </c>
      <c r="ECY1778">
        <v>1</v>
      </c>
      <c r="ECZ1778">
        <v>1</v>
      </c>
      <c r="EDA1778">
        <v>1</v>
      </c>
      <c r="EDB1778">
        <v>1</v>
      </c>
      <c r="EDC1778">
        <v>1</v>
      </c>
      <c r="EDD1778">
        <v>1</v>
      </c>
      <c r="EDE1778">
        <v>1</v>
      </c>
      <c r="EDG1778">
        <f>SUMPRODUCT(Constraint_1772,Decision_variables)</f>
        <v>4</v>
      </c>
      <c r="EDH1778" t="s">
        <v>5265</v>
      </c>
      <c r="EDI1778">
        <v>11</v>
      </c>
    </row>
    <row r="1780" spans="1:3493" x14ac:dyDescent="0.3">
      <c r="A1780" s="2" t="s">
        <v>5269</v>
      </c>
      <c r="B1780" t="s">
        <v>5270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0</v>
      </c>
      <c r="GK1780">
        <v>0</v>
      </c>
      <c r="GL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0</v>
      </c>
      <c r="GY1780">
        <v>0</v>
      </c>
      <c r="GZ1780">
        <v>0</v>
      </c>
      <c r="HA1780">
        <v>0</v>
      </c>
      <c r="HB1780">
        <v>0</v>
      </c>
      <c r="HC1780">
        <v>0</v>
      </c>
      <c r="HD1780">
        <v>0</v>
      </c>
      <c r="HE1780">
        <v>0</v>
      </c>
      <c r="HF1780">
        <v>0</v>
      </c>
      <c r="HG1780">
        <v>0</v>
      </c>
      <c r="HH1780">
        <v>0</v>
      </c>
      <c r="HI1780">
        <v>0</v>
      </c>
      <c r="HJ1780">
        <v>0</v>
      </c>
      <c r="HK1780">
        <v>0</v>
      </c>
      <c r="HL1780">
        <v>0</v>
      </c>
      <c r="HM1780">
        <v>0</v>
      </c>
      <c r="HN1780">
        <v>0</v>
      </c>
      <c r="HO1780">
        <v>0</v>
      </c>
      <c r="HP1780">
        <v>0</v>
      </c>
      <c r="HQ1780">
        <v>0</v>
      </c>
      <c r="HR1780">
        <v>0</v>
      </c>
      <c r="HS1780">
        <v>0</v>
      </c>
      <c r="HT1780">
        <v>0</v>
      </c>
      <c r="HU1780">
        <v>0</v>
      </c>
      <c r="HV1780">
        <v>0</v>
      </c>
      <c r="HW1780">
        <v>0</v>
      </c>
      <c r="HX1780">
        <v>0</v>
      </c>
      <c r="HY1780">
        <v>0</v>
      </c>
      <c r="HZ1780">
        <v>0</v>
      </c>
      <c r="IA1780">
        <v>0</v>
      </c>
      <c r="IB1780">
        <v>0</v>
      </c>
      <c r="IC1780">
        <v>0</v>
      </c>
      <c r="ID1780">
        <v>0</v>
      </c>
      <c r="IE1780">
        <v>0</v>
      </c>
      <c r="IF1780">
        <v>0</v>
      </c>
      <c r="IG1780">
        <v>0</v>
      </c>
      <c r="IH1780">
        <v>0</v>
      </c>
      <c r="II1780">
        <v>0</v>
      </c>
      <c r="IJ1780">
        <v>0</v>
      </c>
      <c r="IK1780">
        <v>0</v>
      </c>
      <c r="IL1780">
        <v>0</v>
      </c>
      <c r="IM1780">
        <v>0</v>
      </c>
      <c r="IN1780">
        <v>0</v>
      </c>
      <c r="IO1780">
        <v>0</v>
      </c>
      <c r="IP1780">
        <v>0</v>
      </c>
      <c r="IQ1780">
        <v>0</v>
      </c>
      <c r="IR1780">
        <v>0</v>
      </c>
      <c r="IS1780">
        <v>0</v>
      </c>
      <c r="IT1780">
        <v>0</v>
      </c>
      <c r="IU1780">
        <v>0</v>
      </c>
      <c r="IV1780">
        <v>0</v>
      </c>
      <c r="IW1780">
        <v>0</v>
      </c>
      <c r="IX1780">
        <v>0</v>
      </c>
      <c r="IY1780">
        <v>0</v>
      </c>
      <c r="IZ1780">
        <v>0</v>
      </c>
      <c r="JA1780">
        <v>0</v>
      </c>
      <c r="JB1780">
        <v>0</v>
      </c>
      <c r="JC1780">
        <v>0</v>
      </c>
      <c r="JD1780">
        <v>0</v>
      </c>
      <c r="JE1780">
        <v>0</v>
      </c>
      <c r="JF1780">
        <v>0</v>
      </c>
      <c r="JG1780">
        <v>0</v>
      </c>
      <c r="JH1780">
        <v>0</v>
      </c>
      <c r="JI1780">
        <v>0</v>
      </c>
      <c r="JJ1780">
        <v>0</v>
      </c>
      <c r="JK1780">
        <v>0</v>
      </c>
      <c r="JL1780">
        <v>0</v>
      </c>
      <c r="JM1780">
        <v>0</v>
      </c>
      <c r="JN1780">
        <v>0</v>
      </c>
      <c r="JO1780">
        <v>0</v>
      </c>
      <c r="JP1780">
        <v>0</v>
      </c>
      <c r="JQ1780">
        <v>0</v>
      </c>
      <c r="JR1780">
        <v>0</v>
      </c>
      <c r="JS1780">
        <v>0</v>
      </c>
      <c r="JT1780">
        <v>0</v>
      </c>
      <c r="JU1780">
        <v>0</v>
      </c>
      <c r="JV1780">
        <v>0</v>
      </c>
      <c r="JW1780">
        <v>0</v>
      </c>
      <c r="JX1780">
        <v>0</v>
      </c>
      <c r="JY1780">
        <v>0</v>
      </c>
      <c r="JZ1780">
        <v>0</v>
      </c>
      <c r="KA1780">
        <v>0</v>
      </c>
      <c r="KB1780">
        <v>0</v>
      </c>
      <c r="KC1780">
        <v>0</v>
      </c>
      <c r="KD1780">
        <v>0</v>
      </c>
      <c r="KE1780">
        <v>0</v>
      </c>
      <c r="KF1780">
        <v>0</v>
      </c>
      <c r="KG1780">
        <v>0</v>
      </c>
      <c r="KH1780">
        <v>0</v>
      </c>
      <c r="KI1780">
        <v>0</v>
      </c>
      <c r="KJ1780">
        <v>0</v>
      </c>
      <c r="KK1780">
        <v>0</v>
      </c>
      <c r="KL1780">
        <v>0</v>
      </c>
      <c r="KM1780">
        <v>0</v>
      </c>
      <c r="KN1780">
        <v>0</v>
      </c>
      <c r="KO1780">
        <v>0</v>
      </c>
      <c r="KP1780">
        <v>0</v>
      </c>
      <c r="KQ1780">
        <v>0</v>
      </c>
      <c r="KR1780">
        <v>0</v>
      </c>
      <c r="KS1780">
        <v>0</v>
      </c>
      <c r="KT1780">
        <v>0</v>
      </c>
      <c r="KU1780">
        <v>0</v>
      </c>
      <c r="KV1780">
        <v>0</v>
      </c>
      <c r="KW1780">
        <v>0</v>
      </c>
      <c r="KX1780">
        <v>0</v>
      </c>
      <c r="KY1780">
        <v>0</v>
      </c>
      <c r="KZ1780">
        <v>0</v>
      </c>
      <c r="LA1780">
        <v>0</v>
      </c>
      <c r="LB1780">
        <v>0</v>
      </c>
      <c r="LC1780">
        <v>0</v>
      </c>
      <c r="LD1780">
        <v>0</v>
      </c>
      <c r="LE1780">
        <v>0</v>
      </c>
      <c r="LF1780">
        <v>0</v>
      </c>
      <c r="LG1780">
        <v>0</v>
      </c>
      <c r="LH1780">
        <v>0</v>
      </c>
      <c r="LI1780">
        <v>0</v>
      </c>
      <c r="LJ1780">
        <v>0</v>
      </c>
      <c r="LK1780">
        <v>0</v>
      </c>
      <c r="LL1780">
        <v>0</v>
      </c>
      <c r="LM1780">
        <v>0</v>
      </c>
      <c r="LN1780">
        <v>0</v>
      </c>
      <c r="LO1780">
        <v>0</v>
      </c>
      <c r="LP1780">
        <v>0</v>
      </c>
      <c r="LQ1780">
        <v>0</v>
      </c>
      <c r="LR1780">
        <v>0</v>
      </c>
      <c r="LS1780">
        <v>0</v>
      </c>
      <c r="LT1780">
        <v>0</v>
      </c>
      <c r="LU1780">
        <v>0</v>
      </c>
      <c r="LV1780">
        <v>0</v>
      </c>
      <c r="LW1780">
        <v>0</v>
      </c>
      <c r="LX1780">
        <v>0</v>
      </c>
      <c r="LY1780">
        <v>0</v>
      </c>
      <c r="LZ1780">
        <v>0</v>
      </c>
      <c r="MA1780">
        <v>0</v>
      </c>
      <c r="MB1780">
        <v>0</v>
      </c>
      <c r="MC1780">
        <v>0</v>
      </c>
      <c r="MD1780">
        <v>0</v>
      </c>
      <c r="ME1780">
        <v>0</v>
      </c>
      <c r="MF1780">
        <v>0</v>
      </c>
      <c r="MG1780">
        <v>0</v>
      </c>
      <c r="MH1780">
        <v>0</v>
      </c>
      <c r="MI1780">
        <v>0</v>
      </c>
      <c r="MJ1780">
        <v>0</v>
      </c>
      <c r="MK1780">
        <v>0</v>
      </c>
      <c r="ML1780">
        <v>0</v>
      </c>
      <c r="MM1780">
        <v>0</v>
      </c>
      <c r="MN1780">
        <v>0</v>
      </c>
      <c r="MO1780">
        <v>0</v>
      </c>
      <c r="MP1780">
        <v>0</v>
      </c>
      <c r="MQ1780">
        <v>0</v>
      </c>
      <c r="MR1780">
        <v>0</v>
      </c>
      <c r="MS1780">
        <v>0</v>
      </c>
      <c r="MT1780">
        <v>0</v>
      </c>
      <c r="MU1780">
        <v>0</v>
      </c>
      <c r="MV1780">
        <v>0</v>
      </c>
      <c r="MW1780">
        <v>0</v>
      </c>
      <c r="MX1780">
        <v>0</v>
      </c>
      <c r="MY1780">
        <v>0</v>
      </c>
      <c r="MZ1780">
        <v>0</v>
      </c>
      <c r="NA1780">
        <v>0</v>
      </c>
      <c r="NB1780">
        <v>0</v>
      </c>
      <c r="NC1780">
        <v>0</v>
      </c>
      <c r="ND1780">
        <v>0</v>
      </c>
      <c r="NE1780">
        <v>0</v>
      </c>
      <c r="NF1780">
        <v>0</v>
      </c>
      <c r="NG1780">
        <v>0</v>
      </c>
      <c r="NH1780">
        <v>0</v>
      </c>
      <c r="NI1780">
        <v>0</v>
      </c>
      <c r="NJ1780">
        <v>0</v>
      </c>
      <c r="NK1780">
        <v>0</v>
      </c>
      <c r="NL1780">
        <v>0</v>
      </c>
      <c r="NM1780">
        <v>0</v>
      </c>
      <c r="NN1780">
        <v>0</v>
      </c>
      <c r="NO1780">
        <v>0</v>
      </c>
      <c r="NP1780">
        <v>0</v>
      </c>
      <c r="NQ1780">
        <v>0</v>
      </c>
      <c r="NR1780">
        <v>0</v>
      </c>
      <c r="NS1780">
        <v>0</v>
      </c>
      <c r="NT1780">
        <v>0</v>
      </c>
      <c r="NU1780">
        <v>0</v>
      </c>
      <c r="NV1780">
        <v>0</v>
      </c>
      <c r="NW1780">
        <v>0</v>
      </c>
      <c r="NX1780">
        <v>0</v>
      </c>
      <c r="NY1780">
        <v>0</v>
      </c>
      <c r="NZ1780">
        <v>0</v>
      </c>
      <c r="OA1780">
        <v>0</v>
      </c>
      <c r="OB1780">
        <v>0</v>
      </c>
      <c r="OC1780">
        <v>0</v>
      </c>
      <c r="OD1780">
        <v>0</v>
      </c>
      <c r="OE1780">
        <v>0</v>
      </c>
      <c r="OF1780">
        <v>0</v>
      </c>
      <c r="OG1780">
        <v>0</v>
      </c>
      <c r="OH1780">
        <v>0</v>
      </c>
      <c r="OI1780">
        <v>0</v>
      </c>
      <c r="OJ1780">
        <v>0</v>
      </c>
      <c r="OK1780">
        <v>0</v>
      </c>
      <c r="OL1780">
        <v>0</v>
      </c>
      <c r="OM1780">
        <v>0</v>
      </c>
      <c r="ON1780">
        <v>0</v>
      </c>
      <c r="OO1780">
        <v>0</v>
      </c>
      <c r="OP1780">
        <v>0</v>
      </c>
      <c r="OQ1780">
        <v>0</v>
      </c>
      <c r="OR1780">
        <v>0</v>
      </c>
      <c r="OS1780">
        <v>0</v>
      </c>
      <c r="OT1780">
        <v>0</v>
      </c>
      <c r="OU1780">
        <v>0</v>
      </c>
      <c r="OV1780">
        <v>0</v>
      </c>
      <c r="OW1780">
        <v>0</v>
      </c>
      <c r="OX1780">
        <v>0</v>
      </c>
      <c r="OY1780">
        <v>0</v>
      </c>
      <c r="OZ1780">
        <v>0</v>
      </c>
      <c r="PA1780">
        <v>0</v>
      </c>
      <c r="PB1780">
        <v>0</v>
      </c>
      <c r="PC1780">
        <v>0</v>
      </c>
      <c r="PD1780">
        <v>0</v>
      </c>
      <c r="PE1780">
        <v>0</v>
      </c>
      <c r="PF1780">
        <v>0</v>
      </c>
      <c r="PG1780">
        <v>0</v>
      </c>
      <c r="PH1780">
        <v>0</v>
      </c>
      <c r="PI1780">
        <v>0</v>
      </c>
      <c r="PJ1780">
        <v>0</v>
      </c>
      <c r="PK1780">
        <v>0</v>
      </c>
      <c r="PL1780">
        <v>0</v>
      </c>
      <c r="PM1780">
        <v>0</v>
      </c>
      <c r="PN1780">
        <v>0</v>
      </c>
      <c r="PO1780">
        <v>0</v>
      </c>
      <c r="PP1780">
        <v>0</v>
      </c>
      <c r="PQ1780">
        <v>0</v>
      </c>
      <c r="PR1780">
        <v>0</v>
      </c>
      <c r="PS1780">
        <v>0</v>
      </c>
      <c r="PT1780">
        <v>0</v>
      </c>
      <c r="PU1780">
        <v>0</v>
      </c>
      <c r="PV1780">
        <v>0</v>
      </c>
      <c r="PW1780">
        <v>0</v>
      </c>
      <c r="PX1780">
        <v>0</v>
      </c>
      <c r="PY1780">
        <v>0</v>
      </c>
      <c r="PZ1780">
        <v>0</v>
      </c>
      <c r="QA1780">
        <v>0</v>
      </c>
      <c r="QB1780">
        <v>0</v>
      </c>
      <c r="QC1780">
        <v>0</v>
      </c>
      <c r="QD1780">
        <v>0</v>
      </c>
      <c r="QE1780">
        <v>0</v>
      </c>
      <c r="QF1780">
        <v>0</v>
      </c>
      <c r="QG1780">
        <v>0</v>
      </c>
      <c r="QH1780">
        <v>0</v>
      </c>
      <c r="QI1780">
        <v>0</v>
      </c>
      <c r="QJ1780">
        <v>0</v>
      </c>
      <c r="QK1780">
        <v>0</v>
      </c>
      <c r="QL1780">
        <v>0</v>
      </c>
      <c r="QM1780">
        <v>0</v>
      </c>
      <c r="QN1780">
        <v>0</v>
      </c>
      <c r="QO1780">
        <v>0</v>
      </c>
      <c r="QP1780">
        <v>0</v>
      </c>
      <c r="QQ1780">
        <v>0</v>
      </c>
      <c r="QR1780">
        <v>0</v>
      </c>
      <c r="QS1780">
        <v>0</v>
      </c>
      <c r="QT1780">
        <v>0</v>
      </c>
      <c r="QU1780">
        <v>0</v>
      </c>
      <c r="QV1780">
        <v>0</v>
      </c>
      <c r="QW1780">
        <v>0</v>
      </c>
      <c r="QX1780">
        <v>0</v>
      </c>
      <c r="QY1780">
        <v>0</v>
      </c>
      <c r="QZ1780">
        <v>0</v>
      </c>
      <c r="RA1780">
        <v>0</v>
      </c>
      <c r="RB1780">
        <v>0</v>
      </c>
      <c r="RC1780">
        <v>0</v>
      </c>
      <c r="RD1780">
        <v>0</v>
      </c>
      <c r="RE1780">
        <v>0</v>
      </c>
      <c r="RF1780">
        <v>0</v>
      </c>
      <c r="RG1780">
        <v>0</v>
      </c>
      <c r="RH1780">
        <v>0</v>
      </c>
      <c r="RI1780">
        <v>0</v>
      </c>
      <c r="RJ1780">
        <v>0</v>
      </c>
      <c r="RK1780">
        <v>0</v>
      </c>
      <c r="RL1780">
        <v>0</v>
      </c>
      <c r="RM1780">
        <v>0</v>
      </c>
      <c r="RN1780">
        <v>0</v>
      </c>
      <c r="RO1780">
        <v>0</v>
      </c>
      <c r="RP1780">
        <v>0</v>
      </c>
      <c r="RQ1780">
        <v>0</v>
      </c>
      <c r="RR1780">
        <v>0</v>
      </c>
      <c r="RS1780">
        <v>0</v>
      </c>
      <c r="RT1780">
        <v>0</v>
      </c>
      <c r="RU1780">
        <v>0</v>
      </c>
      <c r="RV1780">
        <v>0</v>
      </c>
      <c r="RW1780">
        <v>0</v>
      </c>
      <c r="RX1780">
        <v>0</v>
      </c>
      <c r="RY1780">
        <v>0</v>
      </c>
      <c r="RZ1780">
        <v>0</v>
      </c>
      <c r="SA1780">
        <v>0</v>
      </c>
      <c r="SB1780">
        <v>0</v>
      </c>
      <c r="SC1780">
        <v>0</v>
      </c>
      <c r="SD1780">
        <v>0</v>
      </c>
      <c r="SE1780">
        <v>0</v>
      </c>
      <c r="SF1780">
        <v>0</v>
      </c>
      <c r="SG1780">
        <v>0</v>
      </c>
      <c r="SH1780">
        <v>0</v>
      </c>
      <c r="SI1780">
        <v>0</v>
      </c>
      <c r="SJ1780">
        <v>0</v>
      </c>
      <c r="SK1780">
        <v>0</v>
      </c>
      <c r="SL1780">
        <v>0</v>
      </c>
      <c r="SM1780">
        <v>0</v>
      </c>
      <c r="SN1780">
        <v>0</v>
      </c>
      <c r="SO1780">
        <v>0</v>
      </c>
      <c r="SP1780">
        <v>0</v>
      </c>
      <c r="SQ1780">
        <v>0</v>
      </c>
      <c r="SR1780">
        <v>0</v>
      </c>
      <c r="SS1780">
        <v>0</v>
      </c>
      <c r="ST1780">
        <v>0</v>
      </c>
      <c r="SU1780">
        <v>0</v>
      </c>
      <c r="SV1780">
        <v>0</v>
      </c>
      <c r="SW1780">
        <v>0</v>
      </c>
      <c r="SX1780">
        <v>0</v>
      </c>
      <c r="SY1780">
        <v>0</v>
      </c>
      <c r="SZ1780">
        <v>0</v>
      </c>
      <c r="TA1780">
        <v>0</v>
      </c>
      <c r="TB1780">
        <v>0</v>
      </c>
      <c r="TC1780">
        <v>0</v>
      </c>
      <c r="TD1780">
        <v>0</v>
      </c>
      <c r="TE1780">
        <v>0</v>
      </c>
      <c r="TF1780">
        <v>0</v>
      </c>
      <c r="TG1780">
        <v>0</v>
      </c>
      <c r="TH1780">
        <v>0</v>
      </c>
      <c r="TI1780">
        <v>0</v>
      </c>
      <c r="TJ1780">
        <v>0</v>
      </c>
      <c r="TK1780">
        <v>0</v>
      </c>
      <c r="TL1780">
        <v>0</v>
      </c>
      <c r="TM1780">
        <v>0</v>
      </c>
      <c r="TN1780">
        <v>0</v>
      </c>
      <c r="TO1780">
        <v>0</v>
      </c>
      <c r="TP1780">
        <v>0</v>
      </c>
      <c r="TQ1780">
        <v>0</v>
      </c>
      <c r="TR1780">
        <v>0</v>
      </c>
      <c r="TS1780">
        <v>0</v>
      </c>
      <c r="TT1780">
        <v>0</v>
      </c>
      <c r="TU1780">
        <v>0</v>
      </c>
      <c r="TV1780">
        <v>0</v>
      </c>
      <c r="TW1780">
        <v>0</v>
      </c>
      <c r="TX1780">
        <v>0</v>
      </c>
      <c r="TY1780">
        <v>0</v>
      </c>
      <c r="TZ1780">
        <v>0</v>
      </c>
      <c r="UA1780">
        <v>0</v>
      </c>
      <c r="UB1780">
        <v>0</v>
      </c>
      <c r="UC1780">
        <v>0</v>
      </c>
      <c r="UD1780">
        <v>0</v>
      </c>
      <c r="UE1780">
        <v>0</v>
      </c>
      <c r="UF1780">
        <v>0</v>
      </c>
      <c r="UG1780">
        <v>0</v>
      </c>
      <c r="UH1780">
        <v>0</v>
      </c>
      <c r="UI1780">
        <v>0</v>
      </c>
      <c r="UJ1780">
        <v>0</v>
      </c>
      <c r="UK1780">
        <v>0</v>
      </c>
      <c r="UL1780">
        <v>0</v>
      </c>
      <c r="UM1780">
        <v>0</v>
      </c>
      <c r="UN1780">
        <v>0</v>
      </c>
      <c r="UO1780">
        <v>0</v>
      </c>
      <c r="UP1780">
        <v>0</v>
      </c>
      <c r="UQ1780">
        <v>0</v>
      </c>
      <c r="UR1780">
        <v>0</v>
      </c>
      <c r="US1780">
        <v>0</v>
      </c>
      <c r="UT1780">
        <v>0</v>
      </c>
      <c r="UU1780">
        <v>0</v>
      </c>
      <c r="UV1780">
        <v>0</v>
      </c>
      <c r="UW1780">
        <v>0</v>
      </c>
      <c r="UX1780">
        <v>0</v>
      </c>
      <c r="UY1780">
        <v>0</v>
      </c>
      <c r="UZ1780">
        <v>0</v>
      </c>
      <c r="VA1780">
        <v>0</v>
      </c>
      <c r="VB1780">
        <v>0</v>
      </c>
      <c r="VC1780">
        <v>0</v>
      </c>
      <c r="VD1780">
        <v>0</v>
      </c>
      <c r="VE1780">
        <v>0</v>
      </c>
      <c r="VF1780">
        <v>0</v>
      </c>
      <c r="VG1780">
        <v>0</v>
      </c>
      <c r="VH1780">
        <v>0</v>
      </c>
      <c r="VI1780">
        <v>0</v>
      </c>
      <c r="VJ1780">
        <v>0</v>
      </c>
      <c r="VK1780">
        <v>0</v>
      </c>
      <c r="VL1780">
        <v>0</v>
      </c>
      <c r="VM1780">
        <v>0</v>
      </c>
      <c r="VN1780">
        <v>0</v>
      </c>
      <c r="VO1780">
        <v>0</v>
      </c>
      <c r="VP1780">
        <v>0</v>
      </c>
      <c r="VQ1780">
        <v>0</v>
      </c>
      <c r="VR1780">
        <v>0</v>
      </c>
      <c r="VS1780">
        <v>0</v>
      </c>
      <c r="VT1780">
        <v>0</v>
      </c>
      <c r="VU1780">
        <v>0</v>
      </c>
      <c r="VV1780">
        <v>0</v>
      </c>
      <c r="VW1780">
        <v>0</v>
      </c>
      <c r="VX1780">
        <v>0</v>
      </c>
      <c r="VY1780">
        <v>0</v>
      </c>
      <c r="VZ1780">
        <v>0</v>
      </c>
      <c r="WA1780">
        <v>0</v>
      </c>
      <c r="WB1780">
        <v>0</v>
      </c>
      <c r="WC1780">
        <v>0</v>
      </c>
      <c r="WD1780">
        <v>0</v>
      </c>
      <c r="WE1780">
        <v>0</v>
      </c>
      <c r="WF1780">
        <v>0</v>
      </c>
      <c r="WG1780">
        <v>0</v>
      </c>
      <c r="WH1780">
        <v>0</v>
      </c>
      <c r="WI1780">
        <v>0</v>
      </c>
      <c r="WJ1780">
        <v>0</v>
      </c>
      <c r="WK1780">
        <v>0</v>
      </c>
      <c r="WL1780">
        <v>0</v>
      </c>
      <c r="WM1780">
        <v>0</v>
      </c>
      <c r="WN1780">
        <v>0</v>
      </c>
      <c r="WO1780">
        <v>0</v>
      </c>
      <c r="WP1780">
        <v>0</v>
      </c>
      <c r="WQ1780">
        <v>0</v>
      </c>
      <c r="WR1780">
        <v>0</v>
      </c>
      <c r="WS1780">
        <v>0</v>
      </c>
      <c r="WT1780">
        <v>0</v>
      </c>
      <c r="WU1780">
        <v>0</v>
      </c>
      <c r="WV1780">
        <v>0</v>
      </c>
      <c r="WW1780">
        <v>0</v>
      </c>
      <c r="WX1780">
        <v>0</v>
      </c>
      <c r="WY1780">
        <v>0</v>
      </c>
      <c r="WZ1780">
        <v>0</v>
      </c>
      <c r="XA1780">
        <v>0</v>
      </c>
      <c r="XB1780">
        <v>0</v>
      </c>
      <c r="XC1780">
        <v>0</v>
      </c>
      <c r="XD1780">
        <v>0</v>
      </c>
      <c r="XE1780">
        <v>0</v>
      </c>
      <c r="XF1780">
        <v>0</v>
      </c>
      <c r="XG1780">
        <v>0</v>
      </c>
      <c r="XH1780">
        <v>0</v>
      </c>
      <c r="XI1780">
        <v>0</v>
      </c>
      <c r="XJ1780">
        <v>0</v>
      </c>
      <c r="XK1780">
        <v>0</v>
      </c>
      <c r="XL1780">
        <v>0</v>
      </c>
      <c r="XM1780">
        <v>0</v>
      </c>
      <c r="XN1780">
        <v>0</v>
      </c>
      <c r="XO1780">
        <v>0</v>
      </c>
      <c r="XP1780">
        <v>0</v>
      </c>
      <c r="XQ1780">
        <v>0</v>
      </c>
      <c r="XR1780">
        <v>0</v>
      </c>
      <c r="XS1780">
        <v>0</v>
      </c>
      <c r="XT1780">
        <v>0</v>
      </c>
      <c r="XU1780">
        <v>0</v>
      </c>
      <c r="XV1780">
        <v>0</v>
      </c>
      <c r="XW1780">
        <v>0</v>
      </c>
      <c r="XX1780">
        <v>0</v>
      </c>
      <c r="XY1780">
        <v>0</v>
      </c>
      <c r="XZ1780">
        <v>0</v>
      </c>
      <c r="YA1780">
        <v>0</v>
      </c>
      <c r="YB1780">
        <v>0</v>
      </c>
      <c r="YC1780">
        <v>0</v>
      </c>
      <c r="YD1780">
        <v>0</v>
      </c>
      <c r="YE1780">
        <v>0</v>
      </c>
      <c r="YF1780">
        <v>0</v>
      </c>
      <c r="YG1780">
        <v>0</v>
      </c>
      <c r="YH1780">
        <v>0</v>
      </c>
      <c r="YI1780">
        <v>0</v>
      </c>
      <c r="YJ1780">
        <v>0</v>
      </c>
      <c r="YK1780">
        <v>0</v>
      </c>
      <c r="YL1780">
        <v>0</v>
      </c>
      <c r="YM1780">
        <v>0</v>
      </c>
      <c r="YN1780">
        <v>0</v>
      </c>
      <c r="YO1780">
        <v>0</v>
      </c>
      <c r="YP1780">
        <v>0</v>
      </c>
      <c r="YQ1780">
        <v>0</v>
      </c>
      <c r="YR1780">
        <v>0</v>
      </c>
      <c r="YS1780">
        <v>0</v>
      </c>
      <c r="YT1780">
        <v>0</v>
      </c>
      <c r="YU1780">
        <v>0</v>
      </c>
      <c r="YV1780">
        <v>0</v>
      </c>
      <c r="YW1780">
        <v>0</v>
      </c>
      <c r="YX1780">
        <v>0</v>
      </c>
      <c r="YY1780">
        <v>0</v>
      </c>
      <c r="YZ1780">
        <v>0</v>
      </c>
      <c r="ZA1780">
        <v>0</v>
      </c>
      <c r="ZB1780">
        <v>0</v>
      </c>
      <c r="ZC1780">
        <v>0</v>
      </c>
      <c r="ZD1780">
        <v>0</v>
      </c>
      <c r="ZE1780">
        <v>0</v>
      </c>
      <c r="ZF1780">
        <v>0</v>
      </c>
      <c r="ZG1780">
        <v>0</v>
      </c>
      <c r="ZH1780">
        <v>0</v>
      </c>
      <c r="ZI1780">
        <v>0</v>
      </c>
      <c r="ZJ1780">
        <v>0</v>
      </c>
      <c r="ZK1780">
        <v>0</v>
      </c>
      <c r="ZL1780">
        <v>0</v>
      </c>
      <c r="ZM1780">
        <v>0</v>
      </c>
      <c r="ZN1780">
        <v>0</v>
      </c>
      <c r="ZO1780">
        <v>0</v>
      </c>
      <c r="ZP1780">
        <v>0</v>
      </c>
      <c r="ZQ1780">
        <v>0</v>
      </c>
      <c r="ZR1780">
        <v>0</v>
      </c>
      <c r="ZS1780">
        <v>0</v>
      </c>
      <c r="ZT1780">
        <v>0</v>
      </c>
      <c r="ZU1780">
        <v>0</v>
      </c>
      <c r="ZV1780">
        <v>0</v>
      </c>
      <c r="ZW1780">
        <v>0</v>
      </c>
      <c r="ZX1780">
        <v>0</v>
      </c>
      <c r="ZY1780">
        <v>0</v>
      </c>
      <c r="ZZ1780">
        <v>0</v>
      </c>
      <c r="AAA1780">
        <v>0</v>
      </c>
      <c r="AAB1780">
        <v>0</v>
      </c>
      <c r="AAC1780">
        <v>0</v>
      </c>
      <c r="AAD1780">
        <v>0</v>
      </c>
      <c r="AAE1780">
        <v>0</v>
      </c>
      <c r="AAF1780">
        <v>0</v>
      </c>
      <c r="AAG1780">
        <v>0</v>
      </c>
      <c r="AAH1780">
        <v>0</v>
      </c>
      <c r="AAI1780">
        <v>0</v>
      </c>
      <c r="AAJ1780">
        <v>0</v>
      </c>
      <c r="AAK1780">
        <v>0</v>
      </c>
      <c r="AAL1780">
        <v>0</v>
      </c>
      <c r="AAM1780">
        <v>0</v>
      </c>
      <c r="AAN1780">
        <v>0</v>
      </c>
      <c r="AAO1780">
        <v>0</v>
      </c>
      <c r="AAP1780">
        <v>0</v>
      </c>
      <c r="AAQ1780">
        <v>0</v>
      </c>
      <c r="AAR1780">
        <v>0</v>
      </c>
      <c r="AAS1780">
        <v>0</v>
      </c>
      <c r="AAT1780">
        <v>0</v>
      </c>
      <c r="AAU1780">
        <v>0</v>
      </c>
      <c r="AAV1780">
        <v>0</v>
      </c>
      <c r="AAW1780">
        <v>0</v>
      </c>
      <c r="AAX1780">
        <v>0</v>
      </c>
      <c r="AAY1780">
        <v>0</v>
      </c>
      <c r="AAZ1780">
        <v>0</v>
      </c>
      <c r="ABA1780">
        <v>0</v>
      </c>
      <c r="ABB1780">
        <v>0</v>
      </c>
      <c r="ABC1780">
        <v>0</v>
      </c>
      <c r="ABD1780">
        <v>0</v>
      </c>
      <c r="ABE1780">
        <v>0</v>
      </c>
      <c r="ABF1780">
        <v>0</v>
      </c>
      <c r="ABG1780">
        <v>0</v>
      </c>
      <c r="ABH1780">
        <v>0</v>
      </c>
      <c r="ABI1780">
        <v>0</v>
      </c>
      <c r="ABJ1780">
        <v>0</v>
      </c>
      <c r="ABK1780">
        <v>0</v>
      </c>
      <c r="ABL1780">
        <v>0</v>
      </c>
      <c r="ABM1780">
        <v>0</v>
      </c>
      <c r="ABN1780">
        <v>0</v>
      </c>
      <c r="ABO1780">
        <v>0</v>
      </c>
      <c r="ABP1780">
        <v>0</v>
      </c>
      <c r="ABQ1780">
        <v>0</v>
      </c>
      <c r="ABR1780">
        <v>0</v>
      </c>
      <c r="ABS1780">
        <v>0</v>
      </c>
      <c r="ABT1780">
        <v>0</v>
      </c>
      <c r="ABU1780">
        <v>0</v>
      </c>
      <c r="ABV1780">
        <v>0</v>
      </c>
      <c r="ABW1780">
        <v>0</v>
      </c>
      <c r="ABX1780">
        <v>0</v>
      </c>
      <c r="ABY1780">
        <v>0</v>
      </c>
      <c r="ABZ1780">
        <v>0</v>
      </c>
      <c r="ACA1780">
        <v>0</v>
      </c>
      <c r="ACB1780">
        <v>0</v>
      </c>
      <c r="ACC1780">
        <v>0</v>
      </c>
      <c r="ACD1780">
        <v>0</v>
      </c>
      <c r="ACE1780">
        <v>0</v>
      </c>
      <c r="ACF1780">
        <v>0</v>
      </c>
      <c r="ACG1780">
        <v>0</v>
      </c>
      <c r="ACH1780">
        <v>0</v>
      </c>
      <c r="ACI1780">
        <v>0</v>
      </c>
      <c r="ACJ1780">
        <v>0</v>
      </c>
      <c r="ACK1780">
        <v>0</v>
      </c>
      <c r="ACL1780">
        <v>0</v>
      </c>
      <c r="ACM1780">
        <v>0</v>
      </c>
      <c r="ACN1780">
        <v>0</v>
      </c>
      <c r="ACO1780">
        <v>0</v>
      </c>
      <c r="ACP1780">
        <v>0</v>
      </c>
      <c r="ACQ1780">
        <v>0</v>
      </c>
      <c r="ACR1780">
        <v>0</v>
      </c>
      <c r="ACS1780">
        <v>0</v>
      </c>
      <c r="ACT1780">
        <v>0</v>
      </c>
      <c r="ACU1780">
        <v>0</v>
      </c>
      <c r="ACV1780">
        <v>0</v>
      </c>
      <c r="ACW1780">
        <v>0</v>
      </c>
      <c r="ACX1780">
        <v>0</v>
      </c>
      <c r="ACY1780">
        <v>0</v>
      </c>
      <c r="ACZ1780">
        <v>0</v>
      </c>
      <c r="ADA1780">
        <v>0</v>
      </c>
      <c r="ADB1780">
        <v>0</v>
      </c>
      <c r="ADC1780">
        <v>0</v>
      </c>
      <c r="ADD1780">
        <v>0</v>
      </c>
      <c r="ADE1780">
        <v>0</v>
      </c>
      <c r="ADF1780">
        <v>0</v>
      </c>
      <c r="ADG1780">
        <v>0</v>
      </c>
      <c r="ADH1780">
        <v>0</v>
      </c>
      <c r="ADI1780">
        <v>0</v>
      </c>
      <c r="ADJ1780">
        <v>0</v>
      </c>
      <c r="ADK1780">
        <v>0</v>
      </c>
      <c r="ADL1780">
        <v>0</v>
      </c>
      <c r="ADM1780">
        <v>0</v>
      </c>
      <c r="ADN1780">
        <v>0</v>
      </c>
      <c r="ADO1780">
        <v>0</v>
      </c>
      <c r="ADP1780">
        <v>0</v>
      </c>
      <c r="ADQ1780">
        <v>0</v>
      </c>
      <c r="ADR1780">
        <v>0</v>
      </c>
      <c r="ADS1780">
        <v>0</v>
      </c>
      <c r="ADT1780">
        <v>0</v>
      </c>
      <c r="ADU1780">
        <v>0</v>
      </c>
      <c r="ADV1780">
        <v>0</v>
      </c>
      <c r="ADW1780">
        <v>0</v>
      </c>
      <c r="ADX1780">
        <v>0</v>
      </c>
      <c r="ADY1780">
        <v>0</v>
      </c>
      <c r="ADZ1780">
        <v>0</v>
      </c>
      <c r="AEA1780">
        <v>0</v>
      </c>
      <c r="AEB1780">
        <v>0</v>
      </c>
      <c r="AEC1780">
        <v>0</v>
      </c>
      <c r="AED1780">
        <v>0</v>
      </c>
      <c r="AEE1780">
        <v>0</v>
      </c>
      <c r="AEF1780">
        <v>0</v>
      </c>
      <c r="AEG1780">
        <v>0</v>
      </c>
      <c r="AEH1780">
        <v>0</v>
      </c>
      <c r="AEI1780">
        <v>0</v>
      </c>
      <c r="AEJ1780">
        <v>0</v>
      </c>
      <c r="AEK1780">
        <v>0</v>
      </c>
      <c r="AEL1780">
        <v>0</v>
      </c>
      <c r="AEM1780">
        <v>0</v>
      </c>
      <c r="AEN1780">
        <v>0</v>
      </c>
      <c r="AEO1780">
        <v>0</v>
      </c>
      <c r="AEP1780">
        <v>0</v>
      </c>
      <c r="AEQ1780">
        <v>0</v>
      </c>
      <c r="AER1780">
        <v>0</v>
      </c>
      <c r="AES1780">
        <v>0</v>
      </c>
      <c r="AET1780">
        <v>0</v>
      </c>
      <c r="AEU1780">
        <v>0</v>
      </c>
      <c r="AEV1780">
        <v>0</v>
      </c>
      <c r="AEW1780">
        <v>0</v>
      </c>
      <c r="AEX1780">
        <v>0</v>
      </c>
      <c r="AEY1780">
        <v>0</v>
      </c>
      <c r="AEZ1780">
        <v>0</v>
      </c>
      <c r="AFA1780">
        <v>0</v>
      </c>
      <c r="AFB1780">
        <v>0</v>
      </c>
      <c r="AFC1780">
        <v>0</v>
      </c>
      <c r="AFD1780">
        <v>0</v>
      </c>
      <c r="AFE1780">
        <v>0</v>
      </c>
      <c r="AFF1780">
        <v>0</v>
      </c>
      <c r="AFG1780">
        <v>0</v>
      </c>
      <c r="AFH1780">
        <v>0</v>
      </c>
      <c r="AFI1780">
        <v>0</v>
      </c>
      <c r="AFJ1780">
        <v>0</v>
      </c>
      <c r="AFK1780">
        <v>0</v>
      </c>
      <c r="AFL1780">
        <v>0</v>
      </c>
      <c r="AFM1780">
        <v>0</v>
      </c>
      <c r="AFN1780">
        <v>0</v>
      </c>
      <c r="AFO1780">
        <v>0</v>
      </c>
      <c r="AFP1780">
        <v>0</v>
      </c>
      <c r="AFQ1780">
        <v>0</v>
      </c>
      <c r="AFR1780">
        <v>0</v>
      </c>
      <c r="AFS1780">
        <v>0</v>
      </c>
      <c r="AFT1780">
        <v>0</v>
      </c>
      <c r="AFU1780">
        <v>0</v>
      </c>
      <c r="AFV1780">
        <v>0</v>
      </c>
      <c r="AFW1780">
        <v>0</v>
      </c>
      <c r="AFX1780">
        <v>0</v>
      </c>
      <c r="AFY1780">
        <v>0</v>
      </c>
      <c r="AFZ1780">
        <v>0</v>
      </c>
      <c r="AGA1780">
        <v>0</v>
      </c>
      <c r="AGB1780">
        <v>0</v>
      </c>
      <c r="AGC1780">
        <v>0</v>
      </c>
      <c r="AGD1780">
        <v>0</v>
      </c>
      <c r="AGE1780">
        <v>0</v>
      </c>
      <c r="AGF1780">
        <v>0</v>
      </c>
      <c r="AGG1780">
        <v>0</v>
      </c>
      <c r="AGH1780">
        <v>0</v>
      </c>
      <c r="AGI1780">
        <v>0</v>
      </c>
      <c r="AGJ1780">
        <v>0</v>
      </c>
      <c r="AGK1780">
        <v>0</v>
      </c>
      <c r="AGL1780">
        <v>0</v>
      </c>
      <c r="AGM1780">
        <v>0</v>
      </c>
      <c r="AGN1780">
        <v>0</v>
      </c>
      <c r="AGO1780">
        <v>0</v>
      </c>
      <c r="AGP1780">
        <v>0</v>
      </c>
      <c r="AGQ1780">
        <v>0</v>
      </c>
      <c r="AGR1780">
        <v>0</v>
      </c>
      <c r="AGS1780">
        <v>0</v>
      </c>
      <c r="AGT1780">
        <v>0</v>
      </c>
      <c r="AGU1780">
        <v>0</v>
      </c>
      <c r="AGV1780">
        <v>0</v>
      </c>
      <c r="AGW1780">
        <v>0</v>
      </c>
      <c r="AGX1780">
        <v>0</v>
      </c>
      <c r="AGY1780">
        <v>0</v>
      </c>
      <c r="AGZ1780">
        <v>0</v>
      </c>
      <c r="AHA1780">
        <v>0</v>
      </c>
      <c r="AHB1780">
        <v>0</v>
      </c>
      <c r="AHC1780">
        <v>0</v>
      </c>
      <c r="AHD1780">
        <v>0</v>
      </c>
      <c r="AHE1780">
        <v>0</v>
      </c>
      <c r="AHF1780">
        <v>0</v>
      </c>
      <c r="AHG1780">
        <v>0</v>
      </c>
      <c r="AHH1780">
        <v>0</v>
      </c>
      <c r="AHI1780">
        <v>0</v>
      </c>
      <c r="AHJ1780">
        <v>0</v>
      </c>
      <c r="AHK1780">
        <v>0</v>
      </c>
      <c r="AHL1780">
        <v>0</v>
      </c>
      <c r="AHM1780">
        <v>0</v>
      </c>
      <c r="AHN1780">
        <v>0</v>
      </c>
      <c r="AHO1780">
        <v>0</v>
      </c>
      <c r="AHP1780">
        <v>0</v>
      </c>
      <c r="AHQ1780">
        <v>0</v>
      </c>
      <c r="AHR1780">
        <v>0</v>
      </c>
      <c r="AHS1780">
        <v>0</v>
      </c>
      <c r="AHT1780">
        <v>0</v>
      </c>
      <c r="AHU1780">
        <v>0</v>
      </c>
      <c r="AHV1780">
        <v>0</v>
      </c>
      <c r="AHW1780">
        <v>0</v>
      </c>
      <c r="AHX1780">
        <v>0</v>
      </c>
      <c r="AHY1780">
        <v>0</v>
      </c>
      <c r="AHZ1780">
        <v>0</v>
      </c>
      <c r="AIA1780">
        <v>0</v>
      </c>
      <c r="AIB1780">
        <v>0</v>
      </c>
      <c r="AIC1780">
        <v>0</v>
      </c>
      <c r="AID1780">
        <v>0</v>
      </c>
      <c r="AIE1780">
        <v>0</v>
      </c>
      <c r="AIF1780">
        <v>0</v>
      </c>
      <c r="AIG1780">
        <v>0</v>
      </c>
      <c r="AIH1780">
        <v>0</v>
      </c>
      <c r="AII1780">
        <v>0</v>
      </c>
      <c r="AIJ1780">
        <v>0</v>
      </c>
      <c r="AIK1780">
        <v>0</v>
      </c>
      <c r="AIL1780">
        <v>0</v>
      </c>
      <c r="AIM1780">
        <v>0</v>
      </c>
      <c r="AIN1780">
        <v>0</v>
      </c>
      <c r="AIO1780">
        <v>0</v>
      </c>
      <c r="AIP1780">
        <v>0</v>
      </c>
      <c r="AIQ1780">
        <v>0</v>
      </c>
      <c r="AIR1780">
        <v>0</v>
      </c>
      <c r="AIS1780">
        <v>0</v>
      </c>
      <c r="AIT1780">
        <v>0</v>
      </c>
      <c r="AIU1780">
        <v>0</v>
      </c>
      <c r="AIV1780">
        <v>0</v>
      </c>
      <c r="AIW1780">
        <v>0</v>
      </c>
      <c r="AIX1780">
        <v>0</v>
      </c>
      <c r="AIY1780">
        <v>0</v>
      </c>
      <c r="AIZ1780">
        <v>0</v>
      </c>
      <c r="AJA1780">
        <v>0</v>
      </c>
      <c r="AJB1780">
        <v>0</v>
      </c>
      <c r="AJC1780">
        <v>0</v>
      </c>
      <c r="AJD1780">
        <v>0</v>
      </c>
      <c r="AJE1780">
        <v>0</v>
      </c>
      <c r="AJF1780">
        <v>0</v>
      </c>
      <c r="AJG1780">
        <v>0</v>
      </c>
      <c r="AJH1780">
        <v>0</v>
      </c>
      <c r="AJI1780">
        <v>0</v>
      </c>
      <c r="AJJ1780">
        <v>0</v>
      </c>
      <c r="AJK1780">
        <v>0</v>
      </c>
      <c r="AJL1780">
        <v>0</v>
      </c>
      <c r="AJM1780">
        <v>0</v>
      </c>
      <c r="AJN1780">
        <v>0</v>
      </c>
      <c r="AJO1780">
        <v>0</v>
      </c>
      <c r="AJP1780">
        <v>0</v>
      </c>
      <c r="AJQ1780">
        <v>0</v>
      </c>
      <c r="AJR1780">
        <v>0</v>
      </c>
      <c r="AJS1780">
        <v>0</v>
      </c>
      <c r="AJT1780">
        <v>0</v>
      </c>
      <c r="AJU1780">
        <v>0</v>
      </c>
      <c r="AJV1780">
        <v>0</v>
      </c>
      <c r="AJW1780">
        <v>0</v>
      </c>
      <c r="AJX1780">
        <v>0</v>
      </c>
      <c r="AJY1780">
        <v>0</v>
      </c>
      <c r="AJZ1780">
        <v>0</v>
      </c>
      <c r="AKA1780">
        <v>0</v>
      </c>
      <c r="AKB1780">
        <v>0</v>
      </c>
      <c r="AKC1780">
        <v>0</v>
      </c>
      <c r="AKD1780">
        <v>0</v>
      </c>
      <c r="AKE1780">
        <v>0</v>
      </c>
      <c r="AKF1780">
        <v>0</v>
      </c>
      <c r="AKG1780">
        <v>0</v>
      </c>
      <c r="AKH1780">
        <v>0</v>
      </c>
      <c r="AKI1780">
        <v>0</v>
      </c>
      <c r="AKJ1780">
        <v>0</v>
      </c>
      <c r="AKK1780">
        <v>0</v>
      </c>
      <c r="AKL1780">
        <v>0</v>
      </c>
      <c r="AKM1780">
        <v>0</v>
      </c>
      <c r="AKN1780">
        <v>0</v>
      </c>
      <c r="AKO1780">
        <v>0</v>
      </c>
      <c r="AKP1780">
        <v>0</v>
      </c>
      <c r="AKQ1780">
        <v>0</v>
      </c>
      <c r="AKR1780">
        <v>0</v>
      </c>
      <c r="AKS1780">
        <v>0</v>
      </c>
      <c r="AKT1780">
        <v>0</v>
      </c>
      <c r="AKU1780">
        <v>0</v>
      </c>
      <c r="AKV1780">
        <v>0</v>
      </c>
      <c r="AKW1780">
        <v>0</v>
      </c>
      <c r="AKX1780">
        <v>0</v>
      </c>
      <c r="AKY1780">
        <v>0</v>
      </c>
      <c r="AKZ1780">
        <v>0</v>
      </c>
      <c r="ALA1780">
        <v>0</v>
      </c>
      <c r="ALB1780">
        <v>0</v>
      </c>
      <c r="ALC1780">
        <v>0</v>
      </c>
      <c r="ALD1780">
        <v>0</v>
      </c>
      <c r="ALE1780">
        <v>0</v>
      </c>
      <c r="ALF1780">
        <v>0</v>
      </c>
      <c r="ALG1780">
        <v>0</v>
      </c>
      <c r="ALH1780">
        <v>0</v>
      </c>
      <c r="ALI1780">
        <v>0</v>
      </c>
      <c r="ALJ1780">
        <v>0</v>
      </c>
      <c r="ALK1780">
        <v>0</v>
      </c>
      <c r="ALL1780">
        <v>0</v>
      </c>
      <c r="ALM1780">
        <v>0</v>
      </c>
      <c r="ALN1780">
        <v>0</v>
      </c>
      <c r="ALO1780">
        <v>0</v>
      </c>
      <c r="ALP1780">
        <v>0</v>
      </c>
      <c r="ALQ1780">
        <v>0</v>
      </c>
      <c r="ALR1780">
        <v>0</v>
      </c>
      <c r="ALS1780">
        <v>0</v>
      </c>
      <c r="ALT1780">
        <v>0</v>
      </c>
      <c r="ALU1780">
        <v>0</v>
      </c>
      <c r="ALV1780">
        <v>0</v>
      </c>
      <c r="ALW1780">
        <v>0</v>
      </c>
      <c r="ALX1780">
        <v>0</v>
      </c>
      <c r="ALY1780">
        <v>0</v>
      </c>
      <c r="ALZ1780">
        <v>0</v>
      </c>
      <c r="AMA1780">
        <v>0</v>
      </c>
      <c r="AMB1780">
        <v>0</v>
      </c>
      <c r="AMC1780">
        <v>0</v>
      </c>
      <c r="AMD1780">
        <v>0</v>
      </c>
      <c r="AME1780">
        <v>0</v>
      </c>
      <c r="AMF1780">
        <v>0</v>
      </c>
      <c r="AMG1780">
        <v>0</v>
      </c>
      <c r="AMH1780">
        <v>0</v>
      </c>
      <c r="AMI1780">
        <v>0</v>
      </c>
      <c r="AMJ1780">
        <v>0</v>
      </c>
      <c r="AMK1780">
        <v>0</v>
      </c>
      <c r="AML1780">
        <v>0</v>
      </c>
      <c r="AMM1780">
        <v>0</v>
      </c>
      <c r="AMN1780">
        <v>0</v>
      </c>
      <c r="AMO1780">
        <v>0</v>
      </c>
      <c r="AMP1780">
        <v>0</v>
      </c>
      <c r="AMQ1780">
        <v>0</v>
      </c>
      <c r="AMR1780">
        <v>0</v>
      </c>
      <c r="AMS1780">
        <v>0</v>
      </c>
      <c r="AMT1780">
        <v>0</v>
      </c>
      <c r="AMU1780">
        <v>0</v>
      </c>
      <c r="AMV1780">
        <v>0</v>
      </c>
      <c r="AMW1780">
        <v>0</v>
      </c>
      <c r="AMX1780">
        <v>0</v>
      </c>
      <c r="AMY1780">
        <v>0</v>
      </c>
      <c r="AMZ1780">
        <v>0</v>
      </c>
      <c r="ANA1780">
        <v>0</v>
      </c>
      <c r="ANB1780">
        <v>0</v>
      </c>
      <c r="ANC1780">
        <v>0</v>
      </c>
      <c r="AND1780">
        <v>0</v>
      </c>
      <c r="ANE1780">
        <v>0</v>
      </c>
      <c r="ANF1780">
        <v>0</v>
      </c>
      <c r="ANG1780">
        <v>0</v>
      </c>
      <c r="ANH1780">
        <v>0</v>
      </c>
      <c r="ANI1780">
        <v>0</v>
      </c>
      <c r="ANJ1780">
        <v>0</v>
      </c>
      <c r="ANK1780">
        <v>0</v>
      </c>
      <c r="ANL1780">
        <v>0</v>
      </c>
      <c r="ANM1780">
        <v>0</v>
      </c>
      <c r="ANN1780">
        <v>0</v>
      </c>
      <c r="ANO1780">
        <v>0</v>
      </c>
      <c r="ANP1780">
        <v>0</v>
      </c>
      <c r="ANQ1780">
        <v>0</v>
      </c>
      <c r="ANR1780">
        <v>0</v>
      </c>
      <c r="ANS1780">
        <v>0</v>
      </c>
      <c r="ANT1780">
        <v>0</v>
      </c>
      <c r="ANU1780">
        <v>0</v>
      </c>
      <c r="ANV1780">
        <v>0</v>
      </c>
      <c r="ANW1780">
        <v>0</v>
      </c>
      <c r="ANX1780">
        <v>0</v>
      </c>
      <c r="ANY1780">
        <v>0</v>
      </c>
      <c r="ANZ1780">
        <v>0</v>
      </c>
      <c r="AOA1780">
        <v>0</v>
      </c>
      <c r="AOB1780">
        <v>0</v>
      </c>
      <c r="AOC1780">
        <v>0</v>
      </c>
      <c r="AOD1780">
        <v>0</v>
      </c>
      <c r="AOE1780">
        <v>0</v>
      </c>
      <c r="AOF1780">
        <v>0</v>
      </c>
      <c r="AOG1780">
        <v>0</v>
      </c>
      <c r="AOH1780">
        <v>0</v>
      </c>
      <c r="AOI1780">
        <v>0</v>
      </c>
      <c r="AOJ1780">
        <v>0</v>
      </c>
      <c r="AOK1780">
        <v>0</v>
      </c>
      <c r="AOL1780">
        <v>0</v>
      </c>
      <c r="AOM1780">
        <v>0</v>
      </c>
      <c r="AON1780">
        <v>0</v>
      </c>
      <c r="AOO1780">
        <v>0</v>
      </c>
      <c r="AOP1780">
        <v>0</v>
      </c>
      <c r="AOQ1780">
        <v>0</v>
      </c>
      <c r="AOR1780">
        <v>0</v>
      </c>
      <c r="AOS1780">
        <v>0</v>
      </c>
      <c r="AOT1780">
        <v>0</v>
      </c>
      <c r="AOU1780">
        <v>0</v>
      </c>
      <c r="AOV1780">
        <v>0</v>
      </c>
      <c r="AOW1780">
        <v>0</v>
      </c>
      <c r="AOX1780">
        <v>0</v>
      </c>
      <c r="AOY1780">
        <v>0</v>
      </c>
      <c r="AOZ1780">
        <v>0</v>
      </c>
      <c r="APA1780">
        <v>0</v>
      </c>
      <c r="APB1780">
        <v>0</v>
      </c>
      <c r="APC1780">
        <v>0</v>
      </c>
      <c r="APD1780">
        <v>0</v>
      </c>
      <c r="APE1780">
        <v>0</v>
      </c>
      <c r="APF1780">
        <v>0</v>
      </c>
      <c r="APG1780">
        <v>0</v>
      </c>
      <c r="APH1780">
        <v>0</v>
      </c>
      <c r="API1780">
        <v>0</v>
      </c>
      <c r="APJ1780">
        <v>0</v>
      </c>
      <c r="APK1780">
        <v>0</v>
      </c>
      <c r="APL1780">
        <v>0</v>
      </c>
      <c r="APM1780">
        <v>0</v>
      </c>
      <c r="APN1780">
        <v>0</v>
      </c>
      <c r="APO1780">
        <v>0</v>
      </c>
      <c r="APP1780">
        <v>0</v>
      </c>
      <c r="APQ1780">
        <v>0</v>
      </c>
      <c r="APR1780">
        <v>0</v>
      </c>
      <c r="APS1780">
        <v>0</v>
      </c>
      <c r="APT1780">
        <v>0</v>
      </c>
      <c r="APU1780">
        <v>0</v>
      </c>
      <c r="APV1780">
        <v>0</v>
      </c>
      <c r="APW1780">
        <v>0</v>
      </c>
      <c r="APX1780">
        <v>0</v>
      </c>
      <c r="APY1780">
        <v>0</v>
      </c>
      <c r="APZ1780">
        <v>0</v>
      </c>
      <c r="AQA1780">
        <v>0</v>
      </c>
      <c r="AQB1780">
        <v>0</v>
      </c>
      <c r="AQC1780">
        <v>0</v>
      </c>
      <c r="AQD1780">
        <v>0</v>
      </c>
      <c r="AQE1780">
        <v>0</v>
      </c>
      <c r="AQF1780">
        <v>0</v>
      </c>
      <c r="AQG1780">
        <v>0</v>
      </c>
      <c r="AQH1780">
        <v>0</v>
      </c>
      <c r="AQI1780">
        <v>0</v>
      </c>
      <c r="AQJ1780">
        <v>0</v>
      </c>
      <c r="AQK1780">
        <v>0</v>
      </c>
      <c r="AQL1780">
        <v>0</v>
      </c>
      <c r="AQM1780">
        <v>0</v>
      </c>
      <c r="AQN1780">
        <v>0</v>
      </c>
      <c r="AQO1780">
        <v>0</v>
      </c>
      <c r="AQP1780">
        <v>0</v>
      </c>
      <c r="AQQ1780">
        <v>0</v>
      </c>
      <c r="AQR1780">
        <v>0</v>
      </c>
      <c r="AQS1780">
        <v>0</v>
      </c>
      <c r="AQT1780">
        <v>0</v>
      </c>
      <c r="AQU1780">
        <v>0</v>
      </c>
      <c r="AQV1780">
        <v>0</v>
      </c>
      <c r="AQW1780">
        <v>0</v>
      </c>
      <c r="AQX1780">
        <v>0</v>
      </c>
      <c r="AQY1780">
        <v>0</v>
      </c>
      <c r="AQZ1780">
        <v>0</v>
      </c>
      <c r="ARA1780">
        <v>0</v>
      </c>
      <c r="ARB1780">
        <v>0</v>
      </c>
      <c r="ARC1780">
        <v>0</v>
      </c>
      <c r="ARD1780">
        <v>0</v>
      </c>
      <c r="ARE1780">
        <v>0</v>
      </c>
      <c r="ARF1780">
        <v>0</v>
      </c>
      <c r="ARG1780">
        <v>0</v>
      </c>
      <c r="ARH1780">
        <v>0</v>
      </c>
      <c r="ARI1780">
        <v>0</v>
      </c>
      <c r="ARJ1780">
        <v>0</v>
      </c>
      <c r="ARK1780">
        <v>0</v>
      </c>
      <c r="ARL1780">
        <v>0</v>
      </c>
      <c r="ARM1780">
        <v>0</v>
      </c>
      <c r="ARN1780">
        <v>0</v>
      </c>
      <c r="ARO1780">
        <v>0</v>
      </c>
      <c r="ARP1780">
        <v>0</v>
      </c>
      <c r="ARQ1780">
        <v>0</v>
      </c>
      <c r="ARR1780">
        <v>0</v>
      </c>
      <c r="ARS1780">
        <v>0</v>
      </c>
      <c r="ART1780">
        <v>0</v>
      </c>
      <c r="ARU1780">
        <v>0</v>
      </c>
      <c r="ARV1780">
        <v>0</v>
      </c>
      <c r="ARW1780">
        <v>0</v>
      </c>
      <c r="ARX1780">
        <v>0</v>
      </c>
      <c r="ARY1780">
        <v>0</v>
      </c>
      <c r="ARZ1780">
        <v>0</v>
      </c>
      <c r="ASA1780">
        <v>0</v>
      </c>
      <c r="ASB1780">
        <v>0</v>
      </c>
      <c r="ASC1780">
        <v>0</v>
      </c>
      <c r="ASD1780">
        <v>0</v>
      </c>
      <c r="ASE1780">
        <v>0</v>
      </c>
      <c r="ASF1780">
        <v>0</v>
      </c>
      <c r="ASG1780">
        <v>0</v>
      </c>
      <c r="ASH1780">
        <v>0</v>
      </c>
      <c r="ASI1780">
        <v>0</v>
      </c>
      <c r="ASJ1780">
        <v>0</v>
      </c>
      <c r="ASK1780">
        <v>0</v>
      </c>
      <c r="ASL1780">
        <v>0</v>
      </c>
      <c r="ASM1780">
        <v>0</v>
      </c>
      <c r="ASN1780">
        <v>0</v>
      </c>
      <c r="ASO1780">
        <v>0</v>
      </c>
      <c r="ASP1780">
        <v>0</v>
      </c>
      <c r="ASQ1780">
        <v>0</v>
      </c>
      <c r="ASR1780">
        <v>0</v>
      </c>
      <c r="ASS1780">
        <v>0</v>
      </c>
      <c r="AST1780">
        <v>0</v>
      </c>
      <c r="ASU1780">
        <v>0</v>
      </c>
      <c r="ASV1780">
        <v>0</v>
      </c>
      <c r="ASW1780">
        <v>0</v>
      </c>
      <c r="ASX1780">
        <v>0</v>
      </c>
      <c r="ASY1780">
        <v>0</v>
      </c>
      <c r="ASZ1780">
        <v>0</v>
      </c>
      <c r="ATA1780">
        <v>0</v>
      </c>
      <c r="ATB1780">
        <v>0</v>
      </c>
      <c r="ATC1780">
        <v>0</v>
      </c>
      <c r="ATD1780">
        <v>0</v>
      </c>
      <c r="ATE1780">
        <v>0</v>
      </c>
      <c r="ATF1780">
        <v>0</v>
      </c>
      <c r="ATG1780">
        <v>0</v>
      </c>
      <c r="ATH1780">
        <v>0</v>
      </c>
      <c r="ATI1780">
        <v>0</v>
      </c>
      <c r="ATJ1780">
        <v>0</v>
      </c>
      <c r="ATK1780">
        <v>0</v>
      </c>
      <c r="ATL1780">
        <v>0</v>
      </c>
      <c r="ATM1780">
        <v>0</v>
      </c>
      <c r="ATN1780">
        <v>0</v>
      </c>
      <c r="ATO1780">
        <v>0</v>
      </c>
      <c r="ATP1780">
        <v>0</v>
      </c>
      <c r="ATQ1780">
        <v>0</v>
      </c>
      <c r="ATR1780">
        <v>0</v>
      </c>
      <c r="ATS1780">
        <v>0</v>
      </c>
      <c r="ATT1780">
        <v>0</v>
      </c>
      <c r="ATU1780">
        <v>0</v>
      </c>
      <c r="ATV1780">
        <v>0</v>
      </c>
      <c r="ATW1780">
        <v>0</v>
      </c>
      <c r="ATX1780">
        <v>0</v>
      </c>
      <c r="ATY1780">
        <v>0</v>
      </c>
      <c r="ATZ1780">
        <v>0</v>
      </c>
      <c r="AUA1780">
        <v>0</v>
      </c>
      <c r="AUB1780">
        <v>0</v>
      </c>
      <c r="AUC1780">
        <v>0</v>
      </c>
      <c r="AUD1780">
        <v>0</v>
      </c>
      <c r="AUE1780">
        <v>0</v>
      </c>
      <c r="AUF1780">
        <v>0</v>
      </c>
      <c r="AUG1780">
        <v>0</v>
      </c>
      <c r="AUH1780">
        <v>0</v>
      </c>
      <c r="AUI1780">
        <v>0</v>
      </c>
      <c r="AUJ1780">
        <v>0</v>
      </c>
      <c r="AUK1780">
        <v>0</v>
      </c>
      <c r="AUL1780">
        <v>0</v>
      </c>
      <c r="AUM1780">
        <v>0</v>
      </c>
      <c r="AUN1780">
        <v>0</v>
      </c>
      <c r="AUO1780">
        <v>0</v>
      </c>
      <c r="AUP1780">
        <v>0</v>
      </c>
      <c r="AUQ1780">
        <v>0</v>
      </c>
      <c r="AUR1780">
        <v>0</v>
      </c>
      <c r="AUS1780">
        <v>0</v>
      </c>
      <c r="AUT1780">
        <v>0</v>
      </c>
      <c r="AUU1780">
        <v>0</v>
      </c>
      <c r="AUV1780">
        <v>0</v>
      </c>
      <c r="AUW1780">
        <v>0</v>
      </c>
      <c r="AUX1780">
        <v>0</v>
      </c>
      <c r="AUY1780">
        <v>0</v>
      </c>
      <c r="AUZ1780">
        <v>0</v>
      </c>
      <c r="AVA1780">
        <v>0</v>
      </c>
      <c r="AVB1780">
        <v>0</v>
      </c>
      <c r="AVC1780">
        <v>0</v>
      </c>
      <c r="AVD1780">
        <v>0</v>
      </c>
      <c r="AVE1780">
        <v>0</v>
      </c>
      <c r="AVF1780">
        <v>0</v>
      </c>
      <c r="AVG1780">
        <v>0</v>
      </c>
      <c r="AVH1780">
        <v>0</v>
      </c>
      <c r="AVI1780">
        <v>0</v>
      </c>
      <c r="AVJ1780">
        <v>0</v>
      </c>
      <c r="AVK1780">
        <v>0</v>
      </c>
      <c r="AVL1780">
        <v>0</v>
      </c>
      <c r="AVM1780">
        <v>0</v>
      </c>
      <c r="AVN1780">
        <v>0</v>
      </c>
      <c r="AVO1780">
        <v>0</v>
      </c>
      <c r="AVP1780">
        <v>0</v>
      </c>
      <c r="AVQ1780">
        <v>0</v>
      </c>
      <c r="AVR1780">
        <v>0</v>
      </c>
      <c r="AVS1780">
        <v>0</v>
      </c>
      <c r="AVT1780">
        <v>0</v>
      </c>
      <c r="AVU1780">
        <v>0</v>
      </c>
      <c r="AVV1780">
        <v>0</v>
      </c>
      <c r="AVW1780">
        <v>0</v>
      </c>
      <c r="AVX1780">
        <v>0</v>
      </c>
      <c r="AVY1780">
        <v>0</v>
      </c>
      <c r="AVZ1780">
        <v>0</v>
      </c>
      <c r="AWA1780">
        <v>0</v>
      </c>
      <c r="AWB1780">
        <v>0</v>
      </c>
      <c r="AWC1780">
        <v>0</v>
      </c>
      <c r="AWD1780">
        <v>0</v>
      </c>
      <c r="AWE1780">
        <v>0</v>
      </c>
      <c r="AWF1780">
        <v>0</v>
      </c>
      <c r="AWG1780">
        <v>0</v>
      </c>
      <c r="AWH1780">
        <v>0</v>
      </c>
      <c r="AWI1780">
        <v>0</v>
      </c>
      <c r="AWJ1780">
        <v>0</v>
      </c>
      <c r="AWK1780">
        <v>0</v>
      </c>
      <c r="AWL1780">
        <v>0</v>
      </c>
      <c r="AWM1780">
        <v>0</v>
      </c>
      <c r="AWN1780">
        <v>0</v>
      </c>
      <c r="AWO1780">
        <v>0</v>
      </c>
      <c r="AWP1780">
        <v>0</v>
      </c>
      <c r="AWQ1780">
        <v>0</v>
      </c>
      <c r="AWR1780">
        <v>0</v>
      </c>
      <c r="AWS1780">
        <v>0</v>
      </c>
      <c r="AWT1780">
        <v>0</v>
      </c>
      <c r="AWU1780">
        <v>0</v>
      </c>
      <c r="AWV1780">
        <v>0</v>
      </c>
      <c r="AWW1780">
        <v>0</v>
      </c>
      <c r="AWX1780">
        <v>0</v>
      </c>
      <c r="AWY1780">
        <v>0</v>
      </c>
      <c r="AWZ1780">
        <v>0</v>
      </c>
      <c r="AXA1780">
        <v>0</v>
      </c>
      <c r="AXB1780">
        <v>0</v>
      </c>
      <c r="AXC1780">
        <v>0</v>
      </c>
      <c r="AXD1780">
        <v>0</v>
      </c>
      <c r="AXE1780">
        <v>0</v>
      </c>
      <c r="AXF1780">
        <v>0</v>
      </c>
      <c r="AXG1780">
        <v>0</v>
      </c>
      <c r="AXH1780">
        <v>0</v>
      </c>
      <c r="AXI1780">
        <v>0</v>
      </c>
      <c r="AXJ1780">
        <v>0</v>
      </c>
      <c r="AXK1780">
        <v>0</v>
      </c>
      <c r="AXL1780">
        <v>0</v>
      </c>
      <c r="AXM1780">
        <v>0</v>
      </c>
      <c r="AXN1780">
        <v>0</v>
      </c>
      <c r="AXO1780">
        <v>0</v>
      </c>
      <c r="AXP1780">
        <v>0</v>
      </c>
      <c r="AXQ1780">
        <v>0</v>
      </c>
      <c r="AXR1780">
        <v>0</v>
      </c>
      <c r="AXS1780">
        <v>0</v>
      </c>
      <c r="AXT1780">
        <v>0</v>
      </c>
      <c r="AXU1780">
        <v>0</v>
      </c>
      <c r="AXV1780">
        <v>0</v>
      </c>
      <c r="AXW1780">
        <v>0</v>
      </c>
      <c r="AXX1780">
        <v>0</v>
      </c>
      <c r="AXY1780">
        <v>0</v>
      </c>
      <c r="AXZ1780">
        <v>0</v>
      </c>
      <c r="AYA1780">
        <v>0</v>
      </c>
      <c r="AYB1780">
        <v>0</v>
      </c>
      <c r="AYC1780">
        <v>0</v>
      </c>
      <c r="AYD1780">
        <v>0</v>
      </c>
      <c r="AYE1780">
        <v>0</v>
      </c>
      <c r="AYF1780">
        <v>0</v>
      </c>
      <c r="AYG1780">
        <v>0</v>
      </c>
      <c r="AYH1780">
        <v>0</v>
      </c>
      <c r="AYI1780">
        <v>0</v>
      </c>
      <c r="AYJ1780">
        <v>0</v>
      </c>
      <c r="AYK1780">
        <v>0</v>
      </c>
      <c r="AYL1780">
        <v>0</v>
      </c>
      <c r="AYM1780">
        <v>0</v>
      </c>
      <c r="AYN1780">
        <v>0</v>
      </c>
      <c r="AYO1780">
        <v>0</v>
      </c>
      <c r="AYP1780">
        <v>0</v>
      </c>
      <c r="AYQ1780">
        <v>0</v>
      </c>
      <c r="AYR1780">
        <v>0</v>
      </c>
      <c r="AYS1780">
        <v>0</v>
      </c>
      <c r="AYT1780">
        <v>0</v>
      </c>
      <c r="AYU1780">
        <v>0</v>
      </c>
      <c r="AYV1780">
        <v>0</v>
      </c>
      <c r="AYW1780">
        <v>0</v>
      </c>
      <c r="AYX1780">
        <v>0</v>
      </c>
      <c r="AYY1780">
        <v>0</v>
      </c>
      <c r="AYZ1780">
        <v>0</v>
      </c>
      <c r="AZA1780">
        <v>0</v>
      </c>
      <c r="AZB1780">
        <v>0</v>
      </c>
      <c r="AZC1780">
        <v>0</v>
      </c>
      <c r="AZD1780">
        <v>0</v>
      </c>
      <c r="AZE1780">
        <v>0</v>
      </c>
      <c r="AZF1780">
        <v>0</v>
      </c>
      <c r="AZG1780">
        <v>0</v>
      </c>
      <c r="AZH1780">
        <v>0</v>
      </c>
      <c r="AZI1780">
        <v>0</v>
      </c>
      <c r="AZJ1780">
        <v>0</v>
      </c>
      <c r="AZK1780">
        <v>0</v>
      </c>
      <c r="AZL1780">
        <v>0</v>
      </c>
      <c r="AZM1780">
        <v>0</v>
      </c>
      <c r="AZN1780">
        <v>0</v>
      </c>
      <c r="AZO1780">
        <v>0</v>
      </c>
      <c r="AZP1780">
        <v>0</v>
      </c>
      <c r="AZQ1780">
        <v>0</v>
      </c>
      <c r="AZR1780">
        <v>0</v>
      </c>
      <c r="AZS1780">
        <v>0</v>
      </c>
      <c r="AZT1780">
        <v>0</v>
      </c>
      <c r="AZU1780">
        <v>0</v>
      </c>
      <c r="AZV1780">
        <v>0</v>
      </c>
      <c r="AZW1780">
        <v>0</v>
      </c>
      <c r="AZX1780">
        <v>0</v>
      </c>
      <c r="AZY1780">
        <v>0</v>
      </c>
      <c r="AZZ1780">
        <v>0</v>
      </c>
      <c r="BAA1780">
        <v>0</v>
      </c>
      <c r="BAB1780">
        <v>0</v>
      </c>
      <c r="BAC1780">
        <v>0</v>
      </c>
      <c r="BAD1780">
        <v>0</v>
      </c>
      <c r="BAE1780">
        <v>0</v>
      </c>
      <c r="BAF1780">
        <v>0</v>
      </c>
      <c r="BAG1780">
        <v>0</v>
      </c>
      <c r="BAH1780">
        <v>0</v>
      </c>
      <c r="BAI1780">
        <v>0</v>
      </c>
      <c r="BAJ1780">
        <v>0</v>
      </c>
      <c r="BAK1780">
        <v>0</v>
      </c>
      <c r="BAL1780">
        <v>0</v>
      </c>
      <c r="BAM1780">
        <v>0</v>
      </c>
      <c r="BAN1780">
        <v>0</v>
      </c>
      <c r="BAO1780">
        <v>0</v>
      </c>
      <c r="BAP1780">
        <v>0</v>
      </c>
      <c r="BAQ1780">
        <v>0</v>
      </c>
      <c r="BAR1780">
        <v>0</v>
      </c>
      <c r="BAS1780">
        <v>0</v>
      </c>
      <c r="BAT1780">
        <v>0</v>
      </c>
      <c r="BAU1780">
        <v>0</v>
      </c>
      <c r="BAV1780">
        <v>0</v>
      </c>
      <c r="BAW1780">
        <v>0</v>
      </c>
      <c r="BAX1780">
        <v>0</v>
      </c>
      <c r="BAY1780">
        <v>0</v>
      </c>
      <c r="BAZ1780">
        <v>0</v>
      </c>
      <c r="BBA1780">
        <v>0</v>
      </c>
      <c r="BBB1780">
        <v>0</v>
      </c>
      <c r="BBC1780">
        <v>0</v>
      </c>
      <c r="BBD1780">
        <v>0</v>
      </c>
      <c r="BBE1780">
        <v>0</v>
      </c>
      <c r="BBF1780">
        <v>0</v>
      </c>
      <c r="BBG1780">
        <v>0</v>
      </c>
      <c r="BBH1780">
        <v>0</v>
      </c>
      <c r="BBI1780">
        <v>0</v>
      </c>
      <c r="BBJ1780">
        <v>0</v>
      </c>
      <c r="BBK1780">
        <v>0</v>
      </c>
      <c r="BBL1780">
        <v>0</v>
      </c>
      <c r="BBM1780">
        <v>0</v>
      </c>
      <c r="BBN1780">
        <v>0</v>
      </c>
      <c r="BBO1780">
        <v>0</v>
      </c>
      <c r="BBP1780">
        <v>0</v>
      </c>
      <c r="BBQ1780">
        <v>0</v>
      </c>
      <c r="BBR1780">
        <v>0</v>
      </c>
      <c r="BBS1780">
        <v>0</v>
      </c>
      <c r="BBT1780">
        <v>0</v>
      </c>
      <c r="BBU1780">
        <v>0</v>
      </c>
      <c r="BBV1780">
        <v>0</v>
      </c>
      <c r="BBW1780">
        <v>0</v>
      </c>
      <c r="BBX1780">
        <v>0</v>
      </c>
      <c r="BBY1780">
        <v>0</v>
      </c>
      <c r="BBZ1780">
        <v>0</v>
      </c>
      <c r="BCA1780">
        <v>0</v>
      </c>
      <c r="BCB1780">
        <v>0</v>
      </c>
      <c r="BCC1780">
        <v>0</v>
      </c>
      <c r="BCD1780">
        <v>0</v>
      </c>
      <c r="BCE1780">
        <v>0</v>
      </c>
      <c r="BCF1780">
        <v>0</v>
      </c>
      <c r="BCG1780">
        <v>0</v>
      </c>
      <c r="BCH1780">
        <v>0</v>
      </c>
      <c r="BCI1780">
        <v>0</v>
      </c>
      <c r="BCJ1780">
        <v>0</v>
      </c>
      <c r="BCK1780">
        <v>0</v>
      </c>
      <c r="BCL1780">
        <v>0</v>
      </c>
      <c r="BCM1780">
        <v>0</v>
      </c>
      <c r="BCN1780">
        <v>0</v>
      </c>
      <c r="BCO1780">
        <v>0</v>
      </c>
      <c r="BCP1780">
        <v>0</v>
      </c>
      <c r="BCQ1780">
        <v>0</v>
      </c>
      <c r="BCR1780">
        <v>0</v>
      </c>
      <c r="BCS1780">
        <v>0</v>
      </c>
      <c r="BCT1780">
        <v>0</v>
      </c>
      <c r="BCU1780">
        <v>0</v>
      </c>
      <c r="BCV1780">
        <v>0</v>
      </c>
      <c r="BCW1780">
        <v>0</v>
      </c>
      <c r="BCX1780">
        <v>0</v>
      </c>
      <c r="BCY1780">
        <v>0</v>
      </c>
      <c r="BCZ1780">
        <v>0</v>
      </c>
      <c r="BDA1780">
        <v>0</v>
      </c>
      <c r="BDB1780">
        <v>0</v>
      </c>
      <c r="BDC1780">
        <v>0</v>
      </c>
      <c r="BDD1780">
        <v>0</v>
      </c>
      <c r="BDE1780">
        <v>0</v>
      </c>
      <c r="BDF1780">
        <v>0</v>
      </c>
      <c r="BDG1780">
        <v>0</v>
      </c>
      <c r="BDH1780">
        <v>0</v>
      </c>
      <c r="BDI1780">
        <v>0</v>
      </c>
      <c r="BDJ1780">
        <v>0</v>
      </c>
      <c r="BDK1780">
        <v>0</v>
      </c>
      <c r="BDL1780">
        <v>0</v>
      </c>
      <c r="BDM1780">
        <v>0</v>
      </c>
      <c r="BDN1780">
        <v>0</v>
      </c>
      <c r="BDO1780">
        <v>0</v>
      </c>
      <c r="BDP1780">
        <v>0</v>
      </c>
      <c r="BDQ1780">
        <v>0</v>
      </c>
      <c r="BDR1780">
        <v>0</v>
      </c>
      <c r="BDS1780">
        <v>0</v>
      </c>
      <c r="BDT1780">
        <v>0</v>
      </c>
      <c r="BDU1780">
        <v>0</v>
      </c>
      <c r="BDV1780">
        <v>0</v>
      </c>
      <c r="BDW1780">
        <v>0</v>
      </c>
      <c r="BDX1780">
        <v>0</v>
      </c>
      <c r="BDY1780">
        <v>0</v>
      </c>
      <c r="BDZ1780">
        <v>0</v>
      </c>
      <c r="BEA1780">
        <v>0</v>
      </c>
      <c r="BEB1780">
        <v>0</v>
      </c>
      <c r="BEC1780">
        <v>0</v>
      </c>
      <c r="BED1780">
        <v>0</v>
      </c>
      <c r="BEE1780">
        <v>0</v>
      </c>
      <c r="BEF1780">
        <v>0</v>
      </c>
      <c r="BEG1780">
        <v>0</v>
      </c>
      <c r="BEH1780">
        <v>0</v>
      </c>
      <c r="BEI1780">
        <v>0</v>
      </c>
      <c r="BEJ1780">
        <v>0</v>
      </c>
      <c r="BEK1780">
        <v>0</v>
      </c>
      <c r="BEL1780">
        <v>0</v>
      </c>
      <c r="BEM1780">
        <v>0</v>
      </c>
      <c r="BEN1780">
        <v>0</v>
      </c>
      <c r="BEO1780">
        <v>0</v>
      </c>
      <c r="BEP1780">
        <v>0</v>
      </c>
      <c r="BEQ1780">
        <v>0</v>
      </c>
      <c r="BER1780">
        <v>0</v>
      </c>
      <c r="BES1780">
        <v>0</v>
      </c>
      <c r="BET1780">
        <v>0</v>
      </c>
      <c r="BEU1780">
        <v>0</v>
      </c>
      <c r="BEV1780">
        <v>0</v>
      </c>
      <c r="BEW1780">
        <v>0</v>
      </c>
      <c r="BEX1780">
        <v>0</v>
      </c>
      <c r="BEY1780">
        <v>0</v>
      </c>
      <c r="BEZ1780">
        <v>0</v>
      </c>
      <c r="BFA1780">
        <v>0</v>
      </c>
      <c r="BFB1780">
        <v>0</v>
      </c>
      <c r="BFC1780">
        <v>0</v>
      </c>
      <c r="BFD1780">
        <v>0</v>
      </c>
      <c r="BFE1780">
        <v>0</v>
      </c>
      <c r="BFF1780">
        <v>0</v>
      </c>
      <c r="BFG1780">
        <v>0</v>
      </c>
      <c r="BFH1780">
        <v>0</v>
      </c>
      <c r="BFI1780">
        <v>0</v>
      </c>
      <c r="BFJ1780">
        <v>0</v>
      </c>
      <c r="BFK1780">
        <v>0</v>
      </c>
      <c r="BFL1780">
        <v>0</v>
      </c>
      <c r="BFM1780">
        <v>0</v>
      </c>
      <c r="BFN1780">
        <v>0</v>
      </c>
      <c r="BFO1780">
        <v>0</v>
      </c>
      <c r="BFP1780">
        <v>0</v>
      </c>
      <c r="BFQ1780">
        <v>0</v>
      </c>
      <c r="BFR1780">
        <v>0</v>
      </c>
      <c r="BFS1780">
        <v>0</v>
      </c>
      <c r="BFT1780">
        <v>0</v>
      </c>
      <c r="BFU1780">
        <v>0</v>
      </c>
      <c r="BFV1780">
        <v>0</v>
      </c>
      <c r="BFW1780">
        <v>0</v>
      </c>
      <c r="BFX1780">
        <v>0</v>
      </c>
      <c r="BFY1780">
        <v>0</v>
      </c>
      <c r="BFZ1780">
        <v>0</v>
      </c>
      <c r="BGA1780">
        <v>0</v>
      </c>
      <c r="BGB1780">
        <v>0</v>
      </c>
      <c r="BGC1780">
        <v>0</v>
      </c>
      <c r="BGD1780">
        <v>0</v>
      </c>
      <c r="BGE1780">
        <v>0</v>
      </c>
      <c r="BGF1780">
        <v>0</v>
      </c>
      <c r="BGG1780">
        <v>0</v>
      </c>
      <c r="BGH1780">
        <v>0</v>
      </c>
      <c r="BGI1780">
        <v>0</v>
      </c>
      <c r="BGJ1780">
        <v>0</v>
      </c>
      <c r="BGK1780">
        <v>0</v>
      </c>
      <c r="BGL1780">
        <v>0</v>
      </c>
      <c r="BGM1780">
        <v>0</v>
      </c>
      <c r="BGN1780">
        <v>0</v>
      </c>
      <c r="BGO1780">
        <v>0</v>
      </c>
      <c r="BGP1780">
        <v>0</v>
      </c>
      <c r="BGQ1780">
        <v>0</v>
      </c>
      <c r="BGR1780">
        <v>0</v>
      </c>
      <c r="BGS1780">
        <v>0</v>
      </c>
      <c r="BGT1780">
        <v>0</v>
      </c>
      <c r="BGU1780">
        <v>0</v>
      </c>
      <c r="BGV1780">
        <v>0</v>
      </c>
      <c r="BGW1780">
        <v>0</v>
      </c>
      <c r="BGX1780">
        <v>0</v>
      </c>
      <c r="BGY1780">
        <v>0</v>
      </c>
      <c r="BGZ1780">
        <v>0</v>
      </c>
      <c r="BHA1780">
        <v>0</v>
      </c>
      <c r="BHB1780">
        <v>0</v>
      </c>
      <c r="BHC1780">
        <v>0</v>
      </c>
      <c r="BHD1780">
        <v>0</v>
      </c>
      <c r="BHE1780">
        <v>0</v>
      </c>
      <c r="BHF1780">
        <v>0</v>
      </c>
      <c r="BHG1780">
        <v>0</v>
      </c>
      <c r="BHH1780">
        <v>0</v>
      </c>
      <c r="BHI1780">
        <v>0</v>
      </c>
      <c r="BHJ1780">
        <v>0</v>
      </c>
      <c r="BHK1780">
        <v>0</v>
      </c>
      <c r="BHL1780">
        <v>0</v>
      </c>
      <c r="BHM1780">
        <v>0</v>
      </c>
      <c r="BHN1780">
        <v>0</v>
      </c>
      <c r="BHO1780">
        <v>0</v>
      </c>
      <c r="BHP1780">
        <v>0</v>
      </c>
      <c r="BHQ1780">
        <v>0</v>
      </c>
      <c r="BHR1780">
        <v>0</v>
      </c>
      <c r="BHS1780">
        <v>0</v>
      </c>
      <c r="BHT1780">
        <v>0</v>
      </c>
      <c r="BHU1780">
        <v>0</v>
      </c>
      <c r="BHV1780">
        <v>0</v>
      </c>
      <c r="BHW1780">
        <v>0</v>
      </c>
      <c r="BHX1780">
        <v>0</v>
      </c>
      <c r="BHY1780">
        <v>0</v>
      </c>
      <c r="BHZ1780">
        <v>0</v>
      </c>
      <c r="BIA1780">
        <v>0</v>
      </c>
      <c r="BIB1780">
        <v>0</v>
      </c>
      <c r="BIC1780">
        <v>0</v>
      </c>
      <c r="BID1780">
        <v>0</v>
      </c>
      <c r="BIE1780">
        <v>0</v>
      </c>
      <c r="BIF1780">
        <v>0</v>
      </c>
      <c r="BIG1780">
        <v>0</v>
      </c>
      <c r="BIH1780">
        <v>0</v>
      </c>
      <c r="BII1780">
        <v>0</v>
      </c>
      <c r="BIJ1780">
        <v>0</v>
      </c>
      <c r="BIK1780">
        <v>0</v>
      </c>
      <c r="BIL1780">
        <v>0</v>
      </c>
      <c r="BIM1780">
        <v>0</v>
      </c>
      <c r="BIN1780">
        <v>0</v>
      </c>
      <c r="BIO1780">
        <v>0</v>
      </c>
      <c r="BIP1780">
        <v>0</v>
      </c>
      <c r="BIQ1780">
        <v>0</v>
      </c>
      <c r="BIR1780">
        <v>0</v>
      </c>
      <c r="BIS1780">
        <v>0</v>
      </c>
      <c r="BIT1780">
        <v>0</v>
      </c>
      <c r="BIU1780">
        <v>0</v>
      </c>
      <c r="BIV1780">
        <v>0</v>
      </c>
      <c r="BIW1780">
        <v>0</v>
      </c>
      <c r="BIX1780">
        <v>0</v>
      </c>
      <c r="BIY1780">
        <v>0</v>
      </c>
      <c r="BIZ1780">
        <v>0</v>
      </c>
      <c r="BJA1780">
        <v>0</v>
      </c>
      <c r="BJB1780">
        <v>0</v>
      </c>
      <c r="BJC1780">
        <v>0</v>
      </c>
      <c r="BJD1780">
        <v>0</v>
      </c>
      <c r="BJE1780">
        <v>0</v>
      </c>
      <c r="BJF1780">
        <v>0</v>
      </c>
      <c r="BJG1780">
        <v>0</v>
      </c>
      <c r="BJH1780">
        <v>0</v>
      </c>
      <c r="BJI1780">
        <v>0</v>
      </c>
      <c r="BJJ1780">
        <v>0</v>
      </c>
      <c r="BJK1780">
        <v>0</v>
      </c>
      <c r="BJL1780">
        <v>0</v>
      </c>
      <c r="BJM1780">
        <v>0</v>
      </c>
      <c r="BJN1780">
        <v>0</v>
      </c>
      <c r="BJO1780">
        <v>0</v>
      </c>
      <c r="BJP1780">
        <v>0</v>
      </c>
      <c r="BJQ1780">
        <v>0</v>
      </c>
      <c r="BJR1780">
        <v>0</v>
      </c>
      <c r="BJS1780">
        <v>0</v>
      </c>
      <c r="BJT1780">
        <v>0</v>
      </c>
      <c r="BJU1780">
        <v>0</v>
      </c>
      <c r="BJV1780">
        <v>0</v>
      </c>
      <c r="BJW1780">
        <v>0</v>
      </c>
      <c r="BJX1780">
        <v>0</v>
      </c>
      <c r="BJY1780">
        <v>0</v>
      </c>
      <c r="BJZ1780">
        <v>0</v>
      </c>
      <c r="BKA1780">
        <v>0</v>
      </c>
      <c r="BKB1780">
        <v>0</v>
      </c>
      <c r="BKC1780">
        <v>0</v>
      </c>
      <c r="BKD1780">
        <v>0</v>
      </c>
      <c r="BKE1780">
        <v>0</v>
      </c>
      <c r="BKF1780">
        <v>0</v>
      </c>
      <c r="BKG1780">
        <v>0</v>
      </c>
      <c r="BKH1780">
        <v>0</v>
      </c>
      <c r="BKI1780">
        <v>0</v>
      </c>
      <c r="BKJ1780">
        <v>0</v>
      </c>
      <c r="BKK1780">
        <v>0</v>
      </c>
      <c r="BKL1780">
        <v>0</v>
      </c>
      <c r="BKM1780">
        <v>0</v>
      </c>
      <c r="BKN1780">
        <v>0</v>
      </c>
      <c r="BKO1780">
        <v>0</v>
      </c>
      <c r="BKP1780">
        <v>0</v>
      </c>
      <c r="BKQ1780">
        <v>0</v>
      </c>
      <c r="BKR1780">
        <v>0</v>
      </c>
      <c r="BKS1780">
        <v>0</v>
      </c>
      <c r="BKT1780">
        <v>0</v>
      </c>
      <c r="BKU1780">
        <v>0</v>
      </c>
      <c r="BKV1780">
        <v>0</v>
      </c>
      <c r="BKW1780">
        <v>0</v>
      </c>
      <c r="BKX1780">
        <v>0</v>
      </c>
      <c r="BKY1780">
        <v>0</v>
      </c>
      <c r="BKZ1780">
        <v>0</v>
      </c>
      <c r="BLA1780">
        <v>0</v>
      </c>
      <c r="BLB1780">
        <v>0</v>
      </c>
      <c r="BLC1780">
        <v>0</v>
      </c>
      <c r="BLD1780">
        <v>0</v>
      </c>
      <c r="BLE1780">
        <v>0</v>
      </c>
      <c r="BLF1780">
        <v>0</v>
      </c>
      <c r="BLG1780">
        <v>0</v>
      </c>
      <c r="BLH1780">
        <v>0</v>
      </c>
      <c r="BLI1780">
        <v>0</v>
      </c>
      <c r="BLJ1780">
        <v>0</v>
      </c>
      <c r="BLK1780">
        <v>0</v>
      </c>
      <c r="BLL1780">
        <v>0</v>
      </c>
      <c r="BLM1780">
        <v>0</v>
      </c>
      <c r="BLN1780">
        <v>0</v>
      </c>
      <c r="BLO1780">
        <v>0</v>
      </c>
      <c r="BLP1780">
        <v>0</v>
      </c>
      <c r="BLQ1780">
        <v>0</v>
      </c>
      <c r="BLR1780">
        <v>0</v>
      </c>
      <c r="BLS1780">
        <v>0</v>
      </c>
      <c r="BLT1780">
        <v>0</v>
      </c>
      <c r="BLU1780">
        <v>0</v>
      </c>
      <c r="BLV1780">
        <v>0</v>
      </c>
      <c r="BLW1780">
        <v>0</v>
      </c>
      <c r="BLX1780">
        <v>0</v>
      </c>
      <c r="BLY1780">
        <v>0</v>
      </c>
      <c r="BLZ1780">
        <v>0</v>
      </c>
      <c r="BMA1780">
        <v>0</v>
      </c>
      <c r="BMB1780">
        <v>0</v>
      </c>
      <c r="BMC1780">
        <v>0</v>
      </c>
      <c r="BMD1780">
        <v>0</v>
      </c>
      <c r="BME1780">
        <v>0</v>
      </c>
      <c r="BMF1780">
        <v>0</v>
      </c>
      <c r="BMG1780">
        <v>0</v>
      </c>
      <c r="BMH1780">
        <v>0</v>
      </c>
      <c r="BMI1780">
        <v>0</v>
      </c>
      <c r="BMJ1780">
        <v>0</v>
      </c>
      <c r="BMK1780">
        <v>0</v>
      </c>
      <c r="BML1780">
        <v>0</v>
      </c>
      <c r="BMM1780">
        <v>0</v>
      </c>
      <c r="BMN1780">
        <v>0</v>
      </c>
      <c r="BMO1780">
        <v>0</v>
      </c>
      <c r="BMP1780">
        <v>0</v>
      </c>
      <c r="BMQ1780">
        <v>0</v>
      </c>
      <c r="BMR1780">
        <v>0</v>
      </c>
      <c r="BMS1780">
        <v>0</v>
      </c>
      <c r="BMT1780">
        <v>0</v>
      </c>
      <c r="BMU1780">
        <v>0</v>
      </c>
      <c r="BMV1780">
        <v>0</v>
      </c>
      <c r="BMW1780">
        <v>0</v>
      </c>
      <c r="BMX1780">
        <v>0</v>
      </c>
      <c r="BMY1780">
        <v>0</v>
      </c>
      <c r="BMZ1780">
        <v>0</v>
      </c>
      <c r="BNA1780">
        <v>0</v>
      </c>
      <c r="BNB1780">
        <v>0</v>
      </c>
      <c r="BNC1780">
        <v>0</v>
      </c>
      <c r="BND1780">
        <v>0</v>
      </c>
      <c r="BNE1780">
        <v>0</v>
      </c>
      <c r="BNF1780">
        <v>0</v>
      </c>
      <c r="BNG1780">
        <v>0</v>
      </c>
      <c r="BNH1780">
        <v>0</v>
      </c>
      <c r="BNI1780">
        <v>0</v>
      </c>
      <c r="BNJ1780">
        <v>0</v>
      </c>
      <c r="BNK1780">
        <v>0</v>
      </c>
      <c r="BNL1780">
        <v>0</v>
      </c>
      <c r="BNM1780">
        <v>0</v>
      </c>
      <c r="BNN1780">
        <v>0</v>
      </c>
      <c r="BNO1780">
        <v>0</v>
      </c>
      <c r="BNP1780">
        <v>0</v>
      </c>
      <c r="BNQ1780">
        <v>0</v>
      </c>
      <c r="BNR1780">
        <v>0</v>
      </c>
      <c r="BNS1780">
        <v>0</v>
      </c>
      <c r="BNT1780">
        <v>0</v>
      </c>
      <c r="BNU1780">
        <v>0</v>
      </c>
      <c r="BNV1780">
        <v>0</v>
      </c>
      <c r="BNW1780">
        <v>0</v>
      </c>
      <c r="BNX1780">
        <v>0</v>
      </c>
      <c r="BNY1780">
        <v>0</v>
      </c>
      <c r="BNZ1780">
        <v>0</v>
      </c>
      <c r="BOA1780">
        <v>0</v>
      </c>
      <c r="BOB1780">
        <v>0</v>
      </c>
      <c r="BOC1780">
        <v>0</v>
      </c>
      <c r="BOD1780">
        <v>0</v>
      </c>
      <c r="BOE1780">
        <v>0</v>
      </c>
      <c r="BOF1780">
        <v>0</v>
      </c>
      <c r="BOG1780">
        <v>0</v>
      </c>
      <c r="BOH1780">
        <v>0</v>
      </c>
      <c r="BOI1780">
        <v>0</v>
      </c>
      <c r="BOJ1780">
        <v>0</v>
      </c>
      <c r="BOK1780">
        <v>0</v>
      </c>
      <c r="BOL1780">
        <v>0</v>
      </c>
      <c r="BOM1780">
        <v>0</v>
      </c>
      <c r="BON1780">
        <v>0</v>
      </c>
      <c r="BOO1780">
        <v>0</v>
      </c>
      <c r="BOP1780">
        <v>0</v>
      </c>
      <c r="BOQ1780">
        <v>0</v>
      </c>
      <c r="BOR1780">
        <v>0</v>
      </c>
      <c r="BOS1780">
        <v>0</v>
      </c>
      <c r="BOT1780">
        <v>0</v>
      </c>
      <c r="BOU1780">
        <v>0</v>
      </c>
      <c r="BOV1780">
        <v>0</v>
      </c>
      <c r="BOW1780">
        <v>0</v>
      </c>
      <c r="BOX1780">
        <v>0</v>
      </c>
      <c r="BOY1780">
        <v>0</v>
      </c>
      <c r="BOZ1780">
        <v>0</v>
      </c>
      <c r="BPA1780">
        <v>0</v>
      </c>
      <c r="BPB1780">
        <v>0</v>
      </c>
      <c r="BPC1780">
        <v>0</v>
      </c>
      <c r="BPD1780">
        <v>0</v>
      </c>
      <c r="BPE1780">
        <v>0</v>
      </c>
      <c r="BPF1780">
        <v>0</v>
      </c>
      <c r="BPG1780">
        <v>0</v>
      </c>
      <c r="BPH1780">
        <v>0</v>
      </c>
      <c r="BPI1780">
        <v>0</v>
      </c>
      <c r="BPJ1780">
        <v>0</v>
      </c>
      <c r="BPK1780">
        <v>0</v>
      </c>
      <c r="BPL1780">
        <v>0</v>
      </c>
      <c r="BPM1780">
        <v>0</v>
      </c>
      <c r="BPN1780">
        <v>0</v>
      </c>
      <c r="BPO1780">
        <v>0</v>
      </c>
      <c r="BPP1780">
        <v>0</v>
      </c>
      <c r="BPQ1780">
        <v>0</v>
      </c>
      <c r="BPR1780">
        <v>0</v>
      </c>
      <c r="BPS1780">
        <v>0</v>
      </c>
      <c r="BPT1780">
        <v>0</v>
      </c>
      <c r="BPU1780">
        <v>0</v>
      </c>
      <c r="BPV1780">
        <v>0</v>
      </c>
      <c r="BPW1780">
        <v>0</v>
      </c>
      <c r="BPX1780">
        <v>0</v>
      </c>
      <c r="BPY1780">
        <v>0</v>
      </c>
      <c r="BPZ1780">
        <v>0</v>
      </c>
      <c r="BQA1780">
        <v>0</v>
      </c>
      <c r="BQB1780">
        <v>0</v>
      </c>
      <c r="BQC1780">
        <v>0</v>
      </c>
      <c r="BQD1780">
        <v>0</v>
      </c>
      <c r="BQE1780">
        <v>0</v>
      </c>
      <c r="BQF1780">
        <v>0</v>
      </c>
      <c r="BQG1780">
        <v>0</v>
      </c>
      <c r="BQH1780">
        <v>0</v>
      </c>
      <c r="BQI1780">
        <v>0</v>
      </c>
      <c r="BQJ1780">
        <v>0</v>
      </c>
      <c r="BQK1780">
        <v>0</v>
      </c>
      <c r="BQL1780">
        <v>0</v>
      </c>
      <c r="BQM1780">
        <v>0</v>
      </c>
      <c r="BQN1780">
        <v>0</v>
      </c>
      <c r="BQO1780">
        <v>0</v>
      </c>
      <c r="BQP1780">
        <v>0</v>
      </c>
      <c r="BQQ1780">
        <v>0</v>
      </c>
      <c r="BQR1780">
        <v>0</v>
      </c>
      <c r="BQS1780">
        <v>0</v>
      </c>
      <c r="BQT1780">
        <v>0</v>
      </c>
      <c r="BQU1780">
        <v>0</v>
      </c>
      <c r="BQV1780">
        <v>0</v>
      </c>
      <c r="BQW1780">
        <v>0</v>
      </c>
      <c r="BQX1780">
        <v>0</v>
      </c>
      <c r="BQY1780">
        <v>0</v>
      </c>
      <c r="BQZ1780">
        <v>0</v>
      </c>
      <c r="BRA1780">
        <v>0</v>
      </c>
      <c r="BRB1780">
        <v>0</v>
      </c>
      <c r="BRC1780">
        <v>0</v>
      </c>
      <c r="BRD1780">
        <v>0</v>
      </c>
      <c r="BRE1780">
        <v>0</v>
      </c>
      <c r="BRF1780">
        <v>0</v>
      </c>
      <c r="BRG1780">
        <v>0</v>
      </c>
      <c r="BRH1780">
        <v>0</v>
      </c>
      <c r="BRI1780">
        <v>0</v>
      </c>
      <c r="BRJ1780">
        <v>0</v>
      </c>
      <c r="BRK1780">
        <v>0</v>
      </c>
      <c r="BRL1780">
        <v>0</v>
      </c>
      <c r="BRM1780">
        <v>0</v>
      </c>
      <c r="BRN1780">
        <v>0</v>
      </c>
      <c r="BRO1780">
        <v>0</v>
      </c>
      <c r="BRP1780">
        <v>0</v>
      </c>
      <c r="BRQ1780">
        <v>0</v>
      </c>
      <c r="BRR1780">
        <v>0</v>
      </c>
      <c r="BRS1780">
        <v>0</v>
      </c>
      <c r="BRT1780">
        <v>0</v>
      </c>
      <c r="BRU1780">
        <v>0</v>
      </c>
      <c r="BRV1780">
        <v>0</v>
      </c>
      <c r="BRW1780">
        <v>0</v>
      </c>
      <c r="BRX1780">
        <v>0</v>
      </c>
      <c r="BRY1780">
        <v>0</v>
      </c>
      <c r="BRZ1780">
        <v>0</v>
      </c>
      <c r="BSA1780">
        <v>0</v>
      </c>
      <c r="BSB1780">
        <v>0</v>
      </c>
      <c r="BSC1780">
        <v>0</v>
      </c>
      <c r="BSD1780">
        <v>0</v>
      </c>
      <c r="BSE1780">
        <v>0</v>
      </c>
      <c r="BSF1780">
        <v>0</v>
      </c>
      <c r="BSG1780">
        <v>0</v>
      </c>
      <c r="BSH1780">
        <v>0</v>
      </c>
      <c r="BSI1780">
        <v>0</v>
      </c>
      <c r="BSJ1780">
        <v>0</v>
      </c>
      <c r="BSK1780">
        <v>0</v>
      </c>
      <c r="BSL1780">
        <v>0</v>
      </c>
      <c r="BSM1780">
        <v>0</v>
      </c>
      <c r="BSN1780">
        <v>0</v>
      </c>
      <c r="BSO1780">
        <v>0</v>
      </c>
      <c r="BSP1780">
        <v>0</v>
      </c>
      <c r="BSQ1780">
        <v>0</v>
      </c>
      <c r="BSR1780">
        <v>0</v>
      </c>
      <c r="BSS1780">
        <v>0</v>
      </c>
      <c r="BST1780">
        <v>0</v>
      </c>
      <c r="BSU1780">
        <v>0</v>
      </c>
      <c r="BSV1780">
        <v>0</v>
      </c>
      <c r="BSW1780">
        <v>0</v>
      </c>
      <c r="BSX1780">
        <v>0</v>
      </c>
      <c r="BSY1780">
        <v>0</v>
      </c>
      <c r="BSZ1780">
        <v>0</v>
      </c>
      <c r="BTA1780">
        <v>0</v>
      </c>
      <c r="BTB1780">
        <v>0</v>
      </c>
      <c r="BTC1780">
        <v>0</v>
      </c>
      <c r="BTD1780">
        <v>0</v>
      </c>
      <c r="BTE1780">
        <v>0</v>
      </c>
      <c r="BTF1780">
        <v>0</v>
      </c>
      <c r="BTG1780">
        <v>0</v>
      </c>
      <c r="BTH1780">
        <v>0</v>
      </c>
      <c r="BTI1780">
        <v>0</v>
      </c>
      <c r="BTJ1780">
        <v>0</v>
      </c>
      <c r="BTK1780">
        <v>0</v>
      </c>
      <c r="BTL1780">
        <v>0</v>
      </c>
      <c r="BTM1780">
        <v>0</v>
      </c>
      <c r="BTN1780">
        <v>0</v>
      </c>
      <c r="BTO1780">
        <v>0</v>
      </c>
      <c r="BTP1780">
        <v>0</v>
      </c>
      <c r="BTQ1780">
        <v>0</v>
      </c>
      <c r="BTR1780">
        <v>0</v>
      </c>
      <c r="BTS1780">
        <v>0</v>
      </c>
      <c r="BTT1780">
        <v>0</v>
      </c>
      <c r="BTU1780">
        <v>0</v>
      </c>
      <c r="BTV1780">
        <v>0</v>
      </c>
      <c r="BTW1780">
        <v>0</v>
      </c>
      <c r="BTX1780">
        <v>0</v>
      </c>
      <c r="BTY1780">
        <v>0</v>
      </c>
      <c r="BTZ1780">
        <v>0</v>
      </c>
      <c r="BUA1780">
        <v>0</v>
      </c>
      <c r="BUB1780">
        <v>0</v>
      </c>
      <c r="BUC1780">
        <v>0</v>
      </c>
      <c r="BUD1780">
        <v>0</v>
      </c>
      <c r="BUE1780">
        <v>0</v>
      </c>
      <c r="BUF1780">
        <v>0</v>
      </c>
      <c r="BUG1780">
        <v>0</v>
      </c>
      <c r="BUH1780">
        <v>0</v>
      </c>
      <c r="BUI1780">
        <v>0</v>
      </c>
      <c r="BUJ1780">
        <v>0</v>
      </c>
      <c r="BUK1780">
        <v>0</v>
      </c>
      <c r="BUL1780">
        <v>0</v>
      </c>
      <c r="BUM1780">
        <v>0</v>
      </c>
      <c r="BUN1780">
        <v>0</v>
      </c>
      <c r="BUO1780">
        <v>0</v>
      </c>
      <c r="BUP1780">
        <v>0</v>
      </c>
      <c r="BUQ1780">
        <v>0</v>
      </c>
      <c r="BUR1780">
        <v>0</v>
      </c>
      <c r="BUS1780">
        <v>0</v>
      </c>
      <c r="BUT1780">
        <v>0</v>
      </c>
      <c r="BUU1780">
        <v>0</v>
      </c>
      <c r="BUV1780">
        <v>0</v>
      </c>
      <c r="BUW1780">
        <v>0</v>
      </c>
      <c r="BUX1780">
        <v>0</v>
      </c>
      <c r="BUY1780">
        <v>0</v>
      </c>
      <c r="BUZ1780">
        <v>0</v>
      </c>
      <c r="BVA1780">
        <v>0</v>
      </c>
      <c r="BVB1780">
        <v>0</v>
      </c>
      <c r="BVC1780">
        <v>0</v>
      </c>
      <c r="BVD1780">
        <v>0</v>
      </c>
      <c r="BVE1780">
        <v>0</v>
      </c>
      <c r="BVF1780">
        <v>0</v>
      </c>
      <c r="BVG1780">
        <v>0</v>
      </c>
      <c r="BVH1780">
        <v>0</v>
      </c>
      <c r="BVI1780">
        <v>0</v>
      </c>
      <c r="BVJ1780">
        <v>0</v>
      </c>
      <c r="BVK1780">
        <v>0</v>
      </c>
      <c r="BVL1780">
        <v>0</v>
      </c>
      <c r="BVM1780">
        <v>0</v>
      </c>
      <c r="BVN1780">
        <v>0</v>
      </c>
      <c r="BVO1780">
        <v>0</v>
      </c>
      <c r="BVP1780">
        <v>0</v>
      </c>
      <c r="BVQ1780">
        <v>0</v>
      </c>
      <c r="BVR1780">
        <v>0</v>
      </c>
      <c r="BVS1780">
        <v>0</v>
      </c>
      <c r="BVT1780">
        <v>0</v>
      </c>
      <c r="BVU1780">
        <v>0</v>
      </c>
      <c r="BVV1780">
        <v>0</v>
      </c>
      <c r="BVW1780">
        <v>0</v>
      </c>
      <c r="BVX1780">
        <v>0</v>
      </c>
      <c r="BVY1780">
        <v>0</v>
      </c>
      <c r="BVZ1780">
        <v>0</v>
      </c>
      <c r="BWA1780">
        <v>0</v>
      </c>
      <c r="BWB1780">
        <v>0</v>
      </c>
      <c r="BWC1780">
        <v>0</v>
      </c>
      <c r="BWD1780">
        <v>0</v>
      </c>
      <c r="BWE1780">
        <v>0</v>
      </c>
      <c r="BWF1780">
        <v>0</v>
      </c>
      <c r="BWG1780">
        <v>0</v>
      </c>
      <c r="BWH1780">
        <v>0</v>
      </c>
      <c r="BWI1780">
        <v>0</v>
      </c>
      <c r="BWJ1780">
        <v>0</v>
      </c>
      <c r="BWK1780">
        <v>0</v>
      </c>
      <c r="BWL1780">
        <v>0</v>
      </c>
      <c r="BWM1780">
        <v>0</v>
      </c>
      <c r="BWN1780">
        <v>0</v>
      </c>
      <c r="BWO1780">
        <v>0</v>
      </c>
      <c r="BWP1780">
        <v>0</v>
      </c>
      <c r="BWQ1780">
        <v>0</v>
      </c>
      <c r="BWR1780">
        <v>0</v>
      </c>
      <c r="BWS1780">
        <v>0</v>
      </c>
      <c r="BWT1780">
        <v>0</v>
      </c>
      <c r="BWU1780">
        <v>0</v>
      </c>
      <c r="BWV1780">
        <v>0</v>
      </c>
      <c r="BWW1780">
        <v>0</v>
      </c>
      <c r="BWX1780">
        <v>0</v>
      </c>
      <c r="BWY1780">
        <v>0</v>
      </c>
      <c r="BWZ1780">
        <v>0</v>
      </c>
      <c r="BXA1780">
        <v>0</v>
      </c>
      <c r="BXB1780">
        <v>0</v>
      </c>
      <c r="BXC1780">
        <v>0</v>
      </c>
      <c r="BXD1780">
        <v>0</v>
      </c>
      <c r="BXE1780">
        <v>0</v>
      </c>
      <c r="BXF1780">
        <v>0</v>
      </c>
      <c r="BXG1780">
        <v>0</v>
      </c>
      <c r="BXH1780">
        <v>0</v>
      </c>
      <c r="BXI1780">
        <v>0</v>
      </c>
      <c r="BXJ1780">
        <v>0</v>
      </c>
      <c r="BXK1780">
        <v>0</v>
      </c>
      <c r="BXL1780">
        <v>0</v>
      </c>
      <c r="BXM1780">
        <v>0</v>
      </c>
      <c r="BXN1780">
        <v>0</v>
      </c>
      <c r="BXO1780">
        <v>0</v>
      </c>
      <c r="BXP1780">
        <v>0</v>
      </c>
      <c r="BXQ1780">
        <v>0</v>
      </c>
      <c r="BXR1780">
        <v>0</v>
      </c>
      <c r="BXS1780">
        <v>0</v>
      </c>
      <c r="BXT1780">
        <v>0</v>
      </c>
      <c r="BXU1780">
        <v>0</v>
      </c>
      <c r="BXV1780">
        <v>0</v>
      </c>
      <c r="BXW1780">
        <v>0</v>
      </c>
      <c r="BXX1780">
        <v>0</v>
      </c>
      <c r="BXY1780">
        <v>0</v>
      </c>
      <c r="BXZ1780">
        <v>0</v>
      </c>
      <c r="BYA1780">
        <v>0</v>
      </c>
      <c r="BYB1780">
        <v>0</v>
      </c>
      <c r="BYC1780">
        <v>0</v>
      </c>
      <c r="BYD1780">
        <v>0</v>
      </c>
      <c r="BYE1780">
        <v>0</v>
      </c>
      <c r="BYF1780">
        <v>0</v>
      </c>
      <c r="BYG1780">
        <v>0</v>
      </c>
      <c r="BYH1780">
        <v>0</v>
      </c>
      <c r="BYI1780">
        <v>0</v>
      </c>
      <c r="BYJ1780">
        <v>0</v>
      </c>
      <c r="BYK1780">
        <v>0</v>
      </c>
      <c r="BYL1780">
        <v>0</v>
      </c>
      <c r="BYM1780">
        <v>0</v>
      </c>
      <c r="BYN1780">
        <v>0</v>
      </c>
      <c r="BYO1780">
        <v>0</v>
      </c>
      <c r="BYP1780">
        <v>0</v>
      </c>
      <c r="BYQ1780">
        <v>0</v>
      </c>
      <c r="BYR1780">
        <v>0</v>
      </c>
      <c r="BYS1780">
        <v>0</v>
      </c>
      <c r="BYT1780">
        <v>0</v>
      </c>
      <c r="BYU1780">
        <v>0</v>
      </c>
      <c r="BYV1780">
        <v>0</v>
      </c>
      <c r="BYW1780">
        <v>0</v>
      </c>
      <c r="BYX1780">
        <v>0</v>
      </c>
      <c r="BYY1780">
        <v>0</v>
      </c>
      <c r="BYZ1780">
        <v>0</v>
      </c>
      <c r="BZA1780">
        <v>0</v>
      </c>
      <c r="BZB1780">
        <v>0</v>
      </c>
      <c r="BZC1780">
        <v>0</v>
      </c>
      <c r="BZD1780">
        <v>0</v>
      </c>
      <c r="BZE1780">
        <v>0</v>
      </c>
      <c r="BZF1780">
        <v>0</v>
      </c>
      <c r="BZG1780">
        <v>0</v>
      </c>
      <c r="BZH1780">
        <v>0</v>
      </c>
      <c r="BZI1780">
        <v>0</v>
      </c>
      <c r="BZJ1780">
        <v>0</v>
      </c>
      <c r="BZK1780">
        <v>0</v>
      </c>
      <c r="BZL1780">
        <v>0</v>
      </c>
      <c r="BZM1780">
        <v>0</v>
      </c>
      <c r="BZN1780">
        <v>0</v>
      </c>
      <c r="BZO1780">
        <v>0</v>
      </c>
      <c r="BZP1780">
        <v>0</v>
      </c>
      <c r="BZQ1780">
        <v>0</v>
      </c>
      <c r="BZR1780">
        <v>0</v>
      </c>
      <c r="BZS1780">
        <v>0</v>
      </c>
      <c r="BZT1780">
        <v>0</v>
      </c>
      <c r="BZU1780">
        <v>0</v>
      </c>
      <c r="BZV1780">
        <v>0</v>
      </c>
      <c r="BZW1780">
        <v>0</v>
      </c>
      <c r="BZX1780">
        <v>0</v>
      </c>
      <c r="BZY1780">
        <v>0</v>
      </c>
      <c r="BZZ1780">
        <v>0</v>
      </c>
      <c r="CAA1780">
        <v>0</v>
      </c>
      <c r="CAB1780">
        <v>0</v>
      </c>
      <c r="CAC1780">
        <v>0</v>
      </c>
      <c r="CAD1780">
        <v>0</v>
      </c>
      <c r="CAE1780">
        <v>0</v>
      </c>
      <c r="CAF1780">
        <v>0</v>
      </c>
      <c r="CAG1780">
        <v>0</v>
      </c>
      <c r="CAH1780">
        <v>0</v>
      </c>
      <c r="CAI1780">
        <v>0</v>
      </c>
      <c r="CAJ1780">
        <v>0</v>
      </c>
      <c r="CAK1780">
        <v>0</v>
      </c>
      <c r="CAL1780">
        <v>0</v>
      </c>
      <c r="CAM1780">
        <v>0</v>
      </c>
      <c r="CAN1780">
        <v>0</v>
      </c>
      <c r="CAO1780">
        <v>0</v>
      </c>
      <c r="CAP1780">
        <v>0</v>
      </c>
      <c r="CAQ1780">
        <v>0</v>
      </c>
      <c r="CAR1780">
        <v>0</v>
      </c>
      <c r="CAS1780">
        <v>0</v>
      </c>
      <c r="CAT1780">
        <v>0</v>
      </c>
      <c r="CAU1780">
        <v>0</v>
      </c>
      <c r="CAV1780">
        <v>0</v>
      </c>
      <c r="CAW1780">
        <v>0</v>
      </c>
      <c r="CAX1780">
        <v>0</v>
      </c>
      <c r="CAY1780">
        <v>0</v>
      </c>
      <c r="CAZ1780">
        <v>0</v>
      </c>
      <c r="CBA1780">
        <v>0</v>
      </c>
      <c r="CBB1780">
        <v>0</v>
      </c>
      <c r="CBC1780">
        <v>0</v>
      </c>
      <c r="CBD1780">
        <v>0</v>
      </c>
      <c r="CBE1780">
        <v>0</v>
      </c>
      <c r="CBF1780">
        <v>0</v>
      </c>
      <c r="CBG1780">
        <v>0</v>
      </c>
      <c r="CBH1780">
        <v>0</v>
      </c>
      <c r="CBI1780">
        <v>0</v>
      </c>
      <c r="CBJ1780">
        <v>0</v>
      </c>
      <c r="CBK1780">
        <v>0</v>
      </c>
      <c r="CBL1780">
        <v>0</v>
      </c>
      <c r="CBM1780">
        <v>0</v>
      </c>
      <c r="CBN1780">
        <v>0</v>
      </c>
      <c r="CBO1780">
        <v>0</v>
      </c>
      <c r="CBP1780">
        <v>0</v>
      </c>
      <c r="CBQ1780">
        <v>0</v>
      </c>
      <c r="CBR1780">
        <v>0</v>
      </c>
      <c r="CBS1780">
        <v>0</v>
      </c>
      <c r="CBT1780">
        <v>0</v>
      </c>
      <c r="CBU1780">
        <v>0</v>
      </c>
      <c r="CBV1780">
        <v>0</v>
      </c>
      <c r="CBW1780">
        <v>0</v>
      </c>
      <c r="CBX1780">
        <v>0</v>
      </c>
      <c r="CBY1780">
        <v>0</v>
      </c>
      <c r="CBZ1780">
        <v>0</v>
      </c>
      <c r="CCA1780">
        <v>0</v>
      </c>
      <c r="CCB1780">
        <v>0</v>
      </c>
      <c r="CCC1780">
        <v>0</v>
      </c>
      <c r="CCD1780">
        <v>0</v>
      </c>
      <c r="CCE1780">
        <v>0</v>
      </c>
      <c r="CCF1780">
        <v>0</v>
      </c>
      <c r="CCG1780">
        <v>0</v>
      </c>
      <c r="CCH1780">
        <v>0</v>
      </c>
      <c r="CCI1780">
        <v>0</v>
      </c>
      <c r="CCJ1780">
        <v>0</v>
      </c>
      <c r="CCK1780">
        <v>0</v>
      </c>
      <c r="CCL1780">
        <v>0</v>
      </c>
      <c r="CCM1780">
        <v>0</v>
      </c>
      <c r="CCN1780">
        <v>0</v>
      </c>
      <c r="CCO1780">
        <v>0</v>
      </c>
      <c r="CCP1780">
        <v>0</v>
      </c>
      <c r="CCQ1780">
        <v>0</v>
      </c>
      <c r="CCR1780">
        <v>0</v>
      </c>
      <c r="CCS1780">
        <v>0</v>
      </c>
      <c r="CCT1780">
        <v>0</v>
      </c>
      <c r="CCU1780">
        <v>0</v>
      </c>
      <c r="CCV1780">
        <v>0</v>
      </c>
      <c r="CCW1780">
        <v>0</v>
      </c>
      <c r="CCX1780">
        <v>0</v>
      </c>
      <c r="CCY1780">
        <v>0</v>
      </c>
      <c r="CCZ1780">
        <v>0</v>
      </c>
      <c r="CDA1780">
        <v>0</v>
      </c>
      <c r="CDB1780">
        <v>0</v>
      </c>
      <c r="CDC1780">
        <v>0</v>
      </c>
      <c r="CDD1780">
        <v>0</v>
      </c>
      <c r="CDE1780">
        <v>0</v>
      </c>
      <c r="CDF1780">
        <v>0</v>
      </c>
      <c r="CDG1780">
        <v>0</v>
      </c>
      <c r="CDH1780">
        <v>0</v>
      </c>
      <c r="CDI1780">
        <v>0</v>
      </c>
      <c r="CDJ1780">
        <v>0</v>
      </c>
      <c r="CDK1780">
        <v>0</v>
      </c>
      <c r="CDL1780">
        <v>0</v>
      </c>
      <c r="CDM1780">
        <v>0</v>
      </c>
      <c r="CDN1780">
        <v>0</v>
      </c>
      <c r="CDO1780">
        <v>0</v>
      </c>
      <c r="CDP1780">
        <v>0</v>
      </c>
      <c r="CDQ1780">
        <v>0</v>
      </c>
      <c r="CDR1780">
        <v>0</v>
      </c>
      <c r="CDS1780">
        <v>0</v>
      </c>
      <c r="CDT1780">
        <v>0</v>
      </c>
      <c r="CDU1780">
        <v>0</v>
      </c>
      <c r="CDV1780">
        <v>0</v>
      </c>
      <c r="CDW1780">
        <v>0</v>
      </c>
      <c r="CDX1780">
        <v>0</v>
      </c>
      <c r="CDY1780">
        <v>0</v>
      </c>
      <c r="CDZ1780">
        <v>0</v>
      </c>
      <c r="CEA1780">
        <v>0</v>
      </c>
      <c r="CEB1780">
        <v>0</v>
      </c>
      <c r="CEC1780">
        <v>0</v>
      </c>
      <c r="CED1780">
        <v>0</v>
      </c>
      <c r="CEE1780">
        <v>0</v>
      </c>
      <c r="CEF1780">
        <v>0</v>
      </c>
      <c r="CEG1780">
        <v>0</v>
      </c>
      <c r="CEH1780">
        <v>0</v>
      </c>
      <c r="CEI1780">
        <v>0</v>
      </c>
      <c r="CEJ1780">
        <v>0</v>
      </c>
      <c r="CEK1780">
        <v>0</v>
      </c>
      <c r="CEL1780">
        <v>0</v>
      </c>
      <c r="CEM1780">
        <v>0</v>
      </c>
      <c r="CEN1780">
        <v>0</v>
      </c>
      <c r="CEO1780">
        <v>0</v>
      </c>
      <c r="CEP1780">
        <v>0</v>
      </c>
      <c r="CEQ1780">
        <v>0</v>
      </c>
      <c r="CER1780">
        <v>0</v>
      </c>
      <c r="CES1780">
        <v>0</v>
      </c>
      <c r="CET1780">
        <v>0</v>
      </c>
      <c r="CEU1780">
        <v>0</v>
      </c>
      <c r="CEV1780">
        <v>0</v>
      </c>
      <c r="CEW1780">
        <v>0</v>
      </c>
      <c r="CEX1780">
        <v>0</v>
      </c>
      <c r="CEY1780">
        <v>0</v>
      </c>
      <c r="CEZ1780">
        <v>0</v>
      </c>
      <c r="CFA1780">
        <v>0</v>
      </c>
      <c r="CFB1780">
        <v>0</v>
      </c>
      <c r="CFC1780">
        <v>0</v>
      </c>
      <c r="CFD1780">
        <v>0</v>
      </c>
      <c r="CFE1780">
        <v>0</v>
      </c>
      <c r="CFF1780">
        <v>0</v>
      </c>
      <c r="CFG1780">
        <v>0</v>
      </c>
      <c r="CFH1780">
        <v>0</v>
      </c>
      <c r="CFI1780">
        <v>0</v>
      </c>
      <c r="CFJ1780">
        <v>0</v>
      </c>
      <c r="CFK1780">
        <v>0</v>
      </c>
      <c r="CFL1780">
        <v>0</v>
      </c>
      <c r="CFM1780">
        <v>0</v>
      </c>
      <c r="CFN1780">
        <v>0</v>
      </c>
      <c r="CFO1780">
        <v>0</v>
      </c>
      <c r="CFP1780">
        <v>0</v>
      </c>
      <c r="CFQ1780">
        <v>0</v>
      </c>
      <c r="CFR1780">
        <v>0</v>
      </c>
      <c r="CFS1780">
        <v>0</v>
      </c>
      <c r="CFT1780">
        <v>0</v>
      </c>
      <c r="CFU1780">
        <v>0</v>
      </c>
      <c r="CFV1780">
        <v>0</v>
      </c>
      <c r="CFW1780">
        <v>0</v>
      </c>
      <c r="CFX1780">
        <v>0</v>
      </c>
      <c r="CFY1780">
        <v>0</v>
      </c>
      <c r="CFZ1780">
        <v>0</v>
      </c>
      <c r="CGA1780">
        <v>0</v>
      </c>
      <c r="CGB1780">
        <v>0</v>
      </c>
      <c r="CGC1780">
        <v>0</v>
      </c>
      <c r="CGD1780">
        <v>0</v>
      </c>
      <c r="CGE1780">
        <v>0</v>
      </c>
      <c r="CGF1780">
        <v>0</v>
      </c>
      <c r="CGG1780">
        <v>0</v>
      </c>
      <c r="CGH1780">
        <v>0</v>
      </c>
      <c r="CGI1780">
        <v>0</v>
      </c>
      <c r="CGJ1780">
        <v>0</v>
      </c>
      <c r="CGK1780">
        <v>0</v>
      </c>
      <c r="CGL1780">
        <v>0</v>
      </c>
      <c r="CGM1780">
        <v>0</v>
      </c>
      <c r="CGN1780">
        <v>0</v>
      </c>
      <c r="CGO1780">
        <v>0</v>
      </c>
      <c r="CGP1780">
        <v>0</v>
      </c>
      <c r="CGQ1780">
        <v>0</v>
      </c>
      <c r="CGR1780">
        <v>0</v>
      </c>
      <c r="CGS1780">
        <v>0</v>
      </c>
      <c r="CGT1780">
        <v>0</v>
      </c>
      <c r="CGU1780">
        <v>0</v>
      </c>
      <c r="CGV1780">
        <v>0</v>
      </c>
      <c r="CGW1780">
        <v>0</v>
      </c>
      <c r="CGX1780">
        <v>0</v>
      </c>
      <c r="CGY1780">
        <v>0</v>
      </c>
      <c r="CGZ1780">
        <v>0</v>
      </c>
      <c r="CHA1780">
        <v>0</v>
      </c>
      <c r="CHB1780">
        <v>0</v>
      </c>
      <c r="CHC1780">
        <v>0</v>
      </c>
      <c r="CHD1780">
        <v>0</v>
      </c>
      <c r="CHE1780">
        <v>0</v>
      </c>
      <c r="CHF1780">
        <v>0</v>
      </c>
      <c r="CHG1780">
        <v>0</v>
      </c>
      <c r="CHH1780">
        <v>0</v>
      </c>
      <c r="CHI1780">
        <v>0</v>
      </c>
      <c r="CHJ1780">
        <v>0</v>
      </c>
      <c r="CHK1780">
        <v>0</v>
      </c>
      <c r="CHL1780">
        <v>0</v>
      </c>
      <c r="CHM1780">
        <v>0</v>
      </c>
      <c r="CHN1780">
        <v>0</v>
      </c>
      <c r="CHO1780">
        <v>0</v>
      </c>
      <c r="CHP1780">
        <v>0</v>
      </c>
      <c r="CHQ1780">
        <v>0</v>
      </c>
      <c r="CHR1780">
        <v>0</v>
      </c>
      <c r="CHS1780">
        <v>0</v>
      </c>
      <c r="CHT1780">
        <v>0</v>
      </c>
      <c r="CHU1780">
        <v>0</v>
      </c>
      <c r="CHV1780">
        <v>0</v>
      </c>
      <c r="CHW1780">
        <v>0</v>
      </c>
      <c r="CHX1780">
        <v>0</v>
      </c>
      <c r="CHY1780">
        <v>0</v>
      </c>
      <c r="CHZ1780">
        <v>0</v>
      </c>
      <c r="CIA1780">
        <v>0</v>
      </c>
      <c r="CIB1780">
        <v>0</v>
      </c>
      <c r="CIC1780">
        <v>0</v>
      </c>
      <c r="CID1780">
        <v>0</v>
      </c>
      <c r="CIE1780">
        <v>0</v>
      </c>
      <c r="CIF1780">
        <v>0</v>
      </c>
      <c r="CIG1780">
        <v>0</v>
      </c>
      <c r="CIH1780">
        <v>0</v>
      </c>
      <c r="CII1780">
        <v>0</v>
      </c>
      <c r="CIJ1780">
        <v>0</v>
      </c>
      <c r="CIK1780">
        <v>0</v>
      </c>
      <c r="CIL1780">
        <v>0</v>
      </c>
      <c r="CIM1780">
        <v>0</v>
      </c>
      <c r="CIN1780">
        <v>0</v>
      </c>
      <c r="CIO1780">
        <v>0</v>
      </c>
      <c r="CIP1780">
        <v>0</v>
      </c>
      <c r="CIQ1780">
        <v>0</v>
      </c>
      <c r="CIR1780">
        <v>0</v>
      </c>
      <c r="CIS1780">
        <v>0</v>
      </c>
      <c r="CIT1780">
        <v>0</v>
      </c>
      <c r="CIU1780">
        <v>0</v>
      </c>
      <c r="CIV1780">
        <v>0</v>
      </c>
      <c r="CIW1780">
        <v>0</v>
      </c>
      <c r="CIX1780">
        <v>0</v>
      </c>
      <c r="CIY1780">
        <v>0</v>
      </c>
      <c r="CIZ1780">
        <v>0</v>
      </c>
      <c r="CJA1780">
        <v>0</v>
      </c>
      <c r="CJB1780">
        <v>0</v>
      </c>
      <c r="CJC1780">
        <v>0</v>
      </c>
      <c r="CJD1780">
        <v>0</v>
      </c>
      <c r="CJE1780">
        <v>0</v>
      </c>
      <c r="CJF1780">
        <v>0</v>
      </c>
      <c r="CJG1780">
        <v>0</v>
      </c>
      <c r="CJH1780">
        <v>0</v>
      </c>
      <c r="CJI1780">
        <v>0</v>
      </c>
      <c r="CJJ1780">
        <v>0</v>
      </c>
      <c r="CJK1780">
        <v>0</v>
      </c>
      <c r="CJL1780">
        <v>0</v>
      </c>
      <c r="CJM1780">
        <v>0</v>
      </c>
      <c r="CJN1780">
        <v>0</v>
      </c>
      <c r="CJO1780">
        <v>0</v>
      </c>
      <c r="CJP1780">
        <v>0</v>
      </c>
      <c r="CJQ1780">
        <v>0</v>
      </c>
      <c r="CJR1780">
        <v>0</v>
      </c>
      <c r="CJS1780">
        <v>0</v>
      </c>
      <c r="CJT1780">
        <v>0</v>
      </c>
      <c r="CJU1780">
        <v>0</v>
      </c>
      <c r="CJV1780">
        <v>0</v>
      </c>
      <c r="CJW1780">
        <v>0</v>
      </c>
      <c r="CJX1780">
        <v>0</v>
      </c>
      <c r="CJY1780">
        <v>0</v>
      </c>
      <c r="CJZ1780">
        <v>0</v>
      </c>
      <c r="CKA1780">
        <v>0</v>
      </c>
      <c r="CKB1780">
        <v>0</v>
      </c>
      <c r="CKC1780">
        <v>0</v>
      </c>
      <c r="CKD1780">
        <v>0</v>
      </c>
      <c r="CKE1780">
        <v>0</v>
      </c>
      <c r="CKF1780">
        <v>0</v>
      </c>
      <c r="CKG1780">
        <v>0</v>
      </c>
      <c r="CKH1780">
        <v>0</v>
      </c>
      <c r="CKI1780">
        <v>0</v>
      </c>
      <c r="CKJ1780">
        <v>0</v>
      </c>
      <c r="CKK1780">
        <v>0</v>
      </c>
      <c r="CKL1780">
        <v>0</v>
      </c>
      <c r="CKM1780">
        <v>0</v>
      </c>
      <c r="CKN1780">
        <v>0</v>
      </c>
      <c r="CKO1780">
        <v>0</v>
      </c>
      <c r="CKP1780">
        <v>0</v>
      </c>
      <c r="CKQ1780">
        <v>0</v>
      </c>
      <c r="CKR1780">
        <v>0</v>
      </c>
      <c r="CKS1780">
        <v>0</v>
      </c>
      <c r="CKT1780">
        <v>0</v>
      </c>
      <c r="CKU1780">
        <v>0</v>
      </c>
      <c r="CKV1780">
        <v>0</v>
      </c>
      <c r="CKW1780">
        <v>0</v>
      </c>
      <c r="CKX1780">
        <v>0</v>
      </c>
      <c r="CKY1780">
        <v>0</v>
      </c>
      <c r="CKZ1780">
        <v>0</v>
      </c>
      <c r="CLA1780">
        <v>0</v>
      </c>
      <c r="CLB1780">
        <v>0</v>
      </c>
      <c r="CLC1780">
        <v>0</v>
      </c>
      <c r="CLD1780">
        <v>0</v>
      </c>
      <c r="CLE1780">
        <v>0</v>
      </c>
      <c r="CLF1780">
        <v>0</v>
      </c>
      <c r="CLG1780">
        <v>0</v>
      </c>
      <c r="CLH1780">
        <v>0</v>
      </c>
      <c r="CLI1780">
        <v>0</v>
      </c>
      <c r="CLJ1780">
        <v>0</v>
      </c>
      <c r="CLK1780">
        <v>0</v>
      </c>
      <c r="CLL1780">
        <v>0</v>
      </c>
      <c r="CLM1780">
        <v>0</v>
      </c>
      <c r="CLN1780">
        <v>0</v>
      </c>
      <c r="CLO1780">
        <v>0</v>
      </c>
      <c r="CLP1780">
        <v>0</v>
      </c>
      <c r="CLQ1780">
        <v>0</v>
      </c>
      <c r="CLR1780">
        <v>0</v>
      </c>
      <c r="CLS1780">
        <v>0</v>
      </c>
      <c r="CLT1780">
        <v>0</v>
      </c>
      <c r="CLU1780">
        <v>0</v>
      </c>
      <c r="CLV1780">
        <v>0</v>
      </c>
      <c r="CLW1780">
        <v>0</v>
      </c>
      <c r="CLX1780">
        <v>0</v>
      </c>
      <c r="CLY1780">
        <v>0</v>
      </c>
      <c r="CLZ1780">
        <v>0</v>
      </c>
      <c r="CMA1780">
        <v>0</v>
      </c>
      <c r="CMB1780">
        <v>0</v>
      </c>
      <c r="CMC1780">
        <v>0</v>
      </c>
      <c r="CMD1780">
        <v>0</v>
      </c>
      <c r="CME1780">
        <v>0</v>
      </c>
      <c r="CMF1780">
        <v>0</v>
      </c>
      <c r="CMG1780">
        <v>0</v>
      </c>
      <c r="CMH1780">
        <v>0</v>
      </c>
      <c r="CMI1780">
        <v>0</v>
      </c>
      <c r="CMJ1780">
        <v>0</v>
      </c>
      <c r="CMK1780">
        <v>0</v>
      </c>
      <c r="CML1780">
        <v>0</v>
      </c>
      <c r="CMM1780">
        <v>0</v>
      </c>
      <c r="CMN1780">
        <v>0</v>
      </c>
      <c r="CMO1780">
        <v>0</v>
      </c>
      <c r="CMP1780">
        <v>0</v>
      </c>
      <c r="CMQ1780">
        <v>0</v>
      </c>
      <c r="CMR1780">
        <v>0</v>
      </c>
      <c r="CMS1780">
        <v>0</v>
      </c>
      <c r="CMT1780">
        <v>0</v>
      </c>
      <c r="CMU1780">
        <v>0</v>
      </c>
      <c r="CMV1780">
        <v>0</v>
      </c>
      <c r="CMW1780">
        <v>0</v>
      </c>
      <c r="CMX1780">
        <v>0</v>
      </c>
      <c r="CMY1780">
        <v>0</v>
      </c>
      <c r="CMZ1780">
        <v>0</v>
      </c>
      <c r="CNA1780">
        <v>0</v>
      </c>
      <c r="CNB1780">
        <v>0</v>
      </c>
      <c r="CNC1780">
        <v>0</v>
      </c>
      <c r="CND1780">
        <v>0</v>
      </c>
      <c r="CNE1780">
        <v>0</v>
      </c>
      <c r="CNF1780">
        <v>0</v>
      </c>
      <c r="CNG1780">
        <v>0</v>
      </c>
      <c r="CNH1780">
        <v>0</v>
      </c>
      <c r="CNI1780">
        <v>0</v>
      </c>
      <c r="CNJ1780">
        <v>0</v>
      </c>
      <c r="CNK1780">
        <v>0</v>
      </c>
      <c r="CNL1780">
        <v>0</v>
      </c>
      <c r="CNM1780">
        <v>0</v>
      </c>
      <c r="CNN1780">
        <v>0</v>
      </c>
      <c r="CNO1780">
        <v>0</v>
      </c>
      <c r="CNP1780">
        <v>0</v>
      </c>
      <c r="CNQ1780">
        <v>0</v>
      </c>
      <c r="CNR1780">
        <v>0</v>
      </c>
      <c r="CNS1780">
        <v>0</v>
      </c>
      <c r="CNT1780">
        <v>0</v>
      </c>
      <c r="CNU1780">
        <v>0</v>
      </c>
      <c r="CNV1780">
        <v>0</v>
      </c>
      <c r="CNW1780">
        <v>0</v>
      </c>
      <c r="CNX1780">
        <v>0</v>
      </c>
      <c r="CNY1780">
        <v>0</v>
      </c>
      <c r="CNZ1780">
        <v>0</v>
      </c>
      <c r="COA1780">
        <v>0</v>
      </c>
      <c r="COB1780">
        <v>0</v>
      </c>
      <c r="COC1780">
        <v>0</v>
      </c>
      <c r="COD1780">
        <v>0</v>
      </c>
      <c r="COE1780">
        <v>0</v>
      </c>
      <c r="COF1780">
        <v>0</v>
      </c>
      <c r="COG1780">
        <v>0</v>
      </c>
      <c r="COH1780">
        <v>0</v>
      </c>
      <c r="COI1780">
        <v>0</v>
      </c>
      <c r="COJ1780">
        <v>0</v>
      </c>
      <c r="COK1780">
        <v>0</v>
      </c>
      <c r="COL1780">
        <v>0</v>
      </c>
      <c r="COM1780">
        <v>0</v>
      </c>
      <c r="CON1780">
        <v>0</v>
      </c>
      <c r="COO1780">
        <v>0</v>
      </c>
      <c r="COP1780">
        <v>0</v>
      </c>
      <c r="COQ1780">
        <v>0</v>
      </c>
      <c r="COR1780">
        <v>0</v>
      </c>
      <c r="COS1780">
        <v>0</v>
      </c>
      <c r="COT1780">
        <v>0</v>
      </c>
      <c r="COU1780">
        <v>0</v>
      </c>
      <c r="COV1780">
        <v>0</v>
      </c>
      <c r="COW1780">
        <v>0</v>
      </c>
      <c r="COX1780">
        <v>0</v>
      </c>
      <c r="COY1780">
        <v>0</v>
      </c>
      <c r="COZ1780">
        <v>0</v>
      </c>
      <c r="CPA1780">
        <v>0</v>
      </c>
      <c r="CPB1780">
        <v>0</v>
      </c>
      <c r="CPC1780">
        <v>0</v>
      </c>
      <c r="CPD1780">
        <v>0</v>
      </c>
      <c r="CPE1780">
        <v>0</v>
      </c>
      <c r="CPF1780">
        <v>0</v>
      </c>
      <c r="CPG1780">
        <v>0</v>
      </c>
      <c r="CPH1780">
        <v>0</v>
      </c>
      <c r="CPI1780">
        <v>0</v>
      </c>
      <c r="CPJ1780">
        <v>0</v>
      </c>
      <c r="CPK1780">
        <v>0</v>
      </c>
      <c r="CPL1780">
        <v>0</v>
      </c>
      <c r="CPM1780">
        <v>0</v>
      </c>
      <c r="CPN1780">
        <v>0</v>
      </c>
      <c r="CPO1780">
        <v>0</v>
      </c>
      <c r="CPP1780">
        <v>0</v>
      </c>
      <c r="CPQ1780">
        <v>0</v>
      </c>
      <c r="CPR1780">
        <v>0</v>
      </c>
      <c r="CPS1780">
        <v>0</v>
      </c>
      <c r="CPT1780">
        <v>0</v>
      </c>
      <c r="CPU1780">
        <v>0</v>
      </c>
      <c r="CPV1780">
        <v>0</v>
      </c>
      <c r="CPW1780">
        <v>0</v>
      </c>
      <c r="CPX1780">
        <v>0</v>
      </c>
      <c r="CPY1780">
        <v>0</v>
      </c>
      <c r="CPZ1780">
        <v>0</v>
      </c>
      <c r="CQA1780">
        <v>0</v>
      </c>
      <c r="CQB1780">
        <v>0</v>
      </c>
      <c r="CQC1780">
        <v>0</v>
      </c>
      <c r="CQD1780">
        <v>0</v>
      </c>
      <c r="CQE1780">
        <v>0</v>
      </c>
      <c r="CQF1780">
        <v>0</v>
      </c>
      <c r="CQG1780">
        <v>0</v>
      </c>
      <c r="CQH1780">
        <v>0</v>
      </c>
      <c r="CQI1780">
        <v>0</v>
      </c>
      <c r="CQJ1780">
        <v>0</v>
      </c>
      <c r="CQK1780">
        <v>0</v>
      </c>
      <c r="CQL1780">
        <v>0</v>
      </c>
      <c r="CQM1780">
        <v>0</v>
      </c>
      <c r="CQN1780">
        <v>0</v>
      </c>
      <c r="CQO1780">
        <v>0</v>
      </c>
      <c r="CQP1780">
        <v>0</v>
      </c>
      <c r="CQQ1780">
        <v>0</v>
      </c>
      <c r="CQR1780">
        <v>0</v>
      </c>
      <c r="CQS1780">
        <v>0</v>
      </c>
      <c r="CQT1780">
        <v>0</v>
      </c>
      <c r="CQU1780">
        <v>0</v>
      </c>
      <c r="CQV1780">
        <v>0</v>
      </c>
      <c r="CQW1780">
        <v>0</v>
      </c>
      <c r="CQX1780">
        <v>0</v>
      </c>
      <c r="CQY1780">
        <v>0</v>
      </c>
      <c r="CQZ1780">
        <v>0</v>
      </c>
      <c r="CRA1780">
        <v>0</v>
      </c>
      <c r="CRB1780">
        <v>0</v>
      </c>
      <c r="CRC1780">
        <v>0</v>
      </c>
      <c r="CRD1780">
        <v>0</v>
      </c>
      <c r="CRE1780">
        <v>0</v>
      </c>
      <c r="CRF1780">
        <v>0</v>
      </c>
      <c r="CRG1780">
        <v>0</v>
      </c>
      <c r="CRH1780">
        <v>0</v>
      </c>
      <c r="CRI1780">
        <v>0</v>
      </c>
      <c r="CRJ1780">
        <v>0</v>
      </c>
      <c r="CRK1780">
        <v>0</v>
      </c>
      <c r="CRL1780">
        <v>0</v>
      </c>
      <c r="CRM1780">
        <v>0</v>
      </c>
      <c r="CRN1780">
        <v>0</v>
      </c>
      <c r="CRO1780">
        <v>0</v>
      </c>
      <c r="CRP1780">
        <v>0</v>
      </c>
      <c r="CRQ1780">
        <v>0</v>
      </c>
      <c r="CRR1780">
        <v>0</v>
      </c>
      <c r="CRS1780">
        <v>0</v>
      </c>
      <c r="CRT1780">
        <v>0</v>
      </c>
      <c r="CRU1780">
        <v>0</v>
      </c>
      <c r="CRV1780">
        <v>0</v>
      </c>
      <c r="CRW1780">
        <v>0</v>
      </c>
      <c r="CRX1780">
        <v>0</v>
      </c>
      <c r="CRY1780">
        <v>0</v>
      </c>
      <c r="CRZ1780">
        <v>0</v>
      </c>
      <c r="CSA1780">
        <v>0</v>
      </c>
      <c r="CSB1780">
        <v>0</v>
      </c>
      <c r="CSC1780">
        <v>0</v>
      </c>
      <c r="CSD1780">
        <v>0</v>
      </c>
      <c r="CSE1780">
        <v>0</v>
      </c>
      <c r="CSF1780">
        <v>0</v>
      </c>
      <c r="CSG1780">
        <v>0</v>
      </c>
      <c r="CSH1780">
        <v>0</v>
      </c>
      <c r="CSI1780">
        <v>0</v>
      </c>
      <c r="CSJ1780">
        <v>0</v>
      </c>
      <c r="CSK1780">
        <v>0</v>
      </c>
      <c r="CSL1780">
        <v>0</v>
      </c>
      <c r="CSM1780">
        <v>0</v>
      </c>
      <c r="CSN1780">
        <v>0</v>
      </c>
      <c r="CSO1780">
        <v>0</v>
      </c>
      <c r="CSP1780">
        <v>0</v>
      </c>
      <c r="CSQ1780">
        <v>0</v>
      </c>
      <c r="CSR1780">
        <v>0</v>
      </c>
      <c r="CSS1780">
        <v>0</v>
      </c>
      <c r="CST1780">
        <v>0</v>
      </c>
      <c r="CSU1780">
        <v>0</v>
      </c>
      <c r="CSV1780">
        <v>0</v>
      </c>
      <c r="CSW1780">
        <v>0</v>
      </c>
      <c r="CSX1780">
        <v>0</v>
      </c>
      <c r="CSY1780">
        <v>0</v>
      </c>
      <c r="CSZ1780">
        <v>0</v>
      </c>
      <c r="CTA1780">
        <v>0</v>
      </c>
      <c r="CTB1780">
        <v>0</v>
      </c>
      <c r="CTC1780">
        <v>0</v>
      </c>
      <c r="CTD1780">
        <v>0</v>
      </c>
      <c r="CTE1780">
        <v>0</v>
      </c>
      <c r="CTF1780">
        <v>0</v>
      </c>
      <c r="CTG1780">
        <v>0</v>
      </c>
      <c r="CTH1780">
        <v>0</v>
      </c>
      <c r="CTI1780">
        <v>0</v>
      </c>
      <c r="CTJ1780">
        <v>0</v>
      </c>
      <c r="CTK1780">
        <v>0</v>
      </c>
      <c r="CTL1780">
        <v>0</v>
      </c>
      <c r="CTM1780">
        <v>0</v>
      </c>
      <c r="CTN1780">
        <v>0</v>
      </c>
      <c r="CTO1780">
        <v>0</v>
      </c>
      <c r="CTP1780">
        <v>0</v>
      </c>
      <c r="CTQ1780">
        <v>0</v>
      </c>
      <c r="CTR1780">
        <v>0</v>
      </c>
      <c r="CTS1780">
        <v>0</v>
      </c>
      <c r="CTT1780">
        <v>0</v>
      </c>
      <c r="CTU1780">
        <v>0</v>
      </c>
      <c r="CTV1780">
        <v>0</v>
      </c>
      <c r="CTW1780">
        <v>0</v>
      </c>
      <c r="CTX1780">
        <v>0</v>
      </c>
      <c r="CTY1780">
        <v>0</v>
      </c>
      <c r="CTZ1780">
        <v>0</v>
      </c>
      <c r="CUA1780">
        <v>0</v>
      </c>
      <c r="CUB1780">
        <v>0</v>
      </c>
      <c r="CUC1780">
        <v>0</v>
      </c>
      <c r="CUD1780">
        <v>0</v>
      </c>
      <c r="CUE1780">
        <v>0</v>
      </c>
      <c r="CUF1780">
        <v>0</v>
      </c>
      <c r="CUG1780">
        <v>0</v>
      </c>
      <c r="CUH1780">
        <v>0</v>
      </c>
      <c r="CUI1780">
        <v>0</v>
      </c>
      <c r="CUJ1780">
        <v>0</v>
      </c>
      <c r="CUK1780">
        <v>0</v>
      </c>
      <c r="CUL1780">
        <v>0</v>
      </c>
      <c r="CUM1780">
        <v>0</v>
      </c>
      <c r="CUN1780">
        <v>0</v>
      </c>
      <c r="CUO1780">
        <v>0</v>
      </c>
      <c r="CUP1780">
        <v>0</v>
      </c>
      <c r="CUQ1780">
        <v>0</v>
      </c>
      <c r="CUR1780">
        <v>0</v>
      </c>
      <c r="CUS1780">
        <v>0</v>
      </c>
      <c r="CUT1780">
        <v>0</v>
      </c>
      <c r="CUU1780">
        <v>0</v>
      </c>
      <c r="CUV1780">
        <v>0</v>
      </c>
      <c r="CUW1780">
        <v>0</v>
      </c>
      <c r="CUX1780">
        <v>0</v>
      </c>
      <c r="CUY1780">
        <v>0</v>
      </c>
      <c r="CUZ1780">
        <v>0</v>
      </c>
      <c r="CVA1780">
        <v>0</v>
      </c>
      <c r="CVB1780">
        <v>0</v>
      </c>
      <c r="CVC1780">
        <v>0</v>
      </c>
      <c r="CVD1780">
        <v>0</v>
      </c>
      <c r="CVE1780">
        <v>0</v>
      </c>
      <c r="CVF1780">
        <v>0</v>
      </c>
      <c r="CVG1780">
        <v>0</v>
      </c>
      <c r="CVH1780">
        <v>0</v>
      </c>
      <c r="CVI1780">
        <v>0</v>
      </c>
      <c r="CVJ1780">
        <v>0</v>
      </c>
      <c r="CVK1780">
        <v>0</v>
      </c>
      <c r="CVL1780">
        <v>0</v>
      </c>
      <c r="CVM1780">
        <v>0</v>
      </c>
      <c r="CVN1780">
        <v>0</v>
      </c>
      <c r="CVO1780">
        <v>0</v>
      </c>
      <c r="CVP1780">
        <v>0</v>
      </c>
      <c r="CVQ1780">
        <v>0</v>
      </c>
      <c r="CVR1780">
        <v>0</v>
      </c>
      <c r="CVS1780">
        <v>0</v>
      </c>
      <c r="CVT1780">
        <v>0</v>
      </c>
      <c r="CVU1780">
        <v>0</v>
      </c>
      <c r="CVV1780">
        <v>0</v>
      </c>
      <c r="CVW1780">
        <v>0</v>
      </c>
      <c r="CVX1780">
        <v>0</v>
      </c>
      <c r="CVY1780">
        <v>0</v>
      </c>
      <c r="CVZ1780">
        <v>0</v>
      </c>
      <c r="CWA1780">
        <v>0</v>
      </c>
      <c r="CWB1780">
        <v>0</v>
      </c>
      <c r="CWC1780">
        <v>0</v>
      </c>
      <c r="CWD1780">
        <v>0</v>
      </c>
      <c r="CWE1780">
        <v>0</v>
      </c>
      <c r="CWF1780">
        <v>0</v>
      </c>
      <c r="CWG1780">
        <v>0</v>
      </c>
      <c r="CWH1780">
        <v>0</v>
      </c>
      <c r="CWI1780">
        <v>0</v>
      </c>
      <c r="CWJ1780">
        <v>0</v>
      </c>
      <c r="CWK1780">
        <v>0</v>
      </c>
      <c r="CWL1780">
        <v>0</v>
      </c>
      <c r="CWM1780">
        <v>0</v>
      </c>
      <c r="CWN1780">
        <v>0</v>
      </c>
      <c r="CWO1780">
        <v>0</v>
      </c>
      <c r="CWP1780">
        <v>0</v>
      </c>
      <c r="CWQ1780">
        <v>0</v>
      </c>
      <c r="CWR1780">
        <v>0</v>
      </c>
      <c r="CWS1780">
        <v>0</v>
      </c>
      <c r="CWT1780">
        <v>0</v>
      </c>
      <c r="CWU1780">
        <v>0</v>
      </c>
      <c r="CWV1780">
        <v>0</v>
      </c>
      <c r="CWW1780">
        <v>0</v>
      </c>
      <c r="CWX1780">
        <v>0</v>
      </c>
      <c r="CWY1780">
        <v>0</v>
      </c>
      <c r="CWZ1780">
        <v>0</v>
      </c>
      <c r="CXA1780">
        <v>0</v>
      </c>
      <c r="CXB1780">
        <v>0</v>
      </c>
      <c r="CXC1780">
        <v>0</v>
      </c>
      <c r="CXD1780">
        <v>0</v>
      </c>
      <c r="CXE1780">
        <v>0</v>
      </c>
      <c r="CXF1780">
        <v>0</v>
      </c>
      <c r="CXG1780">
        <v>0</v>
      </c>
      <c r="CXH1780">
        <v>0</v>
      </c>
      <c r="CXI1780">
        <v>0</v>
      </c>
      <c r="CXJ1780">
        <v>0</v>
      </c>
      <c r="CXK1780">
        <v>0</v>
      </c>
      <c r="CXL1780">
        <v>0</v>
      </c>
      <c r="CXM1780">
        <v>0</v>
      </c>
      <c r="CXN1780">
        <v>0</v>
      </c>
      <c r="CXO1780">
        <v>0</v>
      </c>
      <c r="CXP1780">
        <v>0</v>
      </c>
      <c r="CXQ1780">
        <v>0</v>
      </c>
      <c r="CXR1780">
        <v>0</v>
      </c>
      <c r="CXS1780">
        <v>0</v>
      </c>
      <c r="CXT1780">
        <v>0</v>
      </c>
      <c r="CXU1780">
        <v>0</v>
      </c>
      <c r="CXV1780">
        <v>0</v>
      </c>
      <c r="CXW1780">
        <v>0</v>
      </c>
      <c r="CXX1780">
        <v>0</v>
      </c>
      <c r="CXY1780">
        <v>0</v>
      </c>
      <c r="CXZ1780">
        <v>0</v>
      </c>
      <c r="CYA1780">
        <v>0</v>
      </c>
      <c r="CYB1780">
        <v>0</v>
      </c>
      <c r="CYC1780">
        <v>0</v>
      </c>
      <c r="CYD1780">
        <v>0</v>
      </c>
      <c r="CYE1780">
        <v>0</v>
      </c>
      <c r="CYF1780">
        <v>0</v>
      </c>
      <c r="CYG1780">
        <v>0</v>
      </c>
      <c r="CYH1780">
        <v>0</v>
      </c>
      <c r="CYI1780">
        <v>0</v>
      </c>
      <c r="CYJ1780">
        <v>0</v>
      </c>
      <c r="CYK1780">
        <v>0</v>
      </c>
      <c r="CYL1780">
        <v>0</v>
      </c>
      <c r="CYM1780">
        <v>0</v>
      </c>
      <c r="CYN1780">
        <v>0</v>
      </c>
      <c r="CYO1780">
        <v>0</v>
      </c>
      <c r="CYP1780">
        <v>0</v>
      </c>
      <c r="CYQ1780">
        <v>0</v>
      </c>
      <c r="CYR1780">
        <v>0</v>
      </c>
      <c r="CYS1780">
        <v>0</v>
      </c>
      <c r="CYT1780">
        <v>0</v>
      </c>
      <c r="CYU1780">
        <v>0</v>
      </c>
      <c r="CYV1780">
        <v>0</v>
      </c>
      <c r="CYW1780">
        <v>0</v>
      </c>
      <c r="CYX1780">
        <v>0</v>
      </c>
      <c r="CYY1780">
        <v>0</v>
      </c>
      <c r="CYZ1780">
        <v>0</v>
      </c>
      <c r="CZA1780">
        <v>0</v>
      </c>
      <c r="CZB1780">
        <v>0</v>
      </c>
      <c r="CZC1780">
        <v>0</v>
      </c>
      <c r="CZD1780">
        <v>0</v>
      </c>
      <c r="CZE1780">
        <v>0</v>
      </c>
      <c r="CZF1780">
        <v>0</v>
      </c>
      <c r="CZG1780">
        <v>0</v>
      </c>
      <c r="CZH1780">
        <v>0</v>
      </c>
      <c r="CZI1780">
        <v>0</v>
      </c>
      <c r="CZJ1780">
        <v>0</v>
      </c>
      <c r="CZK1780">
        <v>0</v>
      </c>
      <c r="CZL1780">
        <v>0</v>
      </c>
      <c r="CZM1780">
        <v>0</v>
      </c>
      <c r="CZN1780">
        <v>0</v>
      </c>
      <c r="CZO1780">
        <v>0</v>
      </c>
      <c r="CZP1780">
        <v>0</v>
      </c>
      <c r="CZQ1780">
        <v>0</v>
      </c>
      <c r="CZR1780">
        <v>0</v>
      </c>
      <c r="CZS1780">
        <v>0</v>
      </c>
      <c r="CZT1780">
        <v>0</v>
      </c>
      <c r="CZU1780">
        <v>0</v>
      </c>
      <c r="CZV1780">
        <v>0</v>
      </c>
      <c r="CZW1780">
        <v>0</v>
      </c>
      <c r="CZX1780">
        <v>0</v>
      </c>
      <c r="CZY1780">
        <v>0</v>
      </c>
      <c r="CZZ1780">
        <v>0</v>
      </c>
      <c r="DAA1780">
        <v>0</v>
      </c>
      <c r="DAB1780">
        <v>0</v>
      </c>
      <c r="DAC1780">
        <v>0</v>
      </c>
      <c r="DAD1780">
        <v>0</v>
      </c>
      <c r="DAE1780">
        <v>0</v>
      </c>
      <c r="DAF1780">
        <v>0</v>
      </c>
      <c r="DAG1780">
        <v>0</v>
      </c>
      <c r="DAH1780">
        <v>0</v>
      </c>
      <c r="DAI1780">
        <v>0</v>
      </c>
      <c r="DAJ1780">
        <v>0</v>
      </c>
      <c r="DAK1780">
        <v>0</v>
      </c>
      <c r="DAL1780">
        <v>0</v>
      </c>
      <c r="DAM1780">
        <v>0</v>
      </c>
      <c r="DAN1780">
        <v>0</v>
      </c>
      <c r="DAO1780">
        <v>0</v>
      </c>
      <c r="DAP1780">
        <v>0</v>
      </c>
      <c r="DAQ1780">
        <v>0</v>
      </c>
      <c r="DAR1780">
        <v>0</v>
      </c>
      <c r="DAS1780">
        <v>0</v>
      </c>
      <c r="DAT1780">
        <v>0</v>
      </c>
      <c r="DAU1780">
        <v>0</v>
      </c>
      <c r="DAV1780">
        <v>0</v>
      </c>
      <c r="DAW1780">
        <v>0</v>
      </c>
      <c r="DAX1780">
        <v>0</v>
      </c>
      <c r="DAY1780">
        <v>0</v>
      </c>
      <c r="DAZ1780">
        <v>0</v>
      </c>
      <c r="DBA1780">
        <v>0</v>
      </c>
      <c r="DBB1780">
        <v>0</v>
      </c>
      <c r="DBC1780">
        <v>0</v>
      </c>
      <c r="DBD1780">
        <v>0</v>
      </c>
      <c r="DBE1780">
        <v>0</v>
      </c>
      <c r="DBF1780">
        <v>0</v>
      </c>
      <c r="DBG1780">
        <v>0</v>
      </c>
      <c r="DBH1780">
        <v>0</v>
      </c>
      <c r="DBI1780">
        <v>0</v>
      </c>
      <c r="DBJ1780">
        <v>0</v>
      </c>
      <c r="DBK1780">
        <v>0</v>
      </c>
      <c r="DBL1780">
        <v>0</v>
      </c>
      <c r="DBM1780">
        <v>0</v>
      </c>
      <c r="DBN1780">
        <v>0</v>
      </c>
      <c r="DBO1780">
        <v>0</v>
      </c>
      <c r="DBP1780">
        <v>0</v>
      </c>
      <c r="DBQ1780">
        <v>0</v>
      </c>
      <c r="DBR1780">
        <v>0</v>
      </c>
      <c r="DBS1780">
        <v>0</v>
      </c>
      <c r="DBT1780">
        <v>0</v>
      </c>
      <c r="DBU1780">
        <v>0</v>
      </c>
      <c r="DBV1780">
        <v>0</v>
      </c>
      <c r="DBW1780">
        <v>0</v>
      </c>
      <c r="DBX1780">
        <v>0</v>
      </c>
      <c r="DBY1780">
        <v>0</v>
      </c>
      <c r="DBZ1780">
        <v>0</v>
      </c>
      <c r="DCA1780">
        <v>0</v>
      </c>
      <c r="DCB1780">
        <v>0</v>
      </c>
      <c r="DCC1780">
        <v>0</v>
      </c>
      <c r="DCD1780">
        <v>0</v>
      </c>
      <c r="DCE1780">
        <v>0</v>
      </c>
      <c r="DCF1780">
        <v>0</v>
      </c>
      <c r="DCG1780">
        <v>0</v>
      </c>
      <c r="DCH1780">
        <v>0</v>
      </c>
      <c r="DCI1780">
        <v>0</v>
      </c>
      <c r="DCJ1780">
        <v>0</v>
      </c>
      <c r="DCK1780">
        <v>0</v>
      </c>
      <c r="DCL1780">
        <v>0</v>
      </c>
      <c r="DCM1780">
        <v>0</v>
      </c>
      <c r="DCN1780">
        <v>0</v>
      </c>
      <c r="DCO1780">
        <v>0</v>
      </c>
      <c r="DCP1780">
        <v>0</v>
      </c>
      <c r="DCQ1780">
        <v>0</v>
      </c>
      <c r="DCR1780">
        <v>0</v>
      </c>
      <c r="DCS1780">
        <v>0</v>
      </c>
      <c r="DCT1780">
        <v>0</v>
      </c>
      <c r="DCU1780">
        <v>0</v>
      </c>
      <c r="DCV1780">
        <v>0</v>
      </c>
      <c r="DCW1780">
        <v>0</v>
      </c>
      <c r="DCX1780">
        <v>0</v>
      </c>
      <c r="DCY1780">
        <v>0</v>
      </c>
      <c r="DCZ1780">
        <v>0</v>
      </c>
      <c r="DDA1780">
        <v>0</v>
      </c>
      <c r="DDB1780">
        <v>0</v>
      </c>
      <c r="DDC1780">
        <v>0</v>
      </c>
      <c r="DDD1780">
        <v>0</v>
      </c>
      <c r="DDE1780">
        <v>0</v>
      </c>
      <c r="DDF1780">
        <v>0</v>
      </c>
      <c r="DDG1780">
        <v>0</v>
      </c>
      <c r="DDH1780">
        <v>0</v>
      </c>
      <c r="DDI1780">
        <v>0</v>
      </c>
      <c r="DDJ1780">
        <v>0</v>
      </c>
      <c r="DDK1780">
        <v>0</v>
      </c>
      <c r="DDL1780">
        <v>0</v>
      </c>
      <c r="DDM1780">
        <v>0</v>
      </c>
      <c r="DDN1780">
        <v>0</v>
      </c>
      <c r="DDO1780">
        <v>0</v>
      </c>
      <c r="DDP1780">
        <v>0</v>
      </c>
      <c r="DDQ1780">
        <v>0</v>
      </c>
      <c r="DDR1780">
        <v>0</v>
      </c>
      <c r="DDS1780">
        <v>0</v>
      </c>
      <c r="DDT1780">
        <v>0</v>
      </c>
      <c r="DDU1780">
        <v>0</v>
      </c>
      <c r="DDV1780">
        <v>0</v>
      </c>
      <c r="DDW1780">
        <v>0</v>
      </c>
      <c r="DDX1780">
        <v>0</v>
      </c>
      <c r="DDY1780">
        <v>0</v>
      </c>
      <c r="DDZ1780">
        <v>0</v>
      </c>
      <c r="DEA1780">
        <v>0</v>
      </c>
      <c r="DEB1780">
        <v>0</v>
      </c>
      <c r="DEC1780">
        <v>0</v>
      </c>
      <c r="DED1780">
        <v>0</v>
      </c>
      <c r="DEE1780">
        <v>0</v>
      </c>
      <c r="DEF1780">
        <v>0</v>
      </c>
      <c r="DEG1780">
        <v>0</v>
      </c>
      <c r="DEH1780">
        <v>0</v>
      </c>
      <c r="DEI1780">
        <v>0</v>
      </c>
      <c r="DEJ1780">
        <v>0</v>
      </c>
      <c r="DEK1780">
        <v>0</v>
      </c>
      <c r="DEL1780">
        <v>0</v>
      </c>
      <c r="DEM1780">
        <v>0</v>
      </c>
      <c r="DEN1780">
        <v>0</v>
      </c>
      <c r="DEO1780">
        <v>0</v>
      </c>
      <c r="DEP1780">
        <v>0</v>
      </c>
      <c r="DEQ1780">
        <v>0</v>
      </c>
      <c r="DER1780">
        <v>0</v>
      </c>
      <c r="DES1780">
        <v>0</v>
      </c>
      <c r="DET1780">
        <v>0</v>
      </c>
      <c r="DEU1780">
        <v>0</v>
      </c>
      <c r="DEV1780">
        <v>0</v>
      </c>
      <c r="DEW1780">
        <v>0</v>
      </c>
      <c r="DEX1780">
        <v>0</v>
      </c>
      <c r="DEY1780">
        <v>0</v>
      </c>
      <c r="DEZ1780">
        <v>0</v>
      </c>
      <c r="DFA1780">
        <v>0</v>
      </c>
      <c r="DFB1780">
        <v>0</v>
      </c>
      <c r="DFC1780">
        <v>0</v>
      </c>
      <c r="DFD1780">
        <v>0</v>
      </c>
      <c r="DFE1780">
        <v>0</v>
      </c>
      <c r="DFF1780">
        <v>0</v>
      </c>
      <c r="DFG1780">
        <v>0</v>
      </c>
      <c r="DFH1780">
        <v>0</v>
      </c>
      <c r="DFI1780">
        <v>0</v>
      </c>
      <c r="DFJ1780">
        <v>0</v>
      </c>
      <c r="DFK1780">
        <v>0</v>
      </c>
      <c r="DFL1780">
        <v>0</v>
      </c>
      <c r="DFM1780">
        <v>0</v>
      </c>
      <c r="DFN1780">
        <v>0</v>
      </c>
      <c r="DFO1780">
        <v>0</v>
      </c>
      <c r="DFP1780">
        <v>0</v>
      </c>
      <c r="DFQ1780">
        <v>0</v>
      </c>
      <c r="DFR1780">
        <v>0</v>
      </c>
      <c r="DFS1780">
        <v>0</v>
      </c>
      <c r="DFT1780">
        <v>0</v>
      </c>
      <c r="DFU1780">
        <v>0</v>
      </c>
      <c r="DFV1780">
        <v>0</v>
      </c>
      <c r="DFW1780">
        <v>0</v>
      </c>
      <c r="DFX1780">
        <v>0</v>
      </c>
      <c r="DFY1780">
        <v>0</v>
      </c>
      <c r="DFZ1780">
        <v>0</v>
      </c>
      <c r="DGA1780">
        <v>0</v>
      </c>
      <c r="DGB1780">
        <v>0</v>
      </c>
      <c r="DGC1780">
        <v>0</v>
      </c>
      <c r="DGD1780">
        <v>0</v>
      </c>
      <c r="DGE1780">
        <v>0</v>
      </c>
      <c r="DGF1780">
        <v>0</v>
      </c>
      <c r="DGG1780">
        <v>0</v>
      </c>
      <c r="DGH1780">
        <v>0</v>
      </c>
      <c r="DGI1780">
        <v>0</v>
      </c>
      <c r="DGJ1780">
        <v>0</v>
      </c>
      <c r="DGK1780">
        <v>0</v>
      </c>
      <c r="DGL1780">
        <v>0</v>
      </c>
      <c r="DGM1780">
        <v>0</v>
      </c>
      <c r="DGN1780">
        <v>0</v>
      </c>
      <c r="DGO1780">
        <v>0</v>
      </c>
      <c r="DGP1780">
        <v>0</v>
      </c>
      <c r="DGQ1780">
        <v>0</v>
      </c>
      <c r="DGR1780">
        <v>0</v>
      </c>
      <c r="DGS1780">
        <v>0</v>
      </c>
      <c r="DGT1780">
        <v>0</v>
      </c>
      <c r="DGU1780">
        <v>0</v>
      </c>
      <c r="DGV1780">
        <v>0</v>
      </c>
      <c r="DGW1780">
        <v>0</v>
      </c>
      <c r="DGX1780">
        <v>0</v>
      </c>
      <c r="DGY1780">
        <v>0</v>
      </c>
      <c r="DGZ1780">
        <v>0</v>
      </c>
      <c r="DHA1780">
        <v>0</v>
      </c>
      <c r="DHB1780">
        <v>0</v>
      </c>
      <c r="DHC1780">
        <v>0</v>
      </c>
      <c r="DHD1780">
        <v>0</v>
      </c>
      <c r="DHE1780">
        <v>0</v>
      </c>
      <c r="DHF1780">
        <v>0</v>
      </c>
      <c r="DHG1780">
        <v>0</v>
      </c>
      <c r="DHH1780">
        <v>0</v>
      </c>
      <c r="DHI1780">
        <v>0</v>
      </c>
      <c r="DHJ1780">
        <v>0</v>
      </c>
      <c r="DHK1780">
        <v>0</v>
      </c>
      <c r="DHL1780">
        <v>0</v>
      </c>
      <c r="DHM1780">
        <v>0</v>
      </c>
      <c r="DHN1780">
        <v>0</v>
      </c>
      <c r="DHO1780">
        <v>0</v>
      </c>
      <c r="DHP1780">
        <v>0</v>
      </c>
      <c r="DHQ1780">
        <v>0</v>
      </c>
      <c r="DHR1780">
        <v>0</v>
      </c>
      <c r="DHS1780">
        <v>0</v>
      </c>
      <c r="DHT1780">
        <v>0</v>
      </c>
      <c r="DHU1780">
        <v>0</v>
      </c>
      <c r="DHV1780">
        <v>0</v>
      </c>
      <c r="DHW1780">
        <v>0</v>
      </c>
      <c r="DHX1780">
        <v>0</v>
      </c>
      <c r="DHY1780">
        <v>0</v>
      </c>
      <c r="DHZ1780">
        <v>0</v>
      </c>
      <c r="DIA1780">
        <v>0</v>
      </c>
      <c r="DIB1780">
        <v>0</v>
      </c>
      <c r="DIC1780">
        <v>0</v>
      </c>
      <c r="DID1780">
        <v>0</v>
      </c>
      <c r="DIE1780">
        <v>0</v>
      </c>
      <c r="DIF1780">
        <v>0</v>
      </c>
      <c r="DIG1780">
        <v>0</v>
      </c>
      <c r="DIH1780">
        <v>0</v>
      </c>
      <c r="DII1780">
        <v>0</v>
      </c>
      <c r="DIJ1780">
        <v>0</v>
      </c>
      <c r="DIK1780">
        <v>0</v>
      </c>
      <c r="DIL1780">
        <v>0</v>
      </c>
      <c r="DIM1780">
        <v>0</v>
      </c>
      <c r="DIN1780">
        <v>0</v>
      </c>
      <c r="DIO1780">
        <v>0</v>
      </c>
      <c r="DIP1780">
        <v>0</v>
      </c>
      <c r="DIQ1780">
        <v>0</v>
      </c>
      <c r="DIR1780">
        <v>0</v>
      </c>
      <c r="DIS1780">
        <v>0</v>
      </c>
      <c r="DIT1780">
        <v>0</v>
      </c>
      <c r="DIU1780">
        <v>0</v>
      </c>
      <c r="DIV1780">
        <v>0</v>
      </c>
      <c r="DIW1780">
        <v>0</v>
      </c>
      <c r="DIX1780">
        <v>0</v>
      </c>
      <c r="DIY1780">
        <v>0</v>
      </c>
      <c r="DIZ1780">
        <v>0</v>
      </c>
      <c r="DJA1780">
        <v>0</v>
      </c>
      <c r="DJB1780">
        <v>0</v>
      </c>
      <c r="DJC1780">
        <v>0</v>
      </c>
      <c r="DJD1780">
        <v>0</v>
      </c>
      <c r="DJE1780">
        <v>0</v>
      </c>
      <c r="DJF1780">
        <v>0</v>
      </c>
      <c r="DJG1780">
        <v>0</v>
      </c>
      <c r="DJH1780">
        <v>0</v>
      </c>
      <c r="DJI1780">
        <v>0</v>
      </c>
      <c r="DJJ1780">
        <v>0</v>
      </c>
      <c r="DJK1780">
        <v>0</v>
      </c>
      <c r="DJL1780">
        <v>0</v>
      </c>
      <c r="DJM1780">
        <v>0</v>
      </c>
      <c r="DJN1780">
        <v>0</v>
      </c>
      <c r="DJO1780">
        <v>0</v>
      </c>
      <c r="DJP1780">
        <v>0</v>
      </c>
      <c r="DJQ1780">
        <v>0</v>
      </c>
      <c r="DJR1780">
        <v>0</v>
      </c>
      <c r="DJS1780">
        <v>0</v>
      </c>
      <c r="DJT1780">
        <v>0</v>
      </c>
      <c r="DJU1780">
        <v>0</v>
      </c>
      <c r="DJV1780">
        <v>0</v>
      </c>
      <c r="DJW1780">
        <v>0</v>
      </c>
      <c r="DJX1780">
        <v>0</v>
      </c>
      <c r="DJY1780">
        <v>0</v>
      </c>
      <c r="DJZ1780">
        <v>0</v>
      </c>
      <c r="DKA1780">
        <v>0</v>
      </c>
      <c r="DKB1780">
        <v>0</v>
      </c>
      <c r="DKC1780">
        <v>0</v>
      </c>
      <c r="DKD1780">
        <v>0</v>
      </c>
      <c r="DKE1780">
        <v>0</v>
      </c>
      <c r="DKF1780">
        <v>0</v>
      </c>
      <c r="DKG1780">
        <v>0</v>
      </c>
      <c r="DKH1780">
        <v>0</v>
      </c>
      <c r="DKI1780">
        <v>0</v>
      </c>
      <c r="DKJ1780">
        <v>0</v>
      </c>
      <c r="DKK1780">
        <v>0</v>
      </c>
      <c r="DKL1780">
        <v>0</v>
      </c>
      <c r="DKM1780">
        <v>0</v>
      </c>
      <c r="DKN1780">
        <v>0</v>
      </c>
      <c r="DKO1780">
        <v>0</v>
      </c>
      <c r="DKP1780">
        <v>0</v>
      </c>
      <c r="DKQ1780">
        <v>0</v>
      </c>
      <c r="DKR1780">
        <v>0</v>
      </c>
      <c r="DKS1780">
        <v>0</v>
      </c>
      <c r="DKT1780">
        <v>0</v>
      </c>
      <c r="DKU1780">
        <v>0</v>
      </c>
      <c r="DKV1780">
        <v>0</v>
      </c>
      <c r="DKW1780">
        <v>0</v>
      </c>
      <c r="DKX1780">
        <v>0</v>
      </c>
      <c r="DKY1780">
        <v>0</v>
      </c>
      <c r="DKZ1780">
        <v>0</v>
      </c>
      <c r="DLA1780">
        <v>0</v>
      </c>
      <c r="DLB1780">
        <v>0</v>
      </c>
      <c r="DLC1780">
        <v>0</v>
      </c>
      <c r="DLD1780">
        <v>0</v>
      </c>
      <c r="DLE1780">
        <v>0</v>
      </c>
      <c r="DLF1780">
        <v>0</v>
      </c>
      <c r="DLG1780">
        <v>0</v>
      </c>
      <c r="DLH1780">
        <v>0</v>
      </c>
      <c r="DLI1780">
        <v>0</v>
      </c>
      <c r="DLJ1780">
        <v>0</v>
      </c>
      <c r="DLK1780">
        <v>0</v>
      </c>
      <c r="DLL1780">
        <v>0</v>
      </c>
      <c r="DLM1780">
        <v>0</v>
      </c>
      <c r="DLN1780">
        <v>0</v>
      </c>
      <c r="DLO1780">
        <v>0</v>
      </c>
      <c r="DLP1780">
        <v>0</v>
      </c>
      <c r="DLQ1780">
        <v>0</v>
      </c>
      <c r="DLR1780">
        <v>0</v>
      </c>
      <c r="DLS1780">
        <v>0</v>
      </c>
      <c r="DLT1780">
        <v>0</v>
      </c>
      <c r="DLU1780">
        <v>0</v>
      </c>
      <c r="DLV1780">
        <v>0</v>
      </c>
      <c r="DLW1780">
        <v>0</v>
      </c>
      <c r="DLX1780">
        <v>0</v>
      </c>
      <c r="DLY1780">
        <v>0</v>
      </c>
      <c r="DLZ1780">
        <v>0</v>
      </c>
      <c r="DMA1780">
        <v>0</v>
      </c>
      <c r="DMB1780">
        <v>0</v>
      </c>
      <c r="DMC1780">
        <v>0</v>
      </c>
      <c r="DMD1780">
        <v>0</v>
      </c>
      <c r="DME1780">
        <v>0</v>
      </c>
      <c r="DMF1780">
        <v>0</v>
      </c>
      <c r="DMG1780">
        <v>0</v>
      </c>
      <c r="DMH1780">
        <v>0</v>
      </c>
      <c r="DMI1780">
        <v>0</v>
      </c>
      <c r="DMJ1780">
        <v>0</v>
      </c>
      <c r="DMK1780">
        <v>0</v>
      </c>
      <c r="DML1780">
        <v>0</v>
      </c>
      <c r="DMM1780">
        <v>0</v>
      </c>
      <c r="DMN1780">
        <v>0</v>
      </c>
      <c r="DMO1780">
        <v>0</v>
      </c>
      <c r="DMP1780">
        <v>0</v>
      </c>
      <c r="DMQ1780">
        <v>0</v>
      </c>
      <c r="DMR1780">
        <v>0</v>
      </c>
      <c r="DMS1780">
        <v>0</v>
      </c>
      <c r="DMT1780">
        <v>0</v>
      </c>
      <c r="DMU1780">
        <v>0</v>
      </c>
      <c r="DMV1780">
        <v>0</v>
      </c>
      <c r="DMW1780">
        <v>0</v>
      </c>
      <c r="DMX1780">
        <v>0</v>
      </c>
      <c r="DMY1780">
        <v>0</v>
      </c>
      <c r="DMZ1780">
        <v>0</v>
      </c>
      <c r="DNA1780">
        <v>0</v>
      </c>
      <c r="DNB1780">
        <v>0</v>
      </c>
      <c r="DNC1780">
        <v>0</v>
      </c>
      <c r="DND1780">
        <v>0</v>
      </c>
      <c r="DNE1780">
        <v>0</v>
      </c>
      <c r="DNF1780">
        <v>0</v>
      </c>
      <c r="DNG1780">
        <v>0</v>
      </c>
      <c r="DNH1780">
        <v>0</v>
      </c>
      <c r="DNI1780">
        <v>0</v>
      </c>
      <c r="DNJ1780">
        <v>0</v>
      </c>
      <c r="DNK1780">
        <v>0</v>
      </c>
      <c r="DNL1780">
        <v>0</v>
      </c>
      <c r="DNM1780">
        <v>0</v>
      </c>
      <c r="DNN1780">
        <v>0</v>
      </c>
      <c r="DNO1780">
        <v>0</v>
      </c>
      <c r="DNP1780">
        <v>0</v>
      </c>
      <c r="DNQ1780">
        <v>0</v>
      </c>
      <c r="DNR1780">
        <v>0</v>
      </c>
      <c r="DNS1780">
        <v>0</v>
      </c>
      <c r="DNT1780">
        <v>0</v>
      </c>
      <c r="DNU1780">
        <v>0</v>
      </c>
      <c r="DNV1780">
        <v>0</v>
      </c>
      <c r="DNW1780">
        <v>0</v>
      </c>
      <c r="DNX1780">
        <v>0</v>
      </c>
      <c r="DNY1780">
        <v>0</v>
      </c>
      <c r="DNZ1780">
        <v>0</v>
      </c>
      <c r="DOA1780">
        <v>0</v>
      </c>
      <c r="DOB1780">
        <v>0</v>
      </c>
      <c r="DOC1780">
        <v>0</v>
      </c>
      <c r="DOD1780">
        <v>0</v>
      </c>
      <c r="DOE1780">
        <v>0</v>
      </c>
      <c r="DOF1780">
        <v>0</v>
      </c>
      <c r="DOG1780">
        <v>0</v>
      </c>
      <c r="DOH1780">
        <v>0</v>
      </c>
      <c r="DOI1780">
        <v>0</v>
      </c>
      <c r="DOJ1780">
        <v>0</v>
      </c>
      <c r="DOK1780">
        <v>0</v>
      </c>
      <c r="DOL1780">
        <v>0</v>
      </c>
      <c r="DOM1780">
        <v>0</v>
      </c>
      <c r="DON1780">
        <v>0</v>
      </c>
      <c r="DOO1780">
        <v>0</v>
      </c>
      <c r="DOP1780">
        <v>0</v>
      </c>
      <c r="DOQ1780">
        <v>0</v>
      </c>
      <c r="DOR1780">
        <v>0</v>
      </c>
      <c r="DOS1780">
        <v>0</v>
      </c>
      <c r="DOT1780">
        <v>0</v>
      </c>
      <c r="DOU1780">
        <v>0</v>
      </c>
      <c r="DOV1780">
        <v>0</v>
      </c>
      <c r="DOW1780">
        <v>0</v>
      </c>
      <c r="DOX1780">
        <v>0</v>
      </c>
      <c r="DOY1780">
        <v>0</v>
      </c>
      <c r="DOZ1780">
        <v>0</v>
      </c>
      <c r="DPA1780">
        <v>0</v>
      </c>
      <c r="DPB1780">
        <v>0</v>
      </c>
      <c r="DPC1780">
        <v>0</v>
      </c>
      <c r="DPD1780">
        <v>0</v>
      </c>
      <c r="DPE1780">
        <v>0</v>
      </c>
      <c r="DPF1780">
        <v>0</v>
      </c>
      <c r="DPG1780">
        <v>0</v>
      </c>
      <c r="DPH1780">
        <v>0</v>
      </c>
      <c r="DPI1780">
        <v>0</v>
      </c>
      <c r="DPJ1780">
        <v>0</v>
      </c>
      <c r="DPK1780">
        <v>0</v>
      </c>
      <c r="DPL1780">
        <v>0</v>
      </c>
      <c r="DPM1780">
        <v>0</v>
      </c>
      <c r="DPN1780">
        <v>0</v>
      </c>
      <c r="DPO1780">
        <v>0</v>
      </c>
      <c r="DPP1780">
        <v>0</v>
      </c>
      <c r="DPQ1780">
        <v>0</v>
      </c>
      <c r="DPR1780">
        <v>0</v>
      </c>
      <c r="DPS1780">
        <v>0</v>
      </c>
      <c r="DPT1780">
        <v>0</v>
      </c>
      <c r="DPU1780">
        <v>0</v>
      </c>
      <c r="DPV1780">
        <v>0</v>
      </c>
      <c r="DPW1780">
        <v>0</v>
      </c>
      <c r="DPX1780">
        <v>0</v>
      </c>
      <c r="DPY1780">
        <v>0</v>
      </c>
      <c r="DPZ1780">
        <v>0</v>
      </c>
      <c r="DQA1780">
        <v>0</v>
      </c>
      <c r="DQB1780">
        <v>0</v>
      </c>
      <c r="DQC1780">
        <v>0</v>
      </c>
      <c r="DQD1780">
        <v>0</v>
      </c>
      <c r="DQE1780">
        <v>0</v>
      </c>
      <c r="DQF1780">
        <v>0</v>
      </c>
      <c r="DQG1780">
        <v>0</v>
      </c>
      <c r="DQH1780">
        <v>0</v>
      </c>
      <c r="DQI1780">
        <v>0</v>
      </c>
      <c r="DQJ1780">
        <v>0</v>
      </c>
      <c r="DQK1780">
        <v>0</v>
      </c>
      <c r="DQL1780">
        <v>0</v>
      </c>
      <c r="DQM1780">
        <v>0</v>
      </c>
      <c r="DQN1780">
        <v>0</v>
      </c>
      <c r="DQO1780">
        <v>0</v>
      </c>
      <c r="DQP1780">
        <v>0</v>
      </c>
      <c r="DQQ1780">
        <v>0</v>
      </c>
      <c r="DQR1780">
        <v>0</v>
      </c>
      <c r="DQS1780">
        <v>0</v>
      </c>
      <c r="DQT1780">
        <v>0</v>
      </c>
      <c r="DQU1780">
        <v>0</v>
      </c>
      <c r="DQV1780">
        <v>0</v>
      </c>
      <c r="DQW1780">
        <v>0</v>
      </c>
      <c r="DQX1780">
        <v>0</v>
      </c>
      <c r="DQY1780">
        <v>0</v>
      </c>
      <c r="DQZ1780">
        <v>0</v>
      </c>
      <c r="DRA1780">
        <v>0</v>
      </c>
      <c r="DRB1780">
        <v>0</v>
      </c>
      <c r="DRC1780">
        <v>0</v>
      </c>
      <c r="DRD1780">
        <v>0</v>
      </c>
      <c r="DRE1780">
        <v>0</v>
      </c>
      <c r="DRF1780">
        <v>0</v>
      </c>
      <c r="DRG1780">
        <v>0</v>
      </c>
      <c r="DRH1780">
        <v>0</v>
      </c>
      <c r="DRI1780">
        <v>0</v>
      </c>
      <c r="DRJ1780">
        <v>0</v>
      </c>
      <c r="DRK1780">
        <v>0</v>
      </c>
      <c r="DRL1780">
        <v>0</v>
      </c>
      <c r="DRM1780">
        <v>0</v>
      </c>
      <c r="DRN1780">
        <v>0</v>
      </c>
      <c r="DRO1780">
        <v>0</v>
      </c>
      <c r="DRP1780">
        <v>0</v>
      </c>
      <c r="DRQ1780">
        <v>0</v>
      </c>
      <c r="DRR1780">
        <v>0</v>
      </c>
      <c r="DRS1780">
        <v>0</v>
      </c>
      <c r="DRT1780">
        <v>0</v>
      </c>
      <c r="DRU1780">
        <v>0</v>
      </c>
      <c r="DRV1780">
        <v>0</v>
      </c>
      <c r="DRW1780">
        <v>0</v>
      </c>
      <c r="DRX1780">
        <v>0</v>
      </c>
      <c r="DRY1780">
        <v>0</v>
      </c>
      <c r="DRZ1780">
        <v>0</v>
      </c>
      <c r="DSA1780">
        <v>0</v>
      </c>
      <c r="DSB1780">
        <v>0</v>
      </c>
      <c r="DSC1780">
        <v>0</v>
      </c>
      <c r="DSD1780">
        <v>0</v>
      </c>
      <c r="DSE1780">
        <v>0</v>
      </c>
      <c r="DSF1780">
        <v>0</v>
      </c>
      <c r="DSG1780">
        <v>0</v>
      </c>
      <c r="DSH1780">
        <v>0</v>
      </c>
      <c r="DSI1780">
        <v>0</v>
      </c>
      <c r="DSJ1780">
        <v>0</v>
      </c>
      <c r="DSK1780">
        <v>0</v>
      </c>
      <c r="DSL1780">
        <v>0</v>
      </c>
      <c r="DSM1780">
        <v>0</v>
      </c>
      <c r="DSN1780">
        <v>0</v>
      </c>
      <c r="DSO1780">
        <v>0</v>
      </c>
      <c r="DSP1780">
        <v>0</v>
      </c>
      <c r="DSQ1780">
        <v>0</v>
      </c>
      <c r="DSR1780">
        <v>0</v>
      </c>
      <c r="DSS1780">
        <v>0</v>
      </c>
      <c r="DST1780">
        <v>0</v>
      </c>
      <c r="DSU1780">
        <v>0</v>
      </c>
      <c r="DSV1780">
        <v>0</v>
      </c>
      <c r="DSW1780">
        <v>0</v>
      </c>
      <c r="DSX1780">
        <v>0</v>
      </c>
      <c r="DSY1780">
        <v>0</v>
      </c>
      <c r="DSZ1780">
        <v>0</v>
      </c>
      <c r="DTA1780">
        <v>0</v>
      </c>
      <c r="DTB1780">
        <v>0</v>
      </c>
      <c r="DTC1780">
        <v>0</v>
      </c>
      <c r="DTD1780">
        <v>0</v>
      </c>
      <c r="DTE1780">
        <v>0</v>
      </c>
      <c r="DTF1780">
        <v>0</v>
      </c>
      <c r="DTG1780">
        <v>0</v>
      </c>
      <c r="DTH1780">
        <v>0</v>
      </c>
      <c r="DTI1780">
        <v>0</v>
      </c>
      <c r="DTJ1780">
        <v>0</v>
      </c>
      <c r="DTK1780">
        <v>0</v>
      </c>
      <c r="DTL1780">
        <v>0</v>
      </c>
      <c r="DTM1780">
        <v>0</v>
      </c>
      <c r="DTN1780">
        <v>0</v>
      </c>
      <c r="DTO1780">
        <v>0</v>
      </c>
      <c r="DTP1780">
        <v>0</v>
      </c>
      <c r="DTQ1780">
        <v>0</v>
      </c>
      <c r="DTR1780">
        <v>0</v>
      </c>
      <c r="DTS1780">
        <v>0</v>
      </c>
      <c r="DTT1780">
        <v>0</v>
      </c>
      <c r="DTU1780">
        <v>0</v>
      </c>
      <c r="DTV1780">
        <v>0</v>
      </c>
      <c r="DTW1780">
        <v>0</v>
      </c>
      <c r="DTX1780">
        <v>0</v>
      </c>
      <c r="DTY1780">
        <v>0</v>
      </c>
      <c r="DTZ1780">
        <v>0</v>
      </c>
      <c r="DUA1780">
        <v>0</v>
      </c>
      <c r="DUB1780">
        <v>0</v>
      </c>
      <c r="DUC1780">
        <v>0</v>
      </c>
      <c r="DUD1780">
        <v>0</v>
      </c>
      <c r="DUE1780">
        <v>0</v>
      </c>
      <c r="DUF1780">
        <v>0</v>
      </c>
      <c r="DUG1780">
        <v>0</v>
      </c>
      <c r="DUH1780">
        <v>0</v>
      </c>
      <c r="DUI1780">
        <v>0</v>
      </c>
      <c r="DUJ1780">
        <v>0</v>
      </c>
      <c r="DUK1780">
        <v>0</v>
      </c>
      <c r="DUL1780">
        <v>0</v>
      </c>
      <c r="DUM1780">
        <v>0</v>
      </c>
      <c r="DUN1780">
        <v>0</v>
      </c>
      <c r="DUO1780">
        <v>0</v>
      </c>
      <c r="DUP1780">
        <v>0</v>
      </c>
      <c r="DUQ1780">
        <v>0</v>
      </c>
      <c r="DUR1780">
        <v>0</v>
      </c>
      <c r="DUS1780">
        <v>0</v>
      </c>
      <c r="DUT1780">
        <v>0</v>
      </c>
      <c r="DUU1780">
        <v>0</v>
      </c>
      <c r="DUV1780">
        <v>0</v>
      </c>
      <c r="DUW1780">
        <v>0</v>
      </c>
      <c r="DUX1780">
        <v>0</v>
      </c>
      <c r="DUY1780">
        <v>0</v>
      </c>
      <c r="DUZ1780">
        <v>0</v>
      </c>
      <c r="DVA1780">
        <v>0</v>
      </c>
      <c r="DVB1780">
        <v>0</v>
      </c>
      <c r="DVC1780">
        <v>0</v>
      </c>
      <c r="DVD1780">
        <v>0</v>
      </c>
      <c r="DVE1780">
        <v>0</v>
      </c>
      <c r="DVF1780">
        <v>0</v>
      </c>
      <c r="DVG1780">
        <v>0</v>
      </c>
      <c r="DVH1780">
        <v>0</v>
      </c>
      <c r="DVI1780">
        <v>0</v>
      </c>
      <c r="DVJ1780">
        <v>0</v>
      </c>
      <c r="DVK1780">
        <v>0</v>
      </c>
      <c r="DVL1780">
        <v>0</v>
      </c>
      <c r="DVM1780">
        <v>0</v>
      </c>
      <c r="DVN1780">
        <v>0</v>
      </c>
      <c r="DVO1780">
        <v>0</v>
      </c>
      <c r="DVP1780">
        <v>0</v>
      </c>
      <c r="DVQ1780">
        <v>0</v>
      </c>
      <c r="DVR1780">
        <v>0</v>
      </c>
      <c r="DVS1780">
        <v>0</v>
      </c>
      <c r="DVT1780">
        <v>0</v>
      </c>
      <c r="DVU1780">
        <v>0</v>
      </c>
      <c r="DVV1780">
        <v>0</v>
      </c>
      <c r="DVW1780">
        <v>0</v>
      </c>
      <c r="DVX1780">
        <v>0</v>
      </c>
      <c r="DVY1780">
        <v>0</v>
      </c>
      <c r="DVZ1780">
        <v>0</v>
      </c>
      <c r="DWA1780">
        <v>0</v>
      </c>
      <c r="DWB1780">
        <v>0</v>
      </c>
      <c r="DWC1780">
        <v>0</v>
      </c>
      <c r="DWD1780">
        <v>0</v>
      </c>
      <c r="DWE1780">
        <v>0</v>
      </c>
      <c r="DWF1780">
        <v>0</v>
      </c>
      <c r="DWG1780">
        <v>0</v>
      </c>
      <c r="DWH1780">
        <v>0</v>
      </c>
      <c r="DWI1780">
        <v>0</v>
      </c>
      <c r="DWJ1780">
        <v>0</v>
      </c>
      <c r="DWK1780">
        <v>0</v>
      </c>
      <c r="DWL1780">
        <v>0</v>
      </c>
      <c r="DWM1780">
        <v>0</v>
      </c>
      <c r="DWN1780">
        <v>0</v>
      </c>
      <c r="DWO1780">
        <v>0</v>
      </c>
      <c r="DWP1780">
        <v>0</v>
      </c>
      <c r="DWQ1780">
        <v>0</v>
      </c>
      <c r="DWR1780">
        <v>0</v>
      </c>
      <c r="DWS1780">
        <v>0</v>
      </c>
      <c r="DWT1780">
        <v>0</v>
      </c>
      <c r="DWU1780">
        <v>0</v>
      </c>
      <c r="DWV1780">
        <v>0</v>
      </c>
      <c r="DWW1780">
        <v>0</v>
      </c>
      <c r="DWX1780">
        <v>0</v>
      </c>
      <c r="DWY1780">
        <v>0</v>
      </c>
      <c r="DWZ1780">
        <v>0</v>
      </c>
      <c r="DXA1780">
        <v>0</v>
      </c>
      <c r="DXB1780">
        <v>0</v>
      </c>
      <c r="DXC1780">
        <v>0</v>
      </c>
      <c r="DXD1780">
        <v>0</v>
      </c>
      <c r="DXE1780">
        <v>0</v>
      </c>
      <c r="DXF1780">
        <v>0</v>
      </c>
      <c r="DXG1780">
        <v>0</v>
      </c>
      <c r="DXH1780">
        <v>0</v>
      </c>
      <c r="DXI1780">
        <v>0</v>
      </c>
      <c r="DXJ1780">
        <v>0</v>
      </c>
      <c r="DXK1780">
        <v>0</v>
      </c>
      <c r="DXL1780">
        <v>0</v>
      </c>
      <c r="DXM1780">
        <v>0</v>
      </c>
      <c r="DXN1780">
        <v>0</v>
      </c>
      <c r="DXO1780">
        <v>0</v>
      </c>
      <c r="DXP1780">
        <v>0</v>
      </c>
      <c r="DXQ1780">
        <v>0</v>
      </c>
      <c r="DXR1780">
        <v>0</v>
      </c>
      <c r="DXS1780">
        <v>0</v>
      </c>
      <c r="DXT1780">
        <v>0</v>
      </c>
      <c r="DXU1780">
        <v>0</v>
      </c>
      <c r="DXV1780">
        <v>0</v>
      </c>
      <c r="DXW1780">
        <v>0</v>
      </c>
      <c r="DXX1780">
        <v>0</v>
      </c>
      <c r="DXY1780">
        <v>0</v>
      </c>
      <c r="DXZ1780">
        <v>0</v>
      </c>
      <c r="DYA1780">
        <v>0</v>
      </c>
      <c r="DYB1780">
        <v>0</v>
      </c>
      <c r="DYC1780">
        <v>0</v>
      </c>
      <c r="DYD1780">
        <v>0</v>
      </c>
      <c r="DYE1780">
        <v>0</v>
      </c>
      <c r="DYF1780">
        <v>0</v>
      </c>
      <c r="DYG1780">
        <v>0</v>
      </c>
      <c r="DYH1780">
        <v>0</v>
      </c>
      <c r="DYI1780">
        <v>0</v>
      </c>
      <c r="DYJ1780">
        <v>0</v>
      </c>
      <c r="DYK1780">
        <v>0</v>
      </c>
      <c r="DYL1780">
        <v>0</v>
      </c>
      <c r="DYM1780">
        <v>0</v>
      </c>
      <c r="DYN1780">
        <v>0</v>
      </c>
      <c r="DYO1780">
        <v>0</v>
      </c>
      <c r="DYP1780">
        <v>0</v>
      </c>
      <c r="DYQ1780">
        <v>0</v>
      </c>
      <c r="DYR1780">
        <v>0</v>
      </c>
      <c r="DYS1780">
        <v>0</v>
      </c>
      <c r="DYT1780">
        <v>0</v>
      </c>
      <c r="DYU1780">
        <v>0</v>
      </c>
      <c r="DYV1780">
        <v>0</v>
      </c>
      <c r="DYW1780">
        <v>0</v>
      </c>
      <c r="DYX1780">
        <v>0</v>
      </c>
      <c r="DYY1780">
        <v>0</v>
      </c>
      <c r="DYZ1780">
        <v>0</v>
      </c>
      <c r="DZA1780">
        <v>0</v>
      </c>
      <c r="DZB1780">
        <v>0</v>
      </c>
      <c r="DZC1780">
        <v>0</v>
      </c>
      <c r="DZD1780">
        <v>0</v>
      </c>
      <c r="DZE1780">
        <v>0</v>
      </c>
      <c r="DZF1780">
        <v>0</v>
      </c>
      <c r="DZG1780">
        <v>0</v>
      </c>
      <c r="DZH1780">
        <v>0</v>
      </c>
      <c r="DZI1780">
        <v>0</v>
      </c>
      <c r="DZJ1780">
        <v>0</v>
      </c>
      <c r="DZK1780">
        <v>0</v>
      </c>
      <c r="DZL1780">
        <v>0</v>
      </c>
      <c r="DZM1780">
        <v>0</v>
      </c>
      <c r="DZN1780">
        <v>0</v>
      </c>
      <c r="DZO1780">
        <v>0</v>
      </c>
      <c r="DZP1780">
        <v>0</v>
      </c>
      <c r="DZQ1780">
        <v>0</v>
      </c>
      <c r="DZR1780">
        <v>0</v>
      </c>
      <c r="DZS1780">
        <v>0</v>
      </c>
      <c r="DZT1780">
        <v>0</v>
      </c>
      <c r="DZU1780">
        <v>0</v>
      </c>
      <c r="DZV1780">
        <v>0</v>
      </c>
      <c r="DZW1780">
        <v>0</v>
      </c>
      <c r="DZX1780">
        <v>0</v>
      </c>
      <c r="DZY1780">
        <v>0</v>
      </c>
      <c r="DZZ1780">
        <v>0</v>
      </c>
      <c r="EAA1780">
        <v>0</v>
      </c>
      <c r="EAB1780">
        <v>0</v>
      </c>
      <c r="EAC1780">
        <v>0</v>
      </c>
      <c r="EAD1780">
        <v>0</v>
      </c>
      <c r="EAE1780">
        <v>0</v>
      </c>
      <c r="EAF1780">
        <v>0</v>
      </c>
      <c r="EAG1780">
        <v>0</v>
      </c>
      <c r="EAH1780">
        <v>0</v>
      </c>
      <c r="EAI1780">
        <v>0</v>
      </c>
      <c r="EAJ1780">
        <v>0</v>
      </c>
      <c r="EAK1780">
        <v>0</v>
      </c>
      <c r="EAL1780">
        <v>0</v>
      </c>
      <c r="EAM1780">
        <v>0</v>
      </c>
      <c r="EAN1780">
        <v>0</v>
      </c>
      <c r="EAO1780">
        <v>0</v>
      </c>
      <c r="EAP1780">
        <v>0</v>
      </c>
      <c r="EAQ1780">
        <v>0</v>
      </c>
      <c r="EAR1780">
        <v>0</v>
      </c>
      <c r="EAS1780">
        <v>0</v>
      </c>
      <c r="EAT1780">
        <v>0</v>
      </c>
      <c r="EAU1780">
        <v>0</v>
      </c>
      <c r="EAV1780">
        <v>0</v>
      </c>
      <c r="EAW1780">
        <v>0</v>
      </c>
      <c r="EAX1780">
        <v>0</v>
      </c>
      <c r="EAY1780">
        <v>0</v>
      </c>
      <c r="EAZ1780">
        <v>0</v>
      </c>
      <c r="EBA1780">
        <v>0</v>
      </c>
      <c r="EBB1780">
        <v>0</v>
      </c>
      <c r="EBC1780">
        <v>0</v>
      </c>
      <c r="EBD1780">
        <v>0</v>
      </c>
      <c r="EBE1780">
        <v>0</v>
      </c>
      <c r="EBF1780">
        <v>0</v>
      </c>
      <c r="EBG1780">
        <v>0</v>
      </c>
      <c r="EBH1780">
        <v>0</v>
      </c>
      <c r="EBI1780">
        <v>0</v>
      </c>
      <c r="EBJ1780">
        <v>0</v>
      </c>
      <c r="EBK1780">
        <v>0</v>
      </c>
      <c r="EBL1780">
        <v>0</v>
      </c>
      <c r="EBM1780">
        <v>0</v>
      </c>
      <c r="EBN1780">
        <v>0</v>
      </c>
      <c r="EBO1780">
        <v>0</v>
      </c>
      <c r="EBP1780">
        <v>0</v>
      </c>
      <c r="EBQ1780">
        <v>0</v>
      </c>
      <c r="EBR1780">
        <v>0</v>
      </c>
      <c r="EBS1780">
        <v>0</v>
      </c>
      <c r="EBT1780">
        <v>0</v>
      </c>
      <c r="EBU1780">
        <v>0</v>
      </c>
      <c r="EBV1780">
        <v>0</v>
      </c>
      <c r="EBW1780">
        <v>0</v>
      </c>
      <c r="EBX1780">
        <v>0</v>
      </c>
      <c r="EBY1780">
        <v>0</v>
      </c>
      <c r="EBZ1780">
        <v>0</v>
      </c>
      <c r="ECA1780">
        <v>0</v>
      </c>
      <c r="ECB1780">
        <v>0</v>
      </c>
      <c r="ECC1780">
        <v>0</v>
      </c>
      <c r="ECD1780">
        <v>0</v>
      </c>
      <c r="ECE1780">
        <v>0</v>
      </c>
      <c r="ECF1780">
        <v>0</v>
      </c>
      <c r="ECG1780">
        <v>0</v>
      </c>
      <c r="ECH1780">
        <v>0</v>
      </c>
      <c r="ECI1780">
        <v>0</v>
      </c>
      <c r="ECJ1780">
        <v>0</v>
      </c>
      <c r="ECK1780">
        <v>0</v>
      </c>
      <c r="ECL1780">
        <v>0</v>
      </c>
      <c r="ECM1780">
        <v>0</v>
      </c>
      <c r="ECN1780">
        <v>0</v>
      </c>
      <c r="ECO1780">
        <v>0</v>
      </c>
      <c r="ECP1780">
        <v>0</v>
      </c>
      <c r="ECQ1780">
        <v>0</v>
      </c>
      <c r="ECR1780">
        <v>0</v>
      </c>
      <c r="ECS1780">
        <v>0</v>
      </c>
      <c r="ECT1780">
        <v>0</v>
      </c>
      <c r="ECU1780">
        <v>0</v>
      </c>
      <c r="ECV1780">
        <v>0</v>
      </c>
      <c r="ECW1780">
        <v>0</v>
      </c>
      <c r="ECX1780">
        <v>0</v>
      </c>
      <c r="ECY1780">
        <v>0</v>
      </c>
      <c r="ECZ1780">
        <v>0</v>
      </c>
      <c r="EDA1780">
        <v>0</v>
      </c>
      <c r="EDB1780">
        <v>0</v>
      </c>
      <c r="EDC1780">
        <v>0</v>
      </c>
      <c r="EDD1780">
        <v>0</v>
      </c>
      <c r="EDE1780">
        <v>0</v>
      </c>
    </row>
    <row r="1781" spans="1:3493" x14ac:dyDescent="0.3">
      <c r="B1781" t="s">
        <v>5265</v>
      </c>
      <c r="C1781" s="1">
        <v>9.9999999999999999E+306</v>
      </c>
      <c r="D1781" s="1">
        <v>9.9999999999999999E+306</v>
      </c>
      <c r="E1781" s="1">
        <v>9.9999999999999999E+306</v>
      </c>
      <c r="F1781" s="1">
        <v>9.9999999999999999E+306</v>
      </c>
      <c r="G1781" s="1">
        <v>9.9999999999999999E+306</v>
      </c>
      <c r="H1781" s="1">
        <v>9.9999999999999999E+306</v>
      </c>
      <c r="I1781" s="1">
        <v>9.9999999999999999E+306</v>
      </c>
      <c r="J1781" s="1">
        <v>9.9999999999999999E+306</v>
      </c>
      <c r="K1781" s="1">
        <v>9.9999999999999999E+306</v>
      </c>
      <c r="L1781" s="1">
        <v>9.9999999999999999E+306</v>
      </c>
      <c r="M1781" s="1">
        <v>9.9999999999999999E+306</v>
      </c>
      <c r="N1781" s="1">
        <v>9.9999999999999999E+306</v>
      </c>
      <c r="O1781" s="1">
        <v>9.9999999999999999E+306</v>
      </c>
      <c r="P1781" s="1">
        <v>9.9999999999999999E+306</v>
      </c>
      <c r="Q1781" s="1">
        <v>9.9999999999999999E+306</v>
      </c>
      <c r="R1781" s="1">
        <v>9.9999999999999999E+306</v>
      </c>
      <c r="S1781" s="1">
        <v>9.9999999999999999E+306</v>
      </c>
      <c r="T1781" s="1">
        <v>9.9999999999999999E+306</v>
      </c>
      <c r="U1781" s="1">
        <v>9.9999999999999999E+306</v>
      </c>
      <c r="V1781" s="1">
        <v>9.9999999999999999E+306</v>
      </c>
      <c r="W1781" s="1">
        <v>9.9999999999999999E+306</v>
      </c>
      <c r="X1781" s="1">
        <v>9.9999999999999999E+306</v>
      </c>
      <c r="Y1781" s="1">
        <v>9.9999999999999999E+306</v>
      </c>
      <c r="Z1781" s="1">
        <v>9.9999999999999999E+306</v>
      </c>
      <c r="AA1781" s="1">
        <v>9.9999999999999999E+306</v>
      </c>
      <c r="AB1781" s="1">
        <v>9.9999999999999999E+306</v>
      </c>
      <c r="AC1781" s="1">
        <v>9.9999999999999999E+306</v>
      </c>
      <c r="AD1781" s="1">
        <v>9.9999999999999999E+306</v>
      </c>
      <c r="AE1781" s="1">
        <v>9.9999999999999999E+306</v>
      </c>
      <c r="AF1781" s="1">
        <v>9.9999999999999999E+306</v>
      </c>
      <c r="AG1781" s="1">
        <v>9.9999999999999999E+306</v>
      </c>
      <c r="AH1781" s="1">
        <v>9.9999999999999999E+306</v>
      </c>
      <c r="AI1781" s="1">
        <v>9.9999999999999999E+306</v>
      </c>
      <c r="AJ1781" s="1">
        <v>9.9999999999999999E+306</v>
      </c>
      <c r="AK1781" s="1">
        <v>9.9999999999999999E+306</v>
      </c>
      <c r="AL1781" s="1">
        <v>9.9999999999999999E+306</v>
      </c>
      <c r="AM1781" s="1">
        <v>9.9999999999999999E+306</v>
      </c>
      <c r="AN1781" s="1">
        <v>9.9999999999999999E+306</v>
      </c>
      <c r="AO1781" s="1">
        <v>9.9999999999999999E+306</v>
      </c>
      <c r="AP1781" s="1">
        <v>9.9999999999999999E+306</v>
      </c>
      <c r="AQ1781" s="1">
        <v>9.9999999999999999E+306</v>
      </c>
      <c r="AR1781" s="1">
        <v>9.9999999999999999E+306</v>
      </c>
      <c r="AS1781" s="1">
        <v>9.9999999999999999E+306</v>
      </c>
      <c r="AT1781" s="1">
        <v>9.9999999999999999E+306</v>
      </c>
      <c r="AU1781" s="1">
        <v>9.9999999999999999E+306</v>
      </c>
      <c r="AV1781" s="1">
        <v>9.9999999999999999E+306</v>
      </c>
      <c r="AW1781" s="1">
        <v>9.9999999999999999E+306</v>
      </c>
      <c r="AX1781" s="1">
        <v>9.9999999999999999E+306</v>
      </c>
      <c r="AY1781" s="1">
        <v>9.9999999999999999E+306</v>
      </c>
      <c r="AZ1781" s="1">
        <v>9.9999999999999999E+306</v>
      </c>
      <c r="BA1781" s="1">
        <v>9.9999999999999999E+306</v>
      </c>
      <c r="BB1781" s="1">
        <v>9.9999999999999999E+306</v>
      </c>
      <c r="BC1781" s="1">
        <v>9.9999999999999999E+306</v>
      </c>
      <c r="BD1781" s="1">
        <v>9.9999999999999999E+306</v>
      </c>
      <c r="BE1781" s="1">
        <v>9.9999999999999999E+306</v>
      </c>
      <c r="BF1781" s="1">
        <v>9.9999999999999999E+306</v>
      </c>
      <c r="BG1781" s="1">
        <v>9.9999999999999999E+306</v>
      </c>
      <c r="BH1781" s="1">
        <v>9.9999999999999999E+306</v>
      </c>
      <c r="BI1781" s="1">
        <v>9.9999999999999999E+306</v>
      </c>
      <c r="BJ1781" s="1">
        <v>9.9999999999999999E+306</v>
      </c>
      <c r="BK1781" s="1">
        <v>9.9999999999999999E+306</v>
      </c>
      <c r="BL1781" s="1">
        <v>9.9999999999999999E+306</v>
      </c>
      <c r="BM1781" s="1">
        <v>9.9999999999999999E+306</v>
      </c>
      <c r="BN1781" s="1">
        <v>9.9999999999999999E+306</v>
      </c>
      <c r="BO1781" s="1">
        <v>9.9999999999999999E+306</v>
      </c>
      <c r="BP1781" s="1">
        <v>9.9999999999999999E+306</v>
      </c>
      <c r="BQ1781" s="1">
        <v>9.9999999999999999E+306</v>
      </c>
      <c r="BR1781" s="1">
        <v>9.9999999999999999E+306</v>
      </c>
      <c r="BS1781" s="1">
        <v>9.9999999999999999E+306</v>
      </c>
      <c r="BT1781" s="1">
        <v>9.9999999999999999E+306</v>
      </c>
      <c r="BU1781" s="1">
        <v>9.9999999999999999E+306</v>
      </c>
      <c r="BV1781" s="1">
        <v>9.9999999999999999E+306</v>
      </c>
      <c r="BW1781" s="1">
        <v>9.9999999999999999E+306</v>
      </c>
      <c r="BX1781" s="1">
        <v>9.9999999999999999E+306</v>
      </c>
      <c r="BY1781" s="1">
        <v>9.9999999999999999E+306</v>
      </c>
      <c r="BZ1781" s="1">
        <v>9.9999999999999999E+306</v>
      </c>
      <c r="CA1781" s="1">
        <v>9.9999999999999999E+306</v>
      </c>
      <c r="CB1781" s="1">
        <v>9.9999999999999999E+306</v>
      </c>
      <c r="CC1781" s="1">
        <v>9.9999999999999999E+306</v>
      </c>
      <c r="CD1781" s="1">
        <v>9.9999999999999999E+306</v>
      </c>
      <c r="CE1781" s="1">
        <v>9.9999999999999999E+306</v>
      </c>
      <c r="CF1781" s="1">
        <v>9.9999999999999999E+306</v>
      </c>
      <c r="CG1781" s="1">
        <v>9.9999999999999999E+306</v>
      </c>
      <c r="CH1781" s="1">
        <v>9.9999999999999999E+306</v>
      </c>
      <c r="CI1781" s="1">
        <v>9.9999999999999999E+306</v>
      </c>
      <c r="CJ1781" s="1">
        <v>9.9999999999999999E+306</v>
      </c>
      <c r="CK1781" s="1">
        <v>9.9999999999999999E+306</v>
      </c>
      <c r="CL1781" s="1">
        <v>9.9999999999999999E+306</v>
      </c>
      <c r="CM1781" s="1">
        <v>9.9999999999999999E+306</v>
      </c>
      <c r="CN1781" s="1">
        <v>9.9999999999999999E+306</v>
      </c>
      <c r="CO1781" s="1">
        <v>9.9999999999999999E+306</v>
      </c>
      <c r="CP1781" s="1">
        <v>9.9999999999999999E+306</v>
      </c>
      <c r="CQ1781" s="1">
        <v>9.9999999999999999E+306</v>
      </c>
      <c r="CR1781" s="1">
        <v>9.9999999999999999E+306</v>
      </c>
      <c r="CS1781" s="1">
        <v>9.9999999999999999E+306</v>
      </c>
      <c r="CT1781" s="1">
        <v>9.9999999999999999E+306</v>
      </c>
      <c r="CU1781" s="1">
        <v>9.9999999999999999E+306</v>
      </c>
      <c r="CV1781" s="1">
        <v>9.9999999999999999E+306</v>
      </c>
      <c r="CW1781" s="1">
        <v>9.9999999999999999E+306</v>
      </c>
      <c r="CX1781" s="1">
        <v>9.9999999999999999E+306</v>
      </c>
      <c r="CY1781" s="1">
        <v>9.9999999999999999E+306</v>
      </c>
      <c r="CZ1781" s="1">
        <v>9.9999999999999999E+306</v>
      </c>
      <c r="DA1781" s="1">
        <v>9.9999999999999999E+306</v>
      </c>
      <c r="DB1781" s="1">
        <v>9.9999999999999999E+306</v>
      </c>
      <c r="DC1781" s="1">
        <v>9.9999999999999999E+306</v>
      </c>
      <c r="DD1781" s="1">
        <v>9.9999999999999999E+306</v>
      </c>
      <c r="DE1781" s="1">
        <v>9.9999999999999999E+306</v>
      </c>
      <c r="DF1781" s="1">
        <v>9.9999999999999999E+306</v>
      </c>
      <c r="DG1781" s="1">
        <v>9.9999999999999999E+306</v>
      </c>
      <c r="DH1781" s="1">
        <v>9.9999999999999999E+306</v>
      </c>
      <c r="DI1781" s="1">
        <v>9.9999999999999999E+306</v>
      </c>
      <c r="DJ1781" s="1">
        <v>9.9999999999999999E+306</v>
      </c>
      <c r="DK1781" s="1">
        <v>9.9999999999999999E+306</v>
      </c>
      <c r="DL1781" s="1">
        <v>9.9999999999999999E+306</v>
      </c>
      <c r="DM1781" s="1">
        <v>9.9999999999999999E+306</v>
      </c>
      <c r="DN1781" s="1">
        <v>9.9999999999999999E+306</v>
      </c>
      <c r="DO1781" s="1">
        <v>9.9999999999999999E+306</v>
      </c>
      <c r="DP1781" s="1">
        <v>9.9999999999999999E+306</v>
      </c>
      <c r="DQ1781" s="1">
        <v>9.9999999999999999E+306</v>
      </c>
      <c r="DR1781" s="1">
        <v>9.9999999999999999E+306</v>
      </c>
      <c r="DS1781" s="1">
        <v>9.9999999999999999E+306</v>
      </c>
      <c r="DT1781" s="1">
        <v>9.9999999999999999E+306</v>
      </c>
      <c r="DU1781" s="1">
        <v>9.9999999999999999E+306</v>
      </c>
      <c r="DV1781" s="1">
        <v>9.9999999999999999E+306</v>
      </c>
      <c r="DW1781" s="1">
        <v>9.9999999999999999E+306</v>
      </c>
      <c r="DX1781" s="1">
        <v>9.9999999999999999E+306</v>
      </c>
      <c r="DY1781" s="1">
        <v>9.9999999999999999E+306</v>
      </c>
      <c r="DZ1781" s="1">
        <v>9.9999999999999999E+306</v>
      </c>
      <c r="EA1781" s="1">
        <v>9.9999999999999999E+306</v>
      </c>
      <c r="EB1781" s="1">
        <v>9.9999999999999999E+306</v>
      </c>
      <c r="EC1781" s="1">
        <v>9.9999999999999999E+306</v>
      </c>
      <c r="ED1781" s="1">
        <v>9.9999999999999999E+306</v>
      </c>
      <c r="EE1781" s="1">
        <v>9.9999999999999999E+306</v>
      </c>
      <c r="EF1781" s="1">
        <v>9.9999999999999999E+306</v>
      </c>
      <c r="EG1781" s="1">
        <v>9.9999999999999999E+306</v>
      </c>
      <c r="EH1781" s="1">
        <v>9.9999999999999999E+306</v>
      </c>
      <c r="EI1781" s="1">
        <v>9.9999999999999999E+306</v>
      </c>
      <c r="EJ1781" s="1">
        <v>9.9999999999999999E+306</v>
      </c>
      <c r="EK1781" s="1">
        <v>9.9999999999999999E+306</v>
      </c>
      <c r="EL1781" s="1">
        <v>9.9999999999999999E+306</v>
      </c>
      <c r="EM1781" s="1">
        <v>9.9999999999999999E+306</v>
      </c>
      <c r="EN1781" s="1">
        <v>9.9999999999999999E+306</v>
      </c>
      <c r="EO1781" s="1">
        <v>9.9999999999999999E+306</v>
      </c>
      <c r="EP1781" s="1">
        <v>9.9999999999999999E+306</v>
      </c>
      <c r="EQ1781" s="1">
        <v>9.9999999999999999E+306</v>
      </c>
      <c r="ER1781" s="1">
        <v>9.9999999999999999E+306</v>
      </c>
      <c r="ES1781" s="1">
        <v>9.9999999999999999E+306</v>
      </c>
      <c r="ET1781" s="1">
        <v>9.9999999999999999E+306</v>
      </c>
      <c r="EU1781" s="1">
        <v>9.9999999999999999E+306</v>
      </c>
      <c r="EV1781" s="1">
        <v>9.9999999999999999E+306</v>
      </c>
      <c r="EW1781" s="1">
        <v>9.9999999999999999E+306</v>
      </c>
      <c r="EX1781" s="1">
        <v>9.9999999999999999E+306</v>
      </c>
      <c r="EY1781" s="1">
        <v>9.9999999999999999E+306</v>
      </c>
      <c r="EZ1781" s="1">
        <v>9.9999999999999999E+306</v>
      </c>
      <c r="FA1781" s="1">
        <v>9.9999999999999999E+306</v>
      </c>
      <c r="FB1781" s="1">
        <v>9.9999999999999999E+306</v>
      </c>
      <c r="FC1781" s="1">
        <v>9.9999999999999999E+306</v>
      </c>
      <c r="FD1781" s="1">
        <v>9.9999999999999999E+306</v>
      </c>
      <c r="FE1781" s="1">
        <v>9.9999999999999999E+306</v>
      </c>
      <c r="FF1781" s="1">
        <v>9.9999999999999999E+306</v>
      </c>
      <c r="FG1781" s="1">
        <v>9.9999999999999999E+306</v>
      </c>
      <c r="FH1781" s="1">
        <v>9.9999999999999999E+306</v>
      </c>
      <c r="FI1781" s="1">
        <v>9.9999999999999999E+306</v>
      </c>
      <c r="FJ1781" s="1">
        <v>9.9999999999999999E+306</v>
      </c>
      <c r="FK1781" s="1">
        <v>9.9999999999999999E+306</v>
      </c>
      <c r="FL1781" s="1">
        <v>9.9999999999999999E+306</v>
      </c>
      <c r="FM1781" s="1">
        <v>9.9999999999999999E+306</v>
      </c>
      <c r="FN1781" s="1">
        <v>9.9999999999999999E+306</v>
      </c>
      <c r="FO1781" s="1">
        <v>9.9999999999999999E+306</v>
      </c>
      <c r="FP1781" s="1">
        <v>9.9999999999999999E+306</v>
      </c>
      <c r="FQ1781" s="1">
        <v>9.9999999999999999E+306</v>
      </c>
      <c r="FR1781" s="1">
        <v>9.9999999999999999E+306</v>
      </c>
      <c r="FS1781" s="1">
        <v>9.9999999999999999E+306</v>
      </c>
      <c r="FT1781" s="1">
        <v>9.9999999999999999E+306</v>
      </c>
      <c r="FU1781" s="1">
        <v>9.9999999999999999E+306</v>
      </c>
      <c r="FV1781" s="1">
        <v>9.9999999999999999E+306</v>
      </c>
      <c r="FW1781" s="1">
        <v>9.9999999999999999E+306</v>
      </c>
      <c r="FX1781" s="1">
        <v>9.9999999999999999E+306</v>
      </c>
      <c r="FY1781" s="1">
        <v>9.9999999999999999E+306</v>
      </c>
      <c r="FZ1781" s="1">
        <v>9.9999999999999999E+306</v>
      </c>
      <c r="GA1781" s="1">
        <v>9.9999999999999999E+306</v>
      </c>
      <c r="GB1781" s="1">
        <v>9.9999999999999999E+306</v>
      </c>
      <c r="GC1781" s="1">
        <v>9.9999999999999999E+306</v>
      </c>
      <c r="GD1781" s="1">
        <v>9.9999999999999999E+306</v>
      </c>
      <c r="GE1781" s="1">
        <v>9.9999999999999999E+306</v>
      </c>
      <c r="GF1781" s="1">
        <v>9.9999999999999999E+306</v>
      </c>
      <c r="GG1781" s="1">
        <v>9.9999999999999999E+306</v>
      </c>
      <c r="GH1781" s="1">
        <v>9.9999999999999999E+306</v>
      </c>
      <c r="GI1781" s="1">
        <v>9.9999999999999999E+306</v>
      </c>
      <c r="GJ1781" s="1">
        <v>9.9999999999999999E+306</v>
      </c>
      <c r="GK1781" s="1">
        <v>9.9999999999999999E+306</v>
      </c>
      <c r="GL1781" s="1">
        <v>9.9999999999999999E+306</v>
      </c>
      <c r="GM1781" s="1">
        <v>9.9999999999999999E+306</v>
      </c>
      <c r="GN1781" s="1">
        <v>9.9999999999999999E+306</v>
      </c>
      <c r="GO1781" s="1">
        <v>9.9999999999999999E+306</v>
      </c>
      <c r="GP1781" s="1">
        <v>9.9999999999999999E+306</v>
      </c>
      <c r="GQ1781" s="1">
        <v>9.9999999999999999E+306</v>
      </c>
      <c r="GR1781" s="1">
        <v>9.9999999999999999E+306</v>
      </c>
      <c r="GS1781" s="1">
        <v>9.9999999999999999E+306</v>
      </c>
      <c r="GT1781" s="1">
        <v>9.9999999999999999E+306</v>
      </c>
      <c r="GU1781" s="1">
        <v>9.9999999999999999E+306</v>
      </c>
      <c r="GV1781" s="1">
        <v>9.9999999999999999E+306</v>
      </c>
      <c r="GW1781" s="1">
        <v>9.9999999999999999E+306</v>
      </c>
      <c r="GX1781" s="1">
        <v>9.9999999999999999E+306</v>
      </c>
      <c r="GY1781" s="1">
        <v>9.9999999999999999E+306</v>
      </c>
      <c r="GZ1781" s="1">
        <v>9.9999999999999999E+306</v>
      </c>
      <c r="HA1781" s="1">
        <v>9.9999999999999999E+306</v>
      </c>
      <c r="HB1781" s="1">
        <v>9.9999999999999999E+306</v>
      </c>
      <c r="HC1781" s="1">
        <v>9.9999999999999999E+306</v>
      </c>
      <c r="HD1781" s="1">
        <v>9.9999999999999999E+306</v>
      </c>
      <c r="HE1781" s="1">
        <v>9.9999999999999999E+306</v>
      </c>
      <c r="HF1781" s="1">
        <v>9.9999999999999999E+306</v>
      </c>
      <c r="HG1781" s="1">
        <v>9.9999999999999999E+306</v>
      </c>
      <c r="HH1781" s="1">
        <v>9.9999999999999999E+306</v>
      </c>
      <c r="HI1781" s="1">
        <v>9.9999999999999999E+306</v>
      </c>
      <c r="HJ1781" s="1">
        <v>9.9999999999999999E+306</v>
      </c>
      <c r="HK1781" s="1">
        <v>9.9999999999999999E+306</v>
      </c>
      <c r="HL1781" s="1">
        <v>9.9999999999999999E+306</v>
      </c>
      <c r="HM1781" s="1">
        <v>9.9999999999999999E+306</v>
      </c>
      <c r="HN1781" s="1">
        <v>9.9999999999999999E+306</v>
      </c>
      <c r="HO1781" s="1">
        <v>9.9999999999999999E+306</v>
      </c>
      <c r="HP1781" s="1">
        <v>9.9999999999999999E+306</v>
      </c>
      <c r="HQ1781" s="1">
        <v>9.9999999999999999E+306</v>
      </c>
      <c r="HR1781" s="1">
        <v>9.9999999999999999E+306</v>
      </c>
      <c r="HS1781" s="1">
        <v>9.9999999999999999E+306</v>
      </c>
      <c r="HT1781" s="1">
        <v>9.9999999999999999E+306</v>
      </c>
      <c r="HU1781" s="1">
        <v>9.9999999999999999E+306</v>
      </c>
      <c r="HV1781" s="1">
        <v>9.9999999999999999E+306</v>
      </c>
      <c r="HW1781" s="1">
        <v>9.9999999999999999E+306</v>
      </c>
      <c r="HX1781" s="1">
        <v>9.9999999999999999E+306</v>
      </c>
      <c r="HY1781" s="1">
        <v>9.9999999999999999E+306</v>
      </c>
      <c r="HZ1781" s="1">
        <v>9.9999999999999999E+306</v>
      </c>
      <c r="IA1781" s="1">
        <v>9.9999999999999999E+306</v>
      </c>
      <c r="IB1781" s="1">
        <v>9.9999999999999999E+306</v>
      </c>
      <c r="IC1781" s="1">
        <v>9.9999999999999999E+306</v>
      </c>
      <c r="ID1781" s="1">
        <v>9.9999999999999999E+306</v>
      </c>
      <c r="IE1781" s="1">
        <v>9.9999999999999999E+306</v>
      </c>
      <c r="IF1781" s="1">
        <v>9.9999999999999999E+306</v>
      </c>
      <c r="IG1781" s="1">
        <v>9.9999999999999999E+306</v>
      </c>
      <c r="IH1781" s="1">
        <v>9.9999999999999999E+306</v>
      </c>
      <c r="II1781" s="1">
        <v>9.9999999999999999E+306</v>
      </c>
      <c r="IJ1781" s="1">
        <v>9.9999999999999999E+306</v>
      </c>
      <c r="IK1781" s="1">
        <v>9.9999999999999999E+306</v>
      </c>
      <c r="IL1781" s="1">
        <v>9.9999999999999999E+306</v>
      </c>
      <c r="IM1781" s="1">
        <v>9.9999999999999999E+306</v>
      </c>
      <c r="IN1781" s="1">
        <v>9.9999999999999999E+306</v>
      </c>
      <c r="IO1781" s="1">
        <v>9.9999999999999999E+306</v>
      </c>
      <c r="IP1781" s="1">
        <v>9.9999999999999999E+306</v>
      </c>
      <c r="IQ1781" s="1">
        <v>9.9999999999999999E+306</v>
      </c>
      <c r="IR1781" s="1">
        <v>9.9999999999999999E+306</v>
      </c>
      <c r="IS1781" s="1">
        <v>9.9999999999999999E+306</v>
      </c>
      <c r="IT1781" s="1">
        <v>9.9999999999999999E+306</v>
      </c>
      <c r="IU1781" s="1">
        <v>9.9999999999999999E+306</v>
      </c>
      <c r="IV1781" s="1">
        <v>9.9999999999999999E+306</v>
      </c>
      <c r="IW1781" s="1">
        <v>9.9999999999999999E+306</v>
      </c>
      <c r="IX1781" s="1">
        <v>9.9999999999999999E+306</v>
      </c>
      <c r="IY1781" s="1">
        <v>9.9999999999999999E+306</v>
      </c>
      <c r="IZ1781" s="1">
        <v>9.9999999999999999E+306</v>
      </c>
      <c r="JA1781" s="1">
        <v>9.9999999999999999E+306</v>
      </c>
      <c r="JB1781" s="1">
        <v>9.9999999999999999E+306</v>
      </c>
      <c r="JC1781" s="1">
        <v>9.9999999999999999E+306</v>
      </c>
      <c r="JD1781" s="1">
        <v>9.9999999999999999E+306</v>
      </c>
      <c r="JE1781" s="1">
        <v>9.9999999999999999E+306</v>
      </c>
      <c r="JF1781" s="1">
        <v>9.9999999999999999E+306</v>
      </c>
      <c r="JG1781" s="1">
        <v>9.9999999999999999E+306</v>
      </c>
      <c r="JH1781" s="1">
        <v>9.9999999999999999E+306</v>
      </c>
      <c r="JI1781" s="1">
        <v>9.9999999999999999E+306</v>
      </c>
      <c r="JJ1781" s="1">
        <v>9.9999999999999999E+306</v>
      </c>
      <c r="JK1781" s="1">
        <v>9.9999999999999999E+306</v>
      </c>
      <c r="JL1781" s="1">
        <v>9.9999999999999999E+306</v>
      </c>
      <c r="JM1781" s="1">
        <v>9.9999999999999999E+306</v>
      </c>
      <c r="JN1781" s="1">
        <v>9.9999999999999999E+306</v>
      </c>
      <c r="JO1781" s="1">
        <v>9.9999999999999999E+306</v>
      </c>
      <c r="JP1781" s="1">
        <v>9.9999999999999999E+306</v>
      </c>
      <c r="JQ1781" s="1">
        <v>9.9999999999999999E+306</v>
      </c>
      <c r="JR1781" s="1">
        <v>9.9999999999999999E+306</v>
      </c>
      <c r="JS1781" s="1">
        <v>9.9999999999999999E+306</v>
      </c>
      <c r="JT1781" s="1">
        <v>9.9999999999999999E+306</v>
      </c>
      <c r="JU1781" s="1">
        <v>9.9999999999999999E+306</v>
      </c>
      <c r="JV1781" s="1">
        <v>9.9999999999999999E+306</v>
      </c>
      <c r="JW1781" s="1">
        <v>9.9999999999999999E+306</v>
      </c>
      <c r="JX1781" s="1">
        <v>9.9999999999999999E+306</v>
      </c>
      <c r="JY1781" s="1">
        <v>9.9999999999999999E+306</v>
      </c>
      <c r="JZ1781" s="1">
        <v>9.9999999999999999E+306</v>
      </c>
      <c r="KA1781" s="1">
        <v>9.9999999999999999E+306</v>
      </c>
      <c r="KB1781" s="1">
        <v>9.9999999999999999E+306</v>
      </c>
      <c r="KC1781" s="1">
        <v>9.9999999999999999E+306</v>
      </c>
      <c r="KD1781" s="1">
        <v>9.9999999999999999E+306</v>
      </c>
      <c r="KE1781" s="1">
        <v>9.9999999999999999E+306</v>
      </c>
      <c r="KF1781" s="1">
        <v>9.9999999999999999E+306</v>
      </c>
      <c r="KG1781" s="1">
        <v>9.9999999999999999E+306</v>
      </c>
      <c r="KH1781" s="1">
        <v>9.9999999999999999E+306</v>
      </c>
      <c r="KI1781" s="1">
        <v>9.9999999999999999E+306</v>
      </c>
      <c r="KJ1781" s="1">
        <v>9.9999999999999999E+306</v>
      </c>
      <c r="KK1781" s="1">
        <v>9.9999999999999999E+306</v>
      </c>
      <c r="KL1781" s="1">
        <v>9.9999999999999999E+306</v>
      </c>
      <c r="KM1781" s="1">
        <v>9.9999999999999999E+306</v>
      </c>
      <c r="KN1781" s="1">
        <v>9.9999999999999999E+306</v>
      </c>
      <c r="KO1781" s="1">
        <v>9.9999999999999999E+306</v>
      </c>
      <c r="KP1781" s="1">
        <v>9.9999999999999999E+306</v>
      </c>
      <c r="KQ1781" s="1">
        <v>9.9999999999999999E+306</v>
      </c>
      <c r="KR1781" s="1">
        <v>9.9999999999999999E+306</v>
      </c>
      <c r="KS1781" s="1">
        <v>9.9999999999999999E+306</v>
      </c>
      <c r="KT1781" s="1">
        <v>9.9999999999999999E+306</v>
      </c>
      <c r="KU1781" s="1">
        <v>9.9999999999999999E+306</v>
      </c>
      <c r="KV1781" s="1">
        <v>9.9999999999999999E+306</v>
      </c>
      <c r="KW1781" s="1">
        <v>9.9999999999999999E+306</v>
      </c>
      <c r="KX1781" s="1">
        <v>9.9999999999999999E+306</v>
      </c>
      <c r="KY1781" s="1">
        <v>9.9999999999999999E+306</v>
      </c>
      <c r="KZ1781" s="1">
        <v>9.9999999999999999E+306</v>
      </c>
      <c r="LA1781" s="1">
        <v>9.9999999999999999E+306</v>
      </c>
      <c r="LB1781" s="1">
        <v>9.9999999999999999E+306</v>
      </c>
      <c r="LC1781" s="1">
        <v>9.9999999999999999E+306</v>
      </c>
      <c r="LD1781" s="1">
        <v>9.9999999999999999E+306</v>
      </c>
      <c r="LE1781" s="1">
        <v>9.9999999999999999E+306</v>
      </c>
      <c r="LF1781" s="1">
        <v>9.9999999999999999E+306</v>
      </c>
      <c r="LG1781" s="1">
        <v>9.9999999999999999E+306</v>
      </c>
      <c r="LH1781" s="1">
        <v>9.9999999999999999E+306</v>
      </c>
      <c r="LI1781" s="1">
        <v>9.9999999999999999E+306</v>
      </c>
      <c r="LJ1781" s="1">
        <v>9.9999999999999999E+306</v>
      </c>
      <c r="LK1781" s="1">
        <v>9.9999999999999999E+306</v>
      </c>
      <c r="LL1781" s="1">
        <v>9.9999999999999999E+306</v>
      </c>
      <c r="LM1781" s="1">
        <v>9.9999999999999999E+306</v>
      </c>
      <c r="LN1781" s="1">
        <v>9.9999999999999999E+306</v>
      </c>
      <c r="LO1781" s="1">
        <v>9.9999999999999999E+306</v>
      </c>
      <c r="LP1781" s="1">
        <v>9.9999999999999999E+306</v>
      </c>
      <c r="LQ1781" s="1">
        <v>9.9999999999999999E+306</v>
      </c>
      <c r="LR1781" s="1">
        <v>9.9999999999999999E+306</v>
      </c>
      <c r="LS1781" s="1">
        <v>9.9999999999999999E+306</v>
      </c>
      <c r="LT1781" s="1">
        <v>9.9999999999999999E+306</v>
      </c>
      <c r="LU1781" s="1">
        <v>9.9999999999999999E+306</v>
      </c>
      <c r="LV1781" s="1">
        <v>9.9999999999999999E+306</v>
      </c>
      <c r="LW1781" s="1">
        <v>9.9999999999999999E+306</v>
      </c>
      <c r="LX1781" s="1">
        <v>9.9999999999999999E+306</v>
      </c>
      <c r="LY1781" s="1">
        <v>9.9999999999999999E+306</v>
      </c>
      <c r="LZ1781" s="1">
        <v>9.9999999999999999E+306</v>
      </c>
      <c r="MA1781" s="1">
        <v>9.9999999999999999E+306</v>
      </c>
      <c r="MB1781" s="1">
        <v>9.9999999999999999E+306</v>
      </c>
      <c r="MC1781" s="1">
        <v>9.9999999999999999E+306</v>
      </c>
      <c r="MD1781" s="1">
        <v>9.9999999999999999E+306</v>
      </c>
      <c r="ME1781" s="1">
        <v>9.9999999999999999E+306</v>
      </c>
      <c r="MF1781" s="1">
        <v>9.9999999999999999E+306</v>
      </c>
      <c r="MG1781" s="1">
        <v>9.9999999999999999E+306</v>
      </c>
      <c r="MH1781" s="1">
        <v>9.9999999999999999E+306</v>
      </c>
      <c r="MI1781" s="1">
        <v>9.9999999999999999E+306</v>
      </c>
      <c r="MJ1781" s="1">
        <v>9.9999999999999999E+306</v>
      </c>
      <c r="MK1781" s="1">
        <v>9.9999999999999999E+306</v>
      </c>
      <c r="ML1781" s="1">
        <v>9.9999999999999999E+306</v>
      </c>
      <c r="MM1781" s="1">
        <v>9.9999999999999999E+306</v>
      </c>
      <c r="MN1781" s="1">
        <v>9.9999999999999999E+306</v>
      </c>
      <c r="MO1781" s="1">
        <v>9.9999999999999999E+306</v>
      </c>
      <c r="MP1781" s="1">
        <v>9.9999999999999999E+306</v>
      </c>
      <c r="MQ1781" s="1">
        <v>9.9999999999999999E+306</v>
      </c>
      <c r="MR1781" s="1">
        <v>9.9999999999999999E+306</v>
      </c>
      <c r="MS1781" s="1">
        <v>9.9999999999999999E+306</v>
      </c>
      <c r="MT1781" s="1">
        <v>9.9999999999999999E+306</v>
      </c>
      <c r="MU1781" s="1">
        <v>9.9999999999999999E+306</v>
      </c>
      <c r="MV1781" s="1">
        <v>9.9999999999999999E+306</v>
      </c>
      <c r="MW1781" s="1">
        <v>9.9999999999999999E+306</v>
      </c>
      <c r="MX1781" s="1">
        <v>9.9999999999999999E+306</v>
      </c>
      <c r="MY1781" s="1">
        <v>9.9999999999999999E+306</v>
      </c>
      <c r="MZ1781" s="1">
        <v>9.9999999999999999E+306</v>
      </c>
      <c r="NA1781" s="1">
        <v>9.9999999999999999E+306</v>
      </c>
      <c r="NB1781" s="1">
        <v>9.9999999999999999E+306</v>
      </c>
      <c r="NC1781" s="1">
        <v>9.9999999999999999E+306</v>
      </c>
      <c r="ND1781" s="1">
        <v>9.9999999999999999E+306</v>
      </c>
      <c r="NE1781" s="1">
        <v>9.9999999999999999E+306</v>
      </c>
      <c r="NF1781" s="1">
        <v>9.9999999999999999E+306</v>
      </c>
      <c r="NG1781" s="1">
        <v>9.9999999999999999E+306</v>
      </c>
      <c r="NH1781" s="1">
        <v>9.9999999999999999E+306</v>
      </c>
      <c r="NI1781" s="1">
        <v>9.9999999999999999E+306</v>
      </c>
      <c r="NJ1781" s="1">
        <v>9.9999999999999999E+306</v>
      </c>
      <c r="NK1781" s="1">
        <v>9.9999999999999999E+306</v>
      </c>
      <c r="NL1781" s="1">
        <v>9.9999999999999999E+306</v>
      </c>
      <c r="NM1781" s="1">
        <v>9.9999999999999999E+306</v>
      </c>
      <c r="NN1781" s="1">
        <v>9.9999999999999999E+306</v>
      </c>
      <c r="NO1781" s="1">
        <v>9.9999999999999999E+306</v>
      </c>
      <c r="NP1781" s="1">
        <v>9.9999999999999999E+306</v>
      </c>
      <c r="NQ1781" s="1">
        <v>9.9999999999999999E+306</v>
      </c>
      <c r="NR1781" s="1">
        <v>9.9999999999999999E+306</v>
      </c>
      <c r="NS1781" s="1">
        <v>9.9999999999999999E+306</v>
      </c>
      <c r="NT1781" s="1">
        <v>9.9999999999999999E+306</v>
      </c>
      <c r="NU1781" s="1">
        <v>9.9999999999999999E+306</v>
      </c>
      <c r="NV1781" s="1">
        <v>9.9999999999999999E+306</v>
      </c>
      <c r="NW1781" s="1">
        <v>9.9999999999999999E+306</v>
      </c>
      <c r="NX1781" s="1">
        <v>9.9999999999999999E+306</v>
      </c>
      <c r="NY1781" s="1">
        <v>9.9999999999999999E+306</v>
      </c>
      <c r="NZ1781" s="1">
        <v>9.9999999999999999E+306</v>
      </c>
      <c r="OA1781" s="1">
        <v>9.9999999999999999E+306</v>
      </c>
      <c r="OB1781" s="1">
        <v>9.9999999999999999E+306</v>
      </c>
      <c r="OC1781" s="1">
        <v>9.9999999999999999E+306</v>
      </c>
      <c r="OD1781" s="1">
        <v>9.9999999999999999E+306</v>
      </c>
      <c r="OE1781" s="1">
        <v>9.9999999999999999E+306</v>
      </c>
      <c r="OF1781" s="1">
        <v>9.9999999999999999E+306</v>
      </c>
      <c r="OG1781" s="1">
        <v>9.9999999999999999E+306</v>
      </c>
      <c r="OH1781" s="1">
        <v>9.9999999999999999E+306</v>
      </c>
      <c r="OI1781" s="1">
        <v>9.9999999999999999E+306</v>
      </c>
      <c r="OJ1781" s="1">
        <v>9.9999999999999999E+306</v>
      </c>
      <c r="OK1781" s="1">
        <v>9.9999999999999999E+306</v>
      </c>
      <c r="OL1781" s="1">
        <v>9.9999999999999999E+306</v>
      </c>
      <c r="OM1781" s="1">
        <v>9.9999999999999999E+306</v>
      </c>
      <c r="ON1781" s="1">
        <v>9.9999999999999999E+306</v>
      </c>
      <c r="OO1781" s="1">
        <v>9.9999999999999999E+306</v>
      </c>
      <c r="OP1781" s="1">
        <v>9.9999999999999999E+306</v>
      </c>
      <c r="OQ1781" s="1">
        <v>9.9999999999999999E+306</v>
      </c>
      <c r="OR1781" s="1">
        <v>9.9999999999999999E+306</v>
      </c>
      <c r="OS1781" s="1">
        <v>9.9999999999999999E+306</v>
      </c>
      <c r="OT1781" s="1">
        <v>9.9999999999999999E+306</v>
      </c>
      <c r="OU1781" s="1">
        <v>9.9999999999999999E+306</v>
      </c>
      <c r="OV1781" s="1">
        <v>9.9999999999999999E+306</v>
      </c>
      <c r="OW1781" s="1">
        <v>9.9999999999999999E+306</v>
      </c>
      <c r="OX1781" s="1">
        <v>9.9999999999999999E+306</v>
      </c>
      <c r="OY1781" s="1">
        <v>9.9999999999999999E+306</v>
      </c>
      <c r="OZ1781" s="1">
        <v>9.9999999999999999E+306</v>
      </c>
      <c r="PA1781" s="1">
        <v>9.9999999999999999E+306</v>
      </c>
      <c r="PB1781" s="1">
        <v>9.9999999999999999E+306</v>
      </c>
      <c r="PC1781" s="1">
        <v>9.9999999999999999E+306</v>
      </c>
      <c r="PD1781" s="1">
        <v>9.9999999999999999E+306</v>
      </c>
      <c r="PE1781" s="1">
        <v>9.9999999999999999E+306</v>
      </c>
      <c r="PF1781" s="1">
        <v>9.9999999999999999E+306</v>
      </c>
      <c r="PG1781" s="1">
        <v>9.9999999999999999E+306</v>
      </c>
      <c r="PH1781" s="1">
        <v>9.9999999999999999E+306</v>
      </c>
      <c r="PI1781" s="1">
        <v>9.9999999999999999E+306</v>
      </c>
      <c r="PJ1781" s="1">
        <v>9.9999999999999999E+306</v>
      </c>
      <c r="PK1781" s="1">
        <v>9.9999999999999999E+306</v>
      </c>
      <c r="PL1781" s="1">
        <v>9.9999999999999999E+306</v>
      </c>
      <c r="PM1781" s="1">
        <v>9.9999999999999999E+306</v>
      </c>
      <c r="PN1781" s="1">
        <v>9.9999999999999999E+306</v>
      </c>
      <c r="PO1781" s="1">
        <v>9.9999999999999999E+306</v>
      </c>
      <c r="PP1781" s="1">
        <v>9.9999999999999999E+306</v>
      </c>
      <c r="PQ1781" s="1">
        <v>9.9999999999999999E+306</v>
      </c>
      <c r="PR1781" s="1">
        <v>9.9999999999999999E+306</v>
      </c>
      <c r="PS1781" s="1">
        <v>9.9999999999999999E+306</v>
      </c>
      <c r="PT1781" s="1">
        <v>9.9999999999999999E+306</v>
      </c>
      <c r="PU1781" s="1">
        <v>9.9999999999999999E+306</v>
      </c>
      <c r="PV1781" s="1">
        <v>9.9999999999999999E+306</v>
      </c>
      <c r="PW1781" s="1">
        <v>9.9999999999999999E+306</v>
      </c>
      <c r="PX1781" s="1">
        <v>9.9999999999999999E+306</v>
      </c>
      <c r="PY1781" s="1">
        <v>9.9999999999999999E+306</v>
      </c>
      <c r="PZ1781" s="1">
        <v>9.9999999999999999E+306</v>
      </c>
      <c r="QA1781" s="1">
        <v>9.9999999999999999E+306</v>
      </c>
      <c r="QB1781" s="1">
        <v>9.9999999999999999E+306</v>
      </c>
      <c r="QC1781" s="1">
        <v>9.9999999999999999E+306</v>
      </c>
      <c r="QD1781" s="1">
        <v>9.9999999999999999E+306</v>
      </c>
      <c r="QE1781" s="1">
        <v>9.9999999999999999E+306</v>
      </c>
      <c r="QF1781" s="1">
        <v>9.9999999999999999E+306</v>
      </c>
      <c r="QG1781" s="1">
        <v>9.9999999999999999E+306</v>
      </c>
      <c r="QH1781" s="1">
        <v>9.9999999999999999E+306</v>
      </c>
      <c r="QI1781" s="1">
        <v>9.9999999999999999E+306</v>
      </c>
      <c r="QJ1781" s="1">
        <v>9.9999999999999999E+306</v>
      </c>
      <c r="QK1781" s="1">
        <v>9.9999999999999999E+306</v>
      </c>
      <c r="QL1781" s="1">
        <v>9.9999999999999999E+306</v>
      </c>
      <c r="QM1781" s="1">
        <v>9.9999999999999999E+306</v>
      </c>
      <c r="QN1781" s="1">
        <v>9.9999999999999999E+306</v>
      </c>
      <c r="QO1781" s="1">
        <v>9.9999999999999999E+306</v>
      </c>
      <c r="QP1781" s="1">
        <v>9.9999999999999999E+306</v>
      </c>
      <c r="QQ1781" s="1">
        <v>9.9999999999999999E+306</v>
      </c>
      <c r="QR1781" s="1">
        <v>9.9999999999999999E+306</v>
      </c>
      <c r="QS1781" s="1">
        <v>9.9999999999999999E+306</v>
      </c>
      <c r="QT1781" s="1">
        <v>9.9999999999999999E+306</v>
      </c>
      <c r="QU1781" s="1">
        <v>9.9999999999999999E+306</v>
      </c>
      <c r="QV1781" s="1">
        <v>9.9999999999999999E+306</v>
      </c>
      <c r="QW1781" s="1">
        <v>9.9999999999999999E+306</v>
      </c>
      <c r="QX1781" s="1">
        <v>9.9999999999999999E+306</v>
      </c>
      <c r="QY1781" s="1">
        <v>9.9999999999999999E+306</v>
      </c>
      <c r="QZ1781" s="1">
        <v>9.9999999999999999E+306</v>
      </c>
      <c r="RA1781" s="1">
        <v>9.9999999999999999E+306</v>
      </c>
      <c r="RB1781" s="1">
        <v>9.9999999999999999E+306</v>
      </c>
      <c r="RC1781" s="1">
        <v>9.9999999999999999E+306</v>
      </c>
      <c r="RD1781" s="1">
        <v>9.9999999999999999E+306</v>
      </c>
      <c r="RE1781" s="1">
        <v>9.9999999999999999E+306</v>
      </c>
      <c r="RF1781" s="1">
        <v>9.9999999999999999E+306</v>
      </c>
      <c r="RG1781" s="1">
        <v>9.9999999999999999E+306</v>
      </c>
      <c r="RH1781" s="1">
        <v>9.9999999999999999E+306</v>
      </c>
      <c r="RI1781" s="1">
        <v>9.9999999999999999E+306</v>
      </c>
      <c r="RJ1781" s="1">
        <v>9.9999999999999999E+306</v>
      </c>
      <c r="RK1781" s="1">
        <v>9.9999999999999999E+306</v>
      </c>
      <c r="RL1781" s="1">
        <v>9.9999999999999999E+306</v>
      </c>
      <c r="RM1781" s="1">
        <v>9.9999999999999999E+306</v>
      </c>
      <c r="RN1781" s="1">
        <v>9.9999999999999999E+306</v>
      </c>
      <c r="RO1781" s="1">
        <v>9.9999999999999999E+306</v>
      </c>
      <c r="RP1781" s="1">
        <v>9.9999999999999999E+306</v>
      </c>
      <c r="RQ1781" s="1">
        <v>9.9999999999999999E+306</v>
      </c>
      <c r="RR1781" s="1">
        <v>9.9999999999999999E+306</v>
      </c>
      <c r="RS1781" s="1">
        <v>9.9999999999999999E+306</v>
      </c>
      <c r="RT1781" s="1">
        <v>9.9999999999999999E+306</v>
      </c>
      <c r="RU1781" s="1">
        <v>9.9999999999999999E+306</v>
      </c>
      <c r="RV1781" s="1">
        <v>9.9999999999999999E+306</v>
      </c>
      <c r="RW1781" s="1">
        <v>9.9999999999999999E+306</v>
      </c>
      <c r="RX1781" s="1">
        <v>9.9999999999999999E+306</v>
      </c>
      <c r="RY1781" s="1">
        <v>9.9999999999999999E+306</v>
      </c>
      <c r="RZ1781" s="1">
        <v>9.9999999999999999E+306</v>
      </c>
      <c r="SA1781" s="1">
        <v>9.9999999999999999E+306</v>
      </c>
      <c r="SB1781" s="1">
        <v>9.9999999999999999E+306</v>
      </c>
      <c r="SC1781" s="1">
        <v>9.9999999999999999E+306</v>
      </c>
      <c r="SD1781" s="1">
        <v>9.9999999999999999E+306</v>
      </c>
      <c r="SE1781" s="1">
        <v>9.9999999999999999E+306</v>
      </c>
      <c r="SF1781" s="1">
        <v>9.9999999999999999E+306</v>
      </c>
      <c r="SG1781" s="1">
        <v>9.9999999999999999E+306</v>
      </c>
      <c r="SH1781" s="1">
        <v>9.9999999999999999E+306</v>
      </c>
      <c r="SI1781" s="1">
        <v>9.9999999999999999E+306</v>
      </c>
      <c r="SJ1781" s="1">
        <v>9.9999999999999999E+306</v>
      </c>
      <c r="SK1781" s="1">
        <v>9.9999999999999999E+306</v>
      </c>
      <c r="SL1781" s="1">
        <v>9.9999999999999999E+306</v>
      </c>
      <c r="SM1781" s="1">
        <v>9.9999999999999999E+306</v>
      </c>
      <c r="SN1781" s="1">
        <v>9.9999999999999999E+306</v>
      </c>
      <c r="SO1781" s="1">
        <v>9.9999999999999999E+306</v>
      </c>
      <c r="SP1781" s="1">
        <v>9.9999999999999999E+306</v>
      </c>
      <c r="SQ1781" s="1">
        <v>9.9999999999999999E+306</v>
      </c>
      <c r="SR1781" s="1">
        <v>9.9999999999999999E+306</v>
      </c>
      <c r="SS1781" s="1">
        <v>9.9999999999999999E+306</v>
      </c>
      <c r="ST1781" s="1">
        <v>9.9999999999999999E+306</v>
      </c>
      <c r="SU1781" s="1">
        <v>9.9999999999999999E+306</v>
      </c>
      <c r="SV1781" s="1">
        <v>9.9999999999999999E+306</v>
      </c>
      <c r="SW1781" s="1">
        <v>9.9999999999999999E+306</v>
      </c>
      <c r="SX1781" s="1">
        <v>9.9999999999999999E+306</v>
      </c>
      <c r="SY1781" s="1">
        <v>9.9999999999999999E+306</v>
      </c>
      <c r="SZ1781" s="1">
        <v>9.9999999999999999E+306</v>
      </c>
      <c r="TA1781" s="1">
        <v>9.9999999999999999E+306</v>
      </c>
      <c r="TB1781" s="1">
        <v>9.9999999999999999E+306</v>
      </c>
      <c r="TC1781" s="1">
        <v>9.9999999999999999E+306</v>
      </c>
      <c r="TD1781" s="1">
        <v>9.9999999999999999E+306</v>
      </c>
      <c r="TE1781" s="1">
        <v>9.9999999999999999E+306</v>
      </c>
      <c r="TF1781" s="1">
        <v>9.9999999999999999E+306</v>
      </c>
      <c r="TG1781" s="1">
        <v>9.9999999999999999E+306</v>
      </c>
      <c r="TH1781" s="1">
        <v>9.9999999999999999E+306</v>
      </c>
      <c r="TI1781" s="1">
        <v>9.9999999999999999E+306</v>
      </c>
      <c r="TJ1781" s="1">
        <v>9.9999999999999999E+306</v>
      </c>
      <c r="TK1781" s="1">
        <v>9.9999999999999999E+306</v>
      </c>
      <c r="TL1781" s="1">
        <v>9.9999999999999999E+306</v>
      </c>
      <c r="TM1781" s="1">
        <v>9.9999999999999999E+306</v>
      </c>
      <c r="TN1781" s="1">
        <v>9.9999999999999999E+306</v>
      </c>
      <c r="TO1781" s="1">
        <v>9.9999999999999999E+306</v>
      </c>
      <c r="TP1781" s="1">
        <v>9.9999999999999999E+306</v>
      </c>
      <c r="TQ1781" s="1">
        <v>9.9999999999999999E+306</v>
      </c>
      <c r="TR1781" s="1">
        <v>9.9999999999999999E+306</v>
      </c>
      <c r="TS1781" s="1">
        <v>9.9999999999999999E+306</v>
      </c>
      <c r="TT1781" s="1">
        <v>9.9999999999999999E+306</v>
      </c>
      <c r="TU1781" s="1">
        <v>9.9999999999999999E+306</v>
      </c>
      <c r="TV1781" s="1">
        <v>9.9999999999999999E+306</v>
      </c>
      <c r="TW1781" s="1">
        <v>9.9999999999999999E+306</v>
      </c>
      <c r="TX1781" s="1">
        <v>9.9999999999999999E+306</v>
      </c>
      <c r="TY1781" s="1">
        <v>9.9999999999999999E+306</v>
      </c>
      <c r="TZ1781" s="1">
        <v>9.9999999999999999E+306</v>
      </c>
      <c r="UA1781" s="1">
        <v>9.9999999999999999E+306</v>
      </c>
      <c r="UB1781" s="1">
        <v>9.9999999999999999E+306</v>
      </c>
      <c r="UC1781" s="1">
        <v>9.9999999999999999E+306</v>
      </c>
      <c r="UD1781" s="1">
        <v>9.9999999999999999E+306</v>
      </c>
      <c r="UE1781" s="1">
        <v>9.9999999999999999E+306</v>
      </c>
      <c r="UF1781" s="1">
        <v>9.9999999999999999E+306</v>
      </c>
      <c r="UG1781" s="1">
        <v>9.9999999999999999E+306</v>
      </c>
      <c r="UH1781" s="1">
        <v>9.9999999999999999E+306</v>
      </c>
      <c r="UI1781" s="1">
        <v>9.9999999999999999E+306</v>
      </c>
      <c r="UJ1781" s="1">
        <v>9.9999999999999999E+306</v>
      </c>
      <c r="UK1781" s="1">
        <v>9.9999999999999999E+306</v>
      </c>
      <c r="UL1781" s="1">
        <v>9.9999999999999999E+306</v>
      </c>
      <c r="UM1781" s="1">
        <v>9.9999999999999999E+306</v>
      </c>
      <c r="UN1781" s="1">
        <v>9.9999999999999999E+306</v>
      </c>
      <c r="UO1781" s="1">
        <v>9.9999999999999999E+306</v>
      </c>
      <c r="UP1781" s="1">
        <v>9.9999999999999999E+306</v>
      </c>
      <c r="UQ1781" s="1">
        <v>9.9999999999999999E+306</v>
      </c>
      <c r="UR1781" s="1">
        <v>9.9999999999999999E+306</v>
      </c>
      <c r="US1781" s="1">
        <v>9.9999999999999999E+306</v>
      </c>
      <c r="UT1781" s="1">
        <v>9.9999999999999999E+306</v>
      </c>
      <c r="UU1781" s="1">
        <v>9.9999999999999999E+306</v>
      </c>
      <c r="UV1781" s="1">
        <v>9.9999999999999999E+306</v>
      </c>
      <c r="UW1781" s="1">
        <v>9.9999999999999999E+306</v>
      </c>
      <c r="UX1781" s="1">
        <v>9.9999999999999999E+306</v>
      </c>
      <c r="UY1781" s="1">
        <v>9.9999999999999999E+306</v>
      </c>
      <c r="UZ1781" s="1">
        <v>9.9999999999999999E+306</v>
      </c>
      <c r="VA1781" s="1">
        <v>9.9999999999999999E+306</v>
      </c>
      <c r="VB1781" s="1">
        <v>9.9999999999999999E+306</v>
      </c>
      <c r="VC1781" s="1">
        <v>9.9999999999999999E+306</v>
      </c>
      <c r="VD1781" s="1">
        <v>9.9999999999999999E+306</v>
      </c>
      <c r="VE1781" s="1">
        <v>9.9999999999999999E+306</v>
      </c>
      <c r="VF1781" s="1">
        <v>9.9999999999999999E+306</v>
      </c>
      <c r="VG1781" s="1">
        <v>9.9999999999999999E+306</v>
      </c>
      <c r="VH1781" s="1">
        <v>9.9999999999999999E+306</v>
      </c>
      <c r="VI1781" s="1">
        <v>9.9999999999999999E+306</v>
      </c>
      <c r="VJ1781" s="1">
        <v>9.9999999999999999E+306</v>
      </c>
      <c r="VK1781" s="1">
        <v>9.9999999999999999E+306</v>
      </c>
      <c r="VL1781" s="1">
        <v>9.9999999999999999E+306</v>
      </c>
      <c r="VM1781" s="1">
        <v>9.9999999999999999E+306</v>
      </c>
      <c r="VN1781" s="1">
        <v>9.9999999999999999E+306</v>
      </c>
      <c r="VO1781" s="1">
        <v>9.9999999999999999E+306</v>
      </c>
      <c r="VP1781" s="1">
        <v>9.9999999999999999E+306</v>
      </c>
      <c r="VQ1781" s="1">
        <v>9.9999999999999999E+306</v>
      </c>
      <c r="VR1781" s="1">
        <v>9.9999999999999999E+306</v>
      </c>
      <c r="VS1781" s="1">
        <v>9.9999999999999999E+306</v>
      </c>
      <c r="VT1781" s="1">
        <v>9.9999999999999999E+306</v>
      </c>
      <c r="VU1781" s="1">
        <v>9.9999999999999999E+306</v>
      </c>
      <c r="VV1781" s="1">
        <v>9.9999999999999999E+306</v>
      </c>
      <c r="VW1781" s="1">
        <v>9.9999999999999999E+306</v>
      </c>
      <c r="VX1781" s="1">
        <v>9.9999999999999999E+306</v>
      </c>
      <c r="VY1781" s="1">
        <v>9.9999999999999999E+306</v>
      </c>
      <c r="VZ1781" s="1">
        <v>9.9999999999999999E+306</v>
      </c>
      <c r="WA1781" s="1">
        <v>9.9999999999999999E+306</v>
      </c>
      <c r="WB1781" s="1">
        <v>9.9999999999999999E+306</v>
      </c>
      <c r="WC1781" s="1">
        <v>9.9999999999999999E+306</v>
      </c>
      <c r="WD1781" s="1">
        <v>9.9999999999999999E+306</v>
      </c>
      <c r="WE1781" s="1">
        <v>9.9999999999999999E+306</v>
      </c>
      <c r="WF1781" s="1">
        <v>9.9999999999999999E+306</v>
      </c>
      <c r="WG1781" s="1">
        <v>9.9999999999999999E+306</v>
      </c>
      <c r="WH1781" s="1">
        <v>9.9999999999999999E+306</v>
      </c>
      <c r="WI1781" s="1">
        <v>9.9999999999999999E+306</v>
      </c>
      <c r="WJ1781" s="1">
        <v>9.9999999999999999E+306</v>
      </c>
      <c r="WK1781" s="1">
        <v>9.9999999999999999E+306</v>
      </c>
      <c r="WL1781" s="1">
        <v>9.9999999999999999E+306</v>
      </c>
      <c r="WM1781" s="1">
        <v>9.9999999999999999E+306</v>
      </c>
      <c r="WN1781" s="1">
        <v>9.9999999999999999E+306</v>
      </c>
      <c r="WO1781" s="1">
        <v>9.9999999999999999E+306</v>
      </c>
      <c r="WP1781" s="1">
        <v>9.9999999999999999E+306</v>
      </c>
      <c r="WQ1781" s="1">
        <v>9.9999999999999999E+306</v>
      </c>
      <c r="WR1781" s="1">
        <v>9.9999999999999999E+306</v>
      </c>
      <c r="WS1781" s="1">
        <v>9.9999999999999999E+306</v>
      </c>
      <c r="WT1781" s="1">
        <v>9.9999999999999999E+306</v>
      </c>
      <c r="WU1781" s="1">
        <v>9.9999999999999999E+306</v>
      </c>
      <c r="WV1781" s="1">
        <v>9.9999999999999999E+306</v>
      </c>
      <c r="WW1781" s="1">
        <v>9.9999999999999999E+306</v>
      </c>
      <c r="WX1781" s="1">
        <v>9.9999999999999999E+306</v>
      </c>
      <c r="WY1781" s="1">
        <v>9.9999999999999999E+306</v>
      </c>
      <c r="WZ1781" s="1">
        <v>9.9999999999999999E+306</v>
      </c>
      <c r="XA1781" s="1">
        <v>9.9999999999999999E+306</v>
      </c>
      <c r="XB1781" s="1">
        <v>9.9999999999999999E+306</v>
      </c>
      <c r="XC1781" s="1">
        <v>9.9999999999999999E+306</v>
      </c>
      <c r="XD1781" s="1">
        <v>9.9999999999999999E+306</v>
      </c>
      <c r="XE1781" s="1">
        <v>9.9999999999999999E+306</v>
      </c>
      <c r="XF1781" s="1">
        <v>9.9999999999999999E+306</v>
      </c>
      <c r="XG1781" s="1">
        <v>9.9999999999999999E+306</v>
      </c>
      <c r="XH1781" s="1">
        <v>9.9999999999999999E+306</v>
      </c>
      <c r="XI1781" s="1">
        <v>9.9999999999999999E+306</v>
      </c>
      <c r="XJ1781" s="1">
        <v>9.9999999999999999E+306</v>
      </c>
      <c r="XK1781" s="1">
        <v>9.9999999999999999E+306</v>
      </c>
      <c r="XL1781" s="1">
        <v>9.9999999999999999E+306</v>
      </c>
      <c r="XM1781" s="1">
        <v>9.9999999999999999E+306</v>
      </c>
      <c r="XN1781" s="1">
        <v>9.9999999999999999E+306</v>
      </c>
      <c r="XO1781" s="1">
        <v>9.9999999999999999E+306</v>
      </c>
      <c r="XP1781" s="1">
        <v>9.9999999999999999E+306</v>
      </c>
      <c r="XQ1781" s="1">
        <v>9.9999999999999999E+306</v>
      </c>
      <c r="XR1781" s="1">
        <v>9.9999999999999999E+306</v>
      </c>
      <c r="XS1781" s="1">
        <v>9.9999999999999999E+306</v>
      </c>
      <c r="XT1781" s="1">
        <v>9.9999999999999999E+306</v>
      </c>
      <c r="XU1781" s="1">
        <v>9.9999999999999999E+306</v>
      </c>
      <c r="XV1781" s="1">
        <v>9.9999999999999999E+306</v>
      </c>
      <c r="XW1781" s="1">
        <v>9.9999999999999999E+306</v>
      </c>
      <c r="XX1781" s="1">
        <v>9.9999999999999999E+306</v>
      </c>
      <c r="XY1781" s="1">
        <v>9.9999999999999999E+306</v>
      </c>
      <c r="XZ1781" s="1">
        <v>9.9999999999999999E+306</v>
      </c>
      <c r="YA1781" s="1">
        <v>9.9999999999999999E+306</v>
      </c>
      <c r="YB1781" s="1">
        <v>9.9999999999999999E+306</v>
      </c>
      <c r="YC1781" s="1">
        <v>9.9999999999999999E+306</v>
      </c>
      <c r="YD1781" s="1">
        <v>9.9999999999999999E+306</v>
      </c>
      <c r="YE1781" s="1">
        <v>9.9999999999999999E+306</v>
      </c>
      <c r="YF1781" s="1">
        <v>9.9999999999999999E+306</v>
      </c>
      <c r="YG1781" s="1">
        <v>9.9999999999999999E+306</v>
      </c>
      <c r="YH1781" s="1">
        <v>9.9999999999999999E+306</v>
      </c>
      <c r="YI1781" s="1">
        <v>9.9999999999999999E+306</v>
      </c>
      <c r="YJ1781" s="1">
        <v>9.9999999999999999E+306</v>
      </c>
      <c r="YK1781" s="1">
        <v>9.9999999999999999E+306</v>
      </c>
      <c r="YL1781" s="1">
        <v>9.9999999999999999E+306</v>
      </c>
      <c r="YM1781" s="1">
        <v>9.9999999999999999E+306</v>
      </c>
      <c r="YN1781" s="1">
        <v>9.9999999999999999E+306</v>
      </c>
      <c r="YO1781" s="1">
        <v>9.9999999999999999E+306</v>
      </c>
      <c r="YP1781" s="1">
        <v>9.9999999999999999E+306</v>
      </c>
      <c r="YQ1781" s="1">
        <v>9.9999999999999999E+306</v>
      </c>
      <c r="YR1781" s="1">
        <v>9.9999999999999999E+306</v>
      </c>
      <c r="YS1781" s="1">
        <v>9.9999999999999999E+306</v>
      </c>
      <c r="YT1781" s="1">
        <v>9.9999999999999999E+306</v>
      </c>
      <c r="YU1781" s="1">
        <v>9.9999999999999999E+306</v>
      </c>
      <c r="YV1781" s="1">
        <v>9.9999999999999999E+306</v>
      </c>
      <c r="YW1781" s="1">
        <v>9.9999999999999999E+306</v>
      </c>
      <c r="YX1781" s="1">
        <v>9.9999999999999999E+306</v>
      </c>
      <c r="YY1781" s="1">
        <v>9.9999999999999999E+306</v>
      </c>
      <c r="YZ1781" s="1">
        <v>9.9999999999999999E+306</v>
      </c>
      <c r="ZA1781" s="1">
        <v>9.9999999999999999E+306</v>
      </c>
      <c r="ZB1781" s="1">
        <v>9.9999999999999999E+306</v>
      </c>
      <c r="ZC1781" s="1">
        <v>9.9999999999999999E+306</v>
      </c>
      <c r="ZD1781" s="1">
        <v>9.9999999999999999E+306</v>
      </c>
      <c r="ZE1781" s="1">
        <v>9.9999999999999999E+306</v>
      </c>
      <c r="ZF1781" s="1">
        <v>9.9999999999999999E+306</v>
      </c>
      <c r="ZG1781" s="1">
        <v>9.9999999999999999E+306</v>
      </c>
      <c r="ZH1781" s="1">
        <v>9.9999999999999999E+306</v>
      </c>
      <c r="ZI1781" s="1">
        <v>9.9999999999999999E+306</v>
      </c>
      <c r="ZJ1781" s="1">
        <v>9.9999999999999999E+306</v>
      </c>
      <c r="ZK1781" s="1">
        <v>9.9999999999999999E+306</v>
      </c>
      <c r="ZL1781" s="1">
        <v>9.9999999999999999E+306</v>
      </c>
      <c r="ZM1781" s="1">
        <v>9.9999999999999999E+306</v>
      </c>
      <c r="ZN1781" s="1">
        <v>9.9999999999999999E+306</v>
      </c>
      <c r="ZO1781" s="1">
        <v>9.9999999999999999E+306</v>
      </c>
      <c r="ZP1781" s="1">
        <v>9.9999999999999999E+306</v>
      </c>
      <c r="ZQ1781" s="1">
        <v>9.9999999999999999E+306</v>
      </c>
      <c r="ZR1781" s="1">
        <v>9.9999999999999999E+306</v>
      </c>
      <c r="ZS1781" s="1">
        <v>9.9999999999999999E+306</v>
      </c>
      <c r="ZT1781" s="1">
        <v>9.9999999999999999E+306</v>
      </c>
      <c r="ZU1781" s="1">
        <v>9.9999999999999999E+306</v>
      </c>
      <c r="ZV1781" s="1">
        <v>9.9999999999999999E+306</v>
      </c>
      <c r="ZW1781" s="1">
        <v>9.9999999999999999E+306</v>
      </c>
      <c r="ZX1781" s="1">
        <v>9.9999999999999999E+306</v>
      </c>
      <c r="ZY1781" s="1">
        <v>9.9999999999999999E+306</v>
      </c>
      <c r="ZZ1781" s="1">
        <v>9.9999999999999999E+306</v>
      </c>
      <c r="AAA1781" s="1">
        <v>9.9999999999999999E+306</v>
      </c>
      <c r="AAB1781" s="1">
        <v>9.9999999999999999E+306</v>
      </c>
      <c r="AAC1781" s="1">
        <v>9.9999999999999999E+306</v>
      </c>
      <c r="AAD1781" s="1">
        <v>9.9999999999999999E+306</v>
      </c>
      <c r="AAE1781" s="1">
        <v>9.9999999999999999E+306</v>
      </c>
      <c r="AAF1781" s="1">
        <v>9.9999999999999999E+306</v>
      </c>
      <c r="AAG1781" s="1">
        <v>9.9999999999999999E+306</v>
      </c>
      <c r="AAH1781" s="1">
        <v>9.9999999999999999E+306</v>
      </c>
      <c r="AAI1781" s="1">
        <v>9.9999999999999999E+306</v>
      </c>
      <c r="AAJ1781" s="1">
        <v>9.9999999999999999E+306</v>
      </c>
      <c r="AAK1781" s="1">
        <v>9.9999999999999999E+306</v>
      </c>
      <c r="AAL1781" s="1">
        <v>9.9999999999999999E+306</v>
      </c>
      <c r="AAM1781" s="1">
        <v>9.9999999999999999E+306</v>
      </c>
      <c r="AAN1781" s="1">
        <v>9.9999999999999999E+306</v>
      </c>
      <c r="AAO1781" s="1">
        <v>9.9999999999999999E+306</v>
      </c>
      <c r="AAP1781" s="1">
        <v>9.9999999999999999E+306</v>
      </c>
      <c r="AAQ1781" s="1">
        <v>9.9999999999999999E+306</v>
      </c>
      <c r="AAR1781" s="1">
        <v>9.9999999999999999E+306</v>
      </c>
      <c r="AAS1781" s="1">
        <v>9.9999999999999999E+306</v>
      </c>
      <c r="AAT1781" s="1">
        <v>9.9999999999999999E+306</v>
      </c>
      <c r="AAU1781" s="1">
        <v>9.9999999999999999E+306</v>
      </c>
      <c r="AAV1781" s="1">
        <v>9.9999999999999999E+306</v>
      </c>
      <c r="AAW1781" s="1">
        <v>9.9999999999999999E+306</v>
      </c>
      <c r="AAX1781" s="1">
        <v>9.9999999999999999E+306</v>
      </c>
      <c r="AAY1781" s="1">
        <v>9.9999999999999999E+306</v>
      </c>
      <c r="AAZ1781" s="1">
        <v>9.9999999999999999E+306</v>
      </c>
      <c r="ABA1781" s="1">
        <v>9.9999999999999999E+306</v>
      </c>
      <c r="ABB1781" s="1">
        <v>9.9999999999999999E+306</v>
      </c>
      <c r="ABC1781" s="1">
        <v>9.9999999999999999E+306</v>
      </c>
      <c r="ABD1781" s="1">
        <v>9.9999999999999999E+306</v>
      </c>
      <c r="ABE1781" s="1">
        <v>9.9999999999999999E+306</v>
      </c>
      <c r="ABF1781" s="1">
        <v>9.9999999999999999E+306</v>
      </c>
      <c r="ABG1781" s="1">
        <v>9.9999999999999999E+306</v>
      </c>
      <c r="ABH1781" s="1">
        <v>9.9999999999999999E+306</v>
      </c>
      <c r="ABI1781" s="1">
        <v>9.9999999999999999E+306</v>
      </c>
      <c r="ABJ1781" s="1">
        <v>9.9999999999999999E+306</v>
      </c>
      <c r="ABK1781" s="1">
        <v>9.9999999999999999E+306</v>
      </c>
      <c r="ABL1781" s="1">
        <v>9.9999999999999999E+306</v>
      </c>
      <c r="ABM1781" s="1">
        <v>9.9999999999999999E+306</v>
      </c>
      <c r="ABN1781" s="1">
        <v>9.9999999999999999E+306</v>
      </c>
      <c r="ABO1781" s="1">
        <v>9.9999999999999999E+306</v>
      </c>
      <c r="ABP1781" s="1">
        <v>9.9999999999999999E+306</v>
      </c>
      <c r="ABQ1781" s="1">
        <v>9.9999999999999999E+306</v>
      </c>
      <c r="ABR1781" s="1">
        <v>9.9999999999999999E+306</v>
      </c>
      <c r="ABS1781" s="1">
        <v>9.9999999999999999E+306</v>
      </c>
      <c r="ABT1781" s="1">
        <v>9.9999999999999999E+306</v>
      </c>
      <c r="ABU1781" s="1">
        <v>9.9999999999999999E+306</v>
      </c>
      <c r="ABV1781" s="1">
        <v>9.9999999999999999E+306</v>
      </c>
      <c r="ABW1781" s="1">
        <v>9.9999999999999999E+306</v>
      </c>
      <c r="ABX1781" s="1">
        <v>9.9999999999999999E+306</v>
      </c>
      <c r="ABY1781" s="1">
        <v>9.9999999999999999E+306</v>
      </c>
      <c r="ABZ1781" s="1">
        <v>9.9999999999999999E+306</v>
      </c>
      <c r="ACA1781" s="1">
        <v>9.9999999999999999E+306</v>
      </c>
      <c r="ACB1781" s="1">
        <v>9.9999999999999999E+306</v>
      </c>
      <c r="ACC1781" s="1">
        <v>9.9999999999999999E+306</v>
      </c>
      <c r="ACD1781" s="1">
        <v>9.9999999999999999E+306</v>
      </c>
      <c r="ACE1781" s="1">
        <v>9.9999999999999999E+306</v>
      </c>
      <c r="ACF1781" s="1">
        <v>9.9999999999999999E+306</v>
      </c>
      <c r="ACG1781" s="1">
        <v>9.9999999999999999E+306</v>
      </c>
      <c r="ACH1781" s="1">
        <v>9.9999999999999999E+306</v>
      </c>
      <c r="ACI1781" s="1">
        <v>9.9999999999999999E+306</v>
      </c>
      <c r="ACJ1781" s="1">
        <v>9.9999999999999999E+306</v>
      </c>
      <c r="ACK1781" s="1">
        <v>9.9999999999999999E+306</v>
      </c>
      <c r="ACL1781" s="1">
        <v>9.9999999999999999E+306</v>
      </c>
      <c r="ACM1781" s="1">
        <v>9.9999999999999999E+306</v>
      </c>
      <c r="ACN1781" s="1">
        <v>9.9999999999999999E+306</v>
      </c>
      <c r="ACO1781" s="1">
        <v>9.9999999999999999E+306</v>
      </c>
      <c r="ACP1781" s="1">
        <v>9.9999999999999999E+306</v>
      </c>
      <c r="ACQ1781" s="1">
        <v>9.9999999999999999E+306</v>
      </c>
      <c r="ACR1781" s="1">
        <v>9.9999999999999999E+306</v>
      </c>
      <c r="ACS1781" s="1">
        <v>9.9999999999999999E+306</v>
      </c>
      <c r="ACT1781" s="1">
        <v>9.9999999999999999E+306</v>
      </c>
      <c r="ACU1781" s="1">
        <v>9.9999999999999999E+306</v>
      </c>
      <c r="ACV1781" s="1">
        <v>9.9999999999999999E+306</v>
      </c>
      <c r="ACW1781" s="1">
        <v>9.9999999999999999E+306</v>
      </c>
      <c r="ACX1781" s="1">
        <v>9.9999999999999999E+306</v>
      </c>
      <c r="ACY1781" s="1">
        <v>9.9999999999999999E+306</v>
      </c>
      <c r="ACZ1781" s="1">
        <v>9.9999999999999999E+306</v>
      </c>
      <c r="ADA1781" s="1">
        <v>9.9999999999999999E+306</v>
      </c>
      <c r="ADB1781" s="1">
        <v>9.9999999999999999E+306</v>
      </c>
      <c r="ADC1781" s="1">
        <v>9.9999999999999999E+306</v>
      </c>
      <c r="ADD1781" s="1">
        <v>9.9999999999999999E+306</v>
      </c>
      <c r="ADE1781" s="1">
        <v>9.9999999999999999E+306</v>
      </c>
      <c r="ADF1781" s="1">
        <v>9.9999999999999999E+306</v>
      </c>
      <c r="ADG1781" s="1">
        <v>9.9999999999999999E+306</v>
      </c>
      <c r="ADH1781" s="1">
        <v>9.9999999999999999E+306</v>
      </c>
      <c r="ADI1781" s="1">
        <v>9.9999999999999999E+306</v>
      </c>
      <c r="ADJ1781" s="1">
        <v>9.9999999999999999E+306</v>
      </c>
      <c r="ADK1781" s="1">
        <v>9.9999999999999999E+306</v>
      </c>
      <c r="ADL1781" s="1">
        <v>9.9999999999999999E+306</v>
      </c>
      <c r="ADM1781" s="1">
        <v>9.9999999999999999E+306</v>
      </c>
      <c r="ADN1781" s="1">
        <v>9.9999999999999999E+306</v>
      </c>
      <c r="ADO1781" s="1">
        <v>9.9999999999999999E+306</v>
      </c>
      <c r="ADP1781" s="1">
        <v>9.9999999999999999E+306</v>
      </c>
      <c r="ADQ1781" s="1">
        <v>9.9999999999999999E+306</v>
      </c>
      <c r="ADR1781" s="1">
        <v>9.9999999999999999E+306</v>
      </c>
      <c r="ADS1781" s="1">
        <v>9.9999999999999999E+306</v>
      </c>
      <c r="ADT1781" s="1">
        <v>9.9999999999999999E+306</v>
      </c>
      <c r="ADU1781" s="1">
        <v>9.9999999999999999E+306</v>
      </c>
      <c r="ADV1781" s="1">
        <v>9.9999999999999999E+306</v>
      </c>
      <c r="ADW1781" s="1">
        <v>9.9999999999999999E+306</v>
      </c>
      <c r="ADX1781" s="1">
        <v>9.9999999999999999E+306</v>
      </c>
      <c r="ADY1781" s="1">
        <v>9.9999999999999999E+306</v>
      </c>
      <c r="ADZ1781" s="1">
        <v>9.9999999999999999E+306</v>
      </c>
      <c r="AEA1781" s="1">
        <v>9.9999999999999999E+306</v>
      </c>
      <c r="AEB1781" s="1">
        <v>9.9999999999999999E+306</v>
      </c>
      <c r="AEC1781" s="1">
        <v>9.9999999999999999E+306</v>
      </c>
      <c r="AED1781" s="1">
        <v>9.9999999999999999E+306</v>
      </c>
      <c r="AEE1781" s="1">
        <v>9.9999999999999999E+306</v>
      </c>
      <c r="AEF1781" s="1">
        <v>9.9999999999999999E+306</v>
      </c>
      <c r="AEG1781" s="1">
        <v>9.9999999999999999E+306</v>
      </c>
      <c r="AEH1781" s="1">
        <v>9.9999999999999999E+306</v>
      </c>
      <c r="AEI1781" s="1">
        <v>9.9999999999999999E+306</v>
      </c>
      <c r="AEJ1781" s="1">
        <v>9.9999999999999999E+306</v>
      </c>
      <c r="AEK1781" s="1">
        <v>9.9999999999999999E+306</v>
      </c>
      <c r="AEL1781" s="1">
        <v>9.9999999999999999E+306</v>
      </c>
      <c r="AEM1781" s="1">
        <v>9.9999999999999999E+306</v>
      </c>
      <c r="AEN1781" s="1">
        <v>9.9999999999999999E+306</v>
      </c>
      <c r="AEO1781" s="1">
        <v>9.9999999999999999E+306</v>
      </c>
      <c r="AEP1781" s="1">
        <v>9.9999999999999999E+306</v>
      </c>
      <c r="AEQ1781" s="1">
        <v>9.9999999999999999E+306</v>
      </c>
      <c r="AER1781" s="1">
        <v>9.9999999999999999E+306</v>
      </c>
      <c r="AES1781" s="1">
        <v>9.9999999999999999E+306</v>
      </c>
      <c r="AET1781" s="1">
        <v>9.9999999999999999E+306</v>
      </c>
      <c r="AEU1781" s="1">
        <v>9.9999999999999999E+306</v>
      </c>
      <c r="AEV1781" s="1">
        <v>9.9999999999999999E+306</v>
      </c>
      <c r="AEW1781" s="1">
        <v>9.9999999999999999E+306</v>
      </c>
      <c r="AEX1781" s="1">
        <v>9.9999999999999999E+306</v>
      </c>
      <c r="AEY1781" s="1">
        <v>9.9999999999999999E+306</v>
      </c>
      <c r="AEZ1781" s="1">
        <v>9.9999999999999999E+306</v>
      </c>
      <c r="AFA1781" s="1">
        <v>9.9999999999999999E+306</v>
      </c>
      <c r="AFB1781" s="1">
        <v>9.9999999999999999E+306</v>
      </c>
      <c r="AFC1781" s="1">
        <v>9.9999999999999999E+306</v>
      </c>
      <c r="AFD1781" s="1">
        <v>9.9999999999999999E+306</v>
      </c>
      <c r="AFE1781" s="1">
        <v>9.9999999999999999E+306</v>
      </c>
      <c r="AFF1781" s="1">
        <v>9.9999999999999999E+306</v>
      </c>
      <c r="AFG1781" s="1">
        <v>9.9999999999999999E+306</v>
      </c>
      <c r="AFH1781" s="1">
        <v>9.9999999999999999E+306</v>
      </c>
      <c r="AFI1781" s="1">
        <v>9.9999999999999999E+306</v>
      </c>
      <c r="AFJ1781" s="1">
        <v>9.9999999999999999E+306</v>
      </c>
      <c r="AFK1781" s="1">
        <v>9.9999999999999999E+306</v>
      </c>
      <c r="AFL1781" s="1">
        <v>9.9999999999999999E+306</v>
      </c>
      <c r="AFM1781" s="1">
        <v>9.9999999999999999E+306</v>
      </c>
      <c r="AFN1781" s="1">
        <v>9.9999999999999999E+306</v>
      </c>
      <c r="AFO1781" s="1">
        <v>9.9999999999999999E+306</v>
      </c>
      <c r="AFP1781" s="1">
        <v>9.9999999999999999E+306</v>
      </c>
      <c r="AFQ1781" s="1">
        <v>9.9999999999999999E+306</v>
      </c>
      <c r="AFR1781" s="1">
        <v>9.9999999999999999E+306</v>
      </c>
      <c r="AFS1781" s="1">
        <v>9.9999999999999999E+306</v>
      </c>
      <c r="AFT1781" s="1">
        <v>9.9999999999999999E+306</v>
      </c>
      <c r="AFU1781" s="1">
        <v>9.9999999999999999E+306</v>
      </c>
      <c r="AFV1781" s="1">
        <v>9.9999999999999999E+306</v>
      </c>
      <c r="AFW1781" s="1">
        <v>9.9999999999999999E+306</v>
      </c>
      <c r="AFX1781" s="1">
        <v>9.9999999999999999E+306</v>
      </c>
      <c r="AFY1781" s="1">
        <v>9.9999999999999999E+306</v>
      </c>
      <c r="AFZ1781" s="1">
        <v>9.9999999999999999E+306</v>
      </c>
      <c r="AGA1781" s="1">
        <v>9.9999999999999999E+306</v>
      </c>
      <c r="AGB1781" s="1">
        <v>9.9999999999999999E+306</v>
      </c>
      <c r="AGC1781" s="1">
        <v>9.9999999999999999E+306</v>
      </c>
      <c r="AGD1781" s="1">
        <v>9.9999999999999999E+306</v>
      </c>
      <c r="AGE1781" s="1">
        <v>9.9999999999999999E+306</v>
      </c>
      <c r="AGF1781" s="1">
        <v>9.9999999999999999E+306</v>
      </c>
      <c r="AGG1781" s="1">
        <v>9.9999999999999999E+306</v>
      </c>
      <c r="AGH1781" s="1">
        <v>9.9999999999999999E+306</v>
      </c>
      <c r="AGI1781" s="1">
        <v>9.9999999999999999E+306</v>
      </c>
      <c r="AGJ1781" s="1">
        <v>9.9999999999999999E+306</v>
      </c>
      <c r="AGK1781" s="1">
        <v>9.9999999999999999E+306</v>
      </c>
      <c r="AGL1781" s="1">
        <v>9.9999999999999999E+306</v>
      </c>
      <c r="AGM1781" s="1">
        <v>9.9999999999999999E+306</v>
      </c>
      <c r="AGN1781" s="1">
        <v>9.9999999999999999E+306</v>
      </c>
      <c r="AGO1781" s="1">
        <v>9.9999999999999999E+306</v>
      </c>
      <c r="AGP1781" s="1">
        <v>9.9999999999999999E+306</v>
      </c>
      <c r="AGQ1781" s="1">
        <v>9.9999999999999999E+306</v>
      </c>
      <c r="AGR1781" s="1">
        <v>9.9999999999999999E+306</v>
      </c>
      <c r="AGS1781" s="1">
        <v>9.9999999999999999E+306</v>
      </c>
      <c r="AGT1781" s="1">
        <v>9.9999999999999999E+306</v>
      </c>
      <c r="AGU1781" s="1">
        <v>9.9999999999999999E+306</v>
      </c>
      <c r="AGV1781" s="1">
        <v>9.9999999999999999E+306</v>
      </c>
      <c r="AGW1781" s="1">
        <v>9.9999999999999999E+306</v>
      </c>
      <c r="AGX1781" s="1">
        <v>9.9999999999999999E+306</v>
      </c>
      <c r="AGY1781" s="1">
        <v>9.9999999999999999E+306</v>
      </c>
      <c r="AGZ1781" s="1">
        <v>9.9999999999999999E+306</v>
      </c>
      <c r="AHA1781" s="1">
        <v>9.9999999999999999E+306</v>
      </c>
      <c r="AHB1781" s="1">
        <v>9.9999999999999999E+306</v>
      </c>
      <c r="AHC1781" s="1">
        <v>9.9999999999999999E+306</v>
      </c>
      <c r="AHD1781" s="1">
        <v>9.9999999999999999E+306</v>
      </c>
      <c r="AHE1781" s="1">
        <v>9.9999999999999999E+306</v>
      </c>
      <c r="AHF1781" s="1">
        <v>9.9999999999999999E+306</v>
      </c>
      <c r="AHG1781" s="1">
        <v>9.9999999999999999E+306</v>
      </c>
      <c r="AHH1781" s="1">
        <v>9.9999999999999999E+306</v>
      </c>
      <c r="AHI1781" s="1">
        <v>9.9999999999999999E+306</v>
      </c>
      <c r="AHJ1781" s="1">
        <v>9.9999999999999999E+306</v>
      </c>
      <c r="AHK1781" s="1">
        <v>9.9999999999999999E+306</v>
      </c>
      <c r="AHL1781" s="1">
        <v>9.9999999999999999E+306</v>
      </c>
      <c r="AHM1781" s="1">
        <v>9.9999999999999999E+306</v>
      </c>
      <c r="AHN1781" s="1">
        <v>9.9999999999999999E+306</v>
      </c>
      <c r="AHO1781" s="1">
        <v>9.9999999999999999E+306</v>
      </c>
      <c r="AHP1781" s="1">
        <v>9.9999999999999999E+306</v>
      </c>
      <c r="AHQ1781" s="1">
        <v>9.9999999999999999E+306</v>
      </c>
      <c r="AHR1781" s="1">
        <v>9.9999999999999999E+306</v>
      </c>
      <c r="AHS1781" s="1">
        <v>9.9999999999999999E+306</v>
      </c>
      <c r="AHT1781" s="1">
        <v>9.9999999999999999E+306</v>
      </c>
      <c r="AHU1781" s="1">
        <v>9.9999999999999999E+306</v>
      </c>
      <c r="AHV1781" s="1">
        <v>9.9999999999999999E+306</v>
      </c>
      <c r="AHW1781" s="1">
        <v>9.9999999999999999E+306</v>
      </c>
      <c r="AHX1781" s="1">
        <v>9.9999999999999999E+306</v>
      </c>
      <c r="AHY1781" s="1">
        <v>9.9999999999999999E+306</v>
      </c>
      <c r="AHZ1781" s="1">
        <v>9.9999999999999999E+306</v>
      </c>
      <c r="AIA1781" s="1">
        <v>9.9999999999999999E+306</v>
      </c>
      <c r="AIB1781" s="1">
        <v>9.9999999999999999E+306</v>
      </c>
      <c r="AIC1781" s="1">
        <v>9.9999999999999999E+306</v>
      </c>
      <c r="AID1781" s="1">
        <v>9.9999999999999999E+306</v>
      </c>
      <c r="AIE1781" s="1">
        <v>9.9999999999999999E+306</v>
      </c>
      <c r="AIF1781" s="1">
        <v>9.9999999999999999E+306</v>
      </c>
      <c r="AIG1781" s="1">
        <v>9.9999999999999999E+306</v>
      </c>
      <c r="AIH1781" s="1">
        <v>9.9999999999999999E+306</v>
      </c>
      <c r="AII1781" s="1">
        <v>9.9999999999999999E+306</v>
      </c>
      <c r="AIJ1781" s="1">
        <v>9.9999999999999999E+306</v>
      </c>
      <c r="AIK1781" s="1">
        <v>9.9999999999999999E+306</v>
      </c>
      <c r="AIL1781" s="1">
        <v>9.9999999999999999E+306</v>
      </c>
      <c r="AIM1781" s="1">
        <v>9.9999999999999999E+306</v>
      </c>
      <c r="AIN1781" s="1">
        <v>9.9999999999999999E+306</v>
      </c>
      <c r="AIO1781" s="1">
        <v>9.9999999999999999E+306</v>
      </c>
      <c r="AIP1781" s="1">
        <v>9.9999999999999999E+306</v>
      </c>
      <c r="AIQ1781" s="1">
        <v>9.9999999999999999E+306</v>
      </c>
      <c r="AIR1781" s="1">
        <v>9.9999999999999999E+306</v>
      </c>
      <c r="AIS1781" s="1">
        <v>9.9999999999999999E+306</v>
      </c>
      <c r="AIT1781" s="1">
        <v>9.9999999999999999E+306</v>
      </c>
      <c r="AIU1781" s="1">
        <v>9.9999999999999999E+306</v>
      </c>
      <c r="AIV1781" s="1">
        <v>9.9999999999999999E+306</v>
      </c>
      <c r="AIW1781" s="1">
        <v>9.9999999999999999E+306</v>
      </c>
      <c r="AIX1781" s="1">
        <v>9.9999999999999999E+306</v>
      </c>
      <c r="AIY1781" s="1">
        <v>9.9999999999999999E+306</v>
      </c>
      <c r="AIZ1781" s="1">
        <v>9.9999999999999999E+306</v>
      </c>
      <c r="AJA1781" s="1">
        <v>9.9999999999999999E+306</v>
      </c>
      <c r="AJB1781" s="1">
        <v>9.9999999999999999E+306</v>
      </c>
      <c r="AJC1781" s="1">
        <v>9.9999999999999999E+306</v>
      </c>
      <c r="AJD1781" s="1">
        <v>9.9999999999999999E+306</v>
      </c>
      <c r="AJE1781" s="1">
        <v>9.9999999999999999E+306</v>
      </c>
      <c r="AJF1781" s="1">
        <v>9.9999999999999999E+306</v>
      </c>
      <c r="AJG1781" s="1">
        <v>9.9999999999999999E+306</v>
      </c>
      <c r="AJH1781" s="1">
        <v>9.9999999999999999E+306</v>
      </c>
      <c r="AJI1781" s="1">
        <v>9.9999999999999999E+306</v>
      </c>
      <c r="AJJ1781" s="1">
        <v>9.9999999999999999E+306</v>
      </c>
      <c r="AJK1781" s="1">
        <v>9.9999999999999999E+306</v>
      </c>
      <c r="AJL1781" s="1">
        <v>9.9999999999999999E+306</v>
      </c>
      <c r="AJM1781" s="1">
        <v>9.9999999999999999E+306</v>
      </c>
      <c r="AJN1781" s="1">
        <v>9.9999999999999999E+306</v>
      </c>
      <c r="AJO1781" s="1">
        <v>9.9999999999999999E+306</v>
      </c>
      <c r="AJP1781" s="1">
        <v>9.9999999999999999E+306</v>
      </c>
      <c r="AJQ1781" s="1">
        <v>9.9999999999999999E+306</v>
      </c>
      <c r="AJR1781" s="1">
        <v>9.9999999999999999E+306</v>
      </c>
      <c r="AJS1781" s="1">
        <v>9.9999999999999999E+306</v>
      </c>
      <c r="AJT1781" s="1">
        <v>9.9999999999999999E+306</v>
      </c>
      <c r="AJU1781" s="1">
        <v>9.9999999999999999E+306</v>
      </c>
      <c r="AJV1781" s="1">
        <v>9.9999999999999999E+306</v>
      </c>
      <c r="AJW1781" s="1">
        <v>9.9999999999999999E+306</v>
      </c>
      <c r="AJX1781" s="1">
        <v>9.9999999999999999E+306</v>
      </c>
      <c r="AJY1781" s="1">
        <v>9.9999999999999999E+306</v>
      </c>
      <c r="AJZ1781" s="1">
        <v>9.9999999999999999E+306</v>
      </c>
      <c r="AKA1781" s="1">
        <v>9.9999999999999999E+306</v>
      </c>
      <c r="AKB1781" s="1">
        <v>9.9999999999999999E+306</v>
      </c>
      <c r="AKC1781" s="1">
        <v>9.9999999999999999E+306</v>
      </c>
      <c r="AKD1781" s="1">
        <v>9.9999999999999999E+306</v>
      </c>
      <c r="AKE1781" s="1">
        <v>9.9999999999999999E+306</v>
      </c>
      <c r="AKF1781" s="1">
        <v>9.9999999999999999E+306</v>
      </c>
      <c r="AKG1781" s="1">
        <v>9.9999999999999999E+306</v>
      </c>
      <c r="AKH1781" s="1">
        <v>9.9999999999999999E+306</v>
      </c>
      <c r="AKI1781" s="1">
        <v>9.9999999999999999E+306</v>
      </c>
      <c r="AKJ1781" s="1">
        <v>9.9999999999999999E+306</v>
      </c>
      <c r="AKK1781" s="1">
        <v>9.9999999999999999E+306</v>
      </c>
      <c r="AKL1781" s="1">
        <v>9.9999999999999999E+306</v>
      </c>
      <c r="AKM1781" s="1">
        <v>9.9999999999999999E+306</v>
      </c>
      <c r="AKN1781" s="1">
        <v>9.9999999999999999E+306</v>
      </c>
      <c r="AKO1781" s="1">
        <v>9.9999999999999999E+306</v>
      </c>
      <c r="AKP1781" s="1">
        <v>9.9999999999999999E+306</v>
      </c>
      <c r="AKQ1781" s="1">
        <v>9.9999999999999999E+306</v>
      </c>
      <c r="AKR1781" s="1">
        <v>9.9999999999999999E+306</v>
      </c>
      <c r="AKS1781" s="1">
        <v>9.9999999999999999E+306</v>
      </c>
      <c r="AKT1781" s="1">
        <v>9.9999999999999999E+306</v>
      </c>
      <c r="AKU1781" s="1">
        <v>9.9999999999999999E+306</v>
      </c>
      <c r="AKV1781" s="1">
        <v>9.9999999999999999E+306</v>
      </c>
      <c r="AKW1781" s="1">
        <v>9.9999999999999999E+306</v>
      </c>
      <c r="AKX1781" s="1">
        <v>9.9999999999999999E+306</v>
      </c>
      <c r="AKY1781" s="1">
        <v>9.9999999999999999E+306</v>
      </c>
      <c r="AKZ1781" s="1">
        <v>9.9999999999999999E+306</v>
      </c>
      <c r="ALA1781" s="1">
        <v>9.9999999999999999E+306</v>
      </c>
      <c r="ALB1781" s="1">
        <v>9.9999999999999999E+306</v>
      </c>
      <c r="ALC1781" s="1">
        <v>9.9999999999999999E+306</v>
      </c>
      <c r="ALD1781" s="1">
        <v>9.9999999999999999E+306</v>
      </c>
      <c r="ALE1781" s="1">
        <v>9.9999999999999999E+306</v>
      </c>
      <c r="ALF1781" s="1">
        <v>9.9999999999999999E+306</v>
      </c>
      <c r="ALG1781" s="1">
        <v>9.9999999999999999E+306</v>
      </c>
      <c r="ALH1781" s="1">
        <v>9.9999999999999999E+306</v>
      </c>
      <c r="ALI1781" s="1">
        <v>9.9999999999999999E+306</v>
      </c>
      <c r="ALJ1781" s="1">
        <v>9.9999999999999999E+306</v>
      </c>
      <c r="ALK1781" s="1">
        <v>9.9999999999999999E+306</v>
      </c>
      <c r="ALL1781" s="1">
        <v>9.9999999999999999E+306</v>
      </c>
      <c r="ALM1781" s="1">
        <v>9.9999999999999999E+306</v>
      </c>
      <c r="ALN1781" s="1">
        <v>9.9999999999999999E+306</v>
      </c>
      <c r="ALO1781" s="1">
        <v>9.9999999999999999E+306</v>
      </c>
      <c r="ALP1781" s="1">
        <v>9.9999999999999999E+306</v>
      </c>
      <c r="ALQ1781" s="1">
        <v>9.9999999999999999E+306</v>
      </c>
      <c r="ALR1781" s="1">
        <v>9.9999999999999999E+306</v>
      </c>
      <c r="ALS1781" s="1">
        <v>9.9999999999999999E+306</v>
      </c>
      <c r="ALT1781" s="1">
        <v>9.9999999999999999E+306</v>
      </c>
      <c r="ALU1781" s="1">
        <v>9.9999999999999999E+306</v>
      </c>
      <c r="ALV1781" s="1">
        <v>9.9999999999999999E+306</v>
      </c>
      <c r="ALW1781" s="1">
        <v>9.9999999999999999E+306</v>
      </c>
      <c r="ALX1781" s="1">
        <v>9.9999999999999999E+306</v>
      </c>
      <c r="ALY1781" s="1">
        <v>9.9999999999999999E+306</v>
      </c>
      <c r="ALZ1781" s="1">
        <v>9.9999999999999999E+306</v>
      </c>
      <c r="AMA1781" s="1">
        <v>9.9999999999999999E+306</v>
      </c>
      <c r="AMB1781" s="1">
        <v>9.9999999999999999E+306</v>
      </c>
      <c r="AMC1781" s="1">
        <v>9.9999999999999999E+306</v>
      </c>
      <c r="AMD1781" s="1">
        <v>9.9999999999999999E+306</v>
      </c>
      <c r="AME1781" s="1">
        <v>9.9999999999999999E+306</v>
      </c>
      <c r="AMF1781" s="1">
        <v>9.9999999999999999E+306</v>
      </c>
      <c r="AMG1781" s="1">
        <v>9.9999999999999999E+306</v>
      </c>
      <c r="AMH1781" s="1">
        <v>9.9999999999999999E+306</v>
      </c>
      <c r="AMI1781" s="1">
        <v>9.9999999999999999E+306</v>
      </c>
      <c r="AMJ1781" s="1">
        <v>9.9999999999999999E+306</v>
      </c>
      <c r="AMK1781" s="1">
        <v>9.9999999999999999E+306</v>
      </c>
      <c r="AML1781" s="1">
        <v>9.9999999999999999E+306</v>
      </c>
      <c r="AMM1781" s="1">
        <v>9.9999999999999999E+306</v>
      </c>
      <c r="AMN1781" s="1">
        <v>9.9999999999999999E+306</v>
      </c>
      <c r="AMO1781" s="1">
        <v>9.9999999999999999E+306</v>
      </c>
      <c r="AMP1781" s="1">
        <v>9.9999999999999999E+306</v>
      </c>
      <c r="AMQ1781" s="1">
        <v>9.9999999999999999E+306</v>
      </c>
      <c r="AMR1781" s="1">
        <v>9.9999999999999999E+306</v>
      </c>
      <c r="AMS1781" s="1">
        <v>9.9999999999999999E+306</v>
      </c>
      <c r="AMT1781" s="1">
        <v>9.9999999999999999E+306</v>
      </c>
      <c r="AMU1781" s="1">
        <v>9.9999999999999999E+306</v>
      </c>
      <c r="AMV1781" s="1">
        <v>9.9999999999999999E+306</v>
      </c>
      <c r="AMW1781" s="1">
        <v>9.9999999999999999E+306</v>
      </c>
      <c r="AMX1781" s="1">
        <v>9.9999999999999999E+306</v>
      </c>
      <c r="AMY1781" s="1">
        <v>9.9999999999999999E+306</v>
      </c>
      <c r="AMZ1781" s="1">
        <v>9.9999999999999999E+306</v>
      </c>
      <c r="ANA1781" s="1">
        <v>9.9999999999999999E+306</v>
      </c>
      <c r="ANB1781" s="1">
        <v>9.9999999999999999E+306</v>
      </c>
      <c r="ANC1781" s="1">
        <v>9.9999999999999999E+306</v>
      </c>
      <c r="AND1781" s="1">
        <v>9.9999999999999999E+306</v>
      </c>
      <c r="ANE1781" s="1">
        <v>9.9999999999999999E+306</v>
      </c>
      <c r="ANF1781" s="1">
        <v>9.9999999999999999E+306</v>
      </c>
      <c r="ANG1781" s="1">
        <v>9.9999999999999999E+306</v>
      </c>
      <c r="ANH1781" s="1">
        <v>9.9999999999999999E+306</v>
      </c>
      <c r="ANI1781" s="1">
        <v>9.9999999999999999E+306</v>
      </c>
      <c r="ANJ1781" s="1">
        <v>9.9999999999999999E+306</v>
      </c>
      <c r="ANK1781" s="1">
        <v>9.9999999999999999E+306</v>
      </c>
      <c r="ANL1781" s="1">
        <v>9.9999999999999999E+306</v>
      </c>
      <c r="ANM1781" s="1">
        <v>9.9999999999999999E+306</v>
      </c>
      <c r="ANN1781" s="1">
        <v>9.9999999999999999E+306</v>
      </c>
      <c r="ANO1781" s="1">
        <v>9.9999999999999999E+306</v>
      </c>
      <c r="ANP1781" s="1">
        <v>9.9999999999999999E+306</v>
      </c>
      <c r="ANQ1781" s="1">
        <v>9.9999999999999999E+306</v>
      </c>
      <c r="ANR1781" s="1">
        <v>9.9999999999999999E+306</v>
      </c>
      <c r="ANS1781" s="1">
        <v>9.9999999999999999E+306</v>
      </c>
      <c r="ANT1781" s="1">
        <v>9.9999999999999999E+306</v>
      </c>
      <c r="ANU1781" s="1">
        <v>9.9999999999999999E+306</v>
      </c>
      <c r="ANV1781" s="1">
        <v>9.9999999999999999E+306</v>
      </c>
      <c r="ANW1781" s="1">
        <v>9.9999999999999999E+306</v>
      </c>
      <c r="ANX1781" s="1">
        <v>9.9999999999999999E+306</v>
      </c>
      <c r="ANY1781" s="1">
        <v>9.9999999999999999E+306</v>
      </c>
      <c r="ANZ1781" s="1">
        <v>9.9999999999999999E+306</v>
      </c>
      <c r="AOA1781" s="1">
        <v>9.9999999999999999E+306</v>
      </c>
      <c r="AOB1781" s="1">
        <v>9.9999999999999999E+306</v>
      </c>
      <c r="AOC1781" s="1">
        <v>9.9999999999999999E+306</v>
      </c>
      <c r="AOD1781" s="1">
        <v>9.9999999999999999E+306</v>
      </c>
      <c r="AOE1781" s="1">
        <v>9.9999999999999999E+306</v>
      </c>
      <c r="AOF1781" s="1">
        <v>9.9999999999999999E+306</v>
      </c>
      <c r="AOG1781" s="1">
        <v>9.9999999999999999E+306</v>
      </c>
      <c r="AOH1781" s="1">
        <v>9.9999999999999999E+306</v>
      </c>
      <c r="AOI1781" s="1">
        <v>9.9999999999999999E+306</v>
      </c>
      <c r="AOJ1781" s="1">
        <v>9.9999999999999999E+306</v>
      </c>
      <c r="AOK1781" s="1">
        <v>9.9999999999999999E+306</v>
      </c>
      <c r="AOL1781" s="1">
        <v>9.9999999999999999E+306</v>
      </c>
      <c r="AOM1781" s="1">
        <v>9.9999999999999999E+306</v>
      </c>
      <c r="AON1781" s="1">
        <v>9.9999999999999999E+306</v>
      </c>
      <c r="AOO1781" s="1">
        <v>9.9999999999999999E+306</v>
      </c>
      <c r="AOP1781" s="1">
        <v>9.9999999999999999E+306</v>
      </c>
      <c r="AOQ1781" s="1">
        <v>9.9999999999999999E+306</v>
      </c>
      <c r="AOR1781" s="1">
        <v>9.9999999999999999E+306</v>
      </c>
      <c r="AOS1781" s="1">
        <v>9.9999999999999999E+306</v>
      </c>
      <c r="AOT1781" s="1">
        <v>9.9999999999999999E+306</v>
      </c>
      <c r="AOU1781" s="1">
        <v>9.9999999999999999E+306</v>
      </c>
      <c r="AOV1781" s="1">
        <v>9.9999999999999999E+306</v>
      </c>
      <c r="AOW1781" s="1">
        <v>9.9999999999999999E+306</v>
      </c>
      <c r="AOX1781" s="1">
        <v>9.9999999999999999E+306</v>
      </c>
      <c r="AOY1781" s="1">
        <v>9.9999999999999999E+306</v>
      </c>
      <c r="AOZ1781" s="1">
        <v>9.9999999999999999E+306</v>
      </c>
      <c r="APA1781" s="1">
        <v>9.9999999999999999E+306</v>
      </c>
      <c r="APB1781" s="1">
        <v>9.9999999999999999E+306</v>
      </c>
      <c r="APC1781" s="1">
        <v>9.9999999999999999E+306</v>
      </c>
      <c r="APD1781" s="1">
        <v>9.9999999999999999E+306</v>
      </c>
      <c r="APE1781" s="1">
        <v>9.9999999999999999E+306</v>
      </c>
      <c r="APF1781" s="1">
        <v>9.9999999999999999E+306</v>
      </c>
      <c r="APG1781" s="1">
        <v>9.9999999999999999E+306</v>
      </c>
      <c r="APH1781" s="1">
        <v>9.9999999999999999E+306</v>
      </c>
      <c r="API1781" s="1">
        <v>9.9999999999999999E+306</v>
      </c>
      <c r="APJ1781" s="1">
        <v>9.9999999999999999E+306</v>
      </c>
      <c r="APK1781" s="1">
        <v>9.9999999999999999E+306</v>
      </c>
      <c r="APL1781" s="1">
        <v>9.9999999999999999E+306</v>
      </c>
      <c r="APM1781" s="1">
        <v>9.9999999999999999E+306</v>
      </c>
      <c r="APN1781" s="1">
        <v>9.9999999999999999E+306</v>
      </c>
      <c r="APO1781" s="1">
        <v>9.9999999999999999E+306</v>
      </c>
      <c r="APP1781" s="1">
        <v>9.9999999999999999E+306</v>
      </c>
      <c r="APQ1781" s="1">
        <v>9.9999999999999999E+306</v>
      </c>
      <c r="APR1781" s="1">
        <v>9.9999999999999999E+306</v>
      </c>
      <c r="APS1781" s="1">
        <v>9.9999999999999999E+306</v>
      </c>
      <c r="APT1781" s="1">
        <v>9.9999999999999999E+306</v>
      </c>
      <c r="APU1781" s="1">
        <v>9.9999999999999999E+306</v>
      </c>
      <c r="APV1781" s="1">
        <v>9.9999999999999999E+306</v>
      </c>
      <c r="APW1781" s="1">
        <v>9.9999999999999999E+306</v>
      </c>
      <c r="APX1781" s="1">
        <v>9.9999999999999999E+306</v>
      </c>
      <c r="APY1781" s="1">
        <v>9.9999999999999999E+306</v>
      </c>
      <c r="APZ1781" s="1">
        <v>9.9999999999999999E+306</v>
      </c>
      <c r="AQA1781" s="1">
        <v>9.9999999999999999E+306</v>
      </c>
      <c r="AQB1781" s="1">
        <v>9.9999999999999999E+306</v>
      </c>
      <c r="AQC1781" s="1">
        <v>9.9999999999999999E+306</v>
      </c>
      <c r="AQD1781" s="1">
        <v>9.9999999999999999E+306</v>
      </c>
      <c r="AQE1781" s="1">
        <v>9.9999999999999999E+306</v>
      </c>
      <c r="AQF1781" s="1">
        <v>9.9999999999999999E+306</v>
      </c>
      <c r="AQG1781" s="1">
        <v>9.9999999999999999E+306</v>
      </c>
      <c r="AQH1781" s="1">
        <v>9.9999999999999999E+306</v>
      </c>
      <c r="AQI1781" s="1">
        <v>9.9999999999999999E+306</v>
      </c>
      <c r="AQJ1781" s="1">
        <v>9.9999999999999999E+306</v>
      </c>
      <c r="AQK1781" s="1">
        <v>9.9999999999999999E+306</v>
      </c>
      <c r="AQL1781" s="1">
        <v>9.9999999999999999E+306</v>
      </c>
      <c r="AQM1781" s="1">
        <v>9.9999999999999999E+306</v>
      </c>
      <c r="AQN1781" s="1">
        <v>9.9999999999999999E+306</v>
      </c>
      <c r="AQO1781" s="1">
        <v>9.9999999999999999E+306</v>
      </c>
      <c r="AQP1781" s="1">
        <v>9.9999999999999999E+306</v>
      </c>
      <c r="AQQ1781" s="1">
        <v>9.9999999999999999E+306</v>
      </c>
      <c r="AQR1781" s="1">
        <v>9.9999999999999999E+306</v>
      </c>
      <c r="AQS1781" s="1">
        <v>9.9999999999999999E+306</v>
      </c>
      <c r="AQT1781" s="1">
        <v>9.9999999999999999E+306</v>
      </c>
      <c r="AQU1781" s="1">
        <v>9.9999999999999999E+306</v>
      </c>
      <c r="AQV1781" s="1">
        <v>9.9999999999999999E+306</v>
      </c>
      <c r="AQW1781" s="1">
        <v>9.9999999999999999E+306</v>
      </c>
      <c r="AQX1781" s="1">
        <v>9.9999999999999999E+306</v>
      </c>
      <c r="AQY1781" s="1">
        <v>9.9999999999999999E+306</v>
      </c>
      <c r="AQZ1781" s="1">
        <v>9.9999999999999999E+306</v>
      </c>
      <c r="ARA1781" s="1">
        <v>9.9999999999999999E+306</v>
      </c>
      <c r="ARB1781" s="1">
        <v>9.9999999999999999E+306</v>
      </c>
      <c r="ARC1781" s="1">
        <v>9.9999999999999999E+306</v>
      </c>
      <c r="ARD1781" s="1">
        <v>9.9999999999999999E+306</v>
      </c>
      <c r="ARE1781" s="1">
        <v>9.9999999999999999E+306</v>
      </c>
      <c r="ARF1781" s="1">
        <v>9.9999999999999999E+306</v>
      </c>
      <c r="ARG1781" s="1">
        <v>9.9999999999999999E+306</v>
      </c>
      <c r="ARH1781" s="1">
        <v>9.9999999999999999E+306</v>
      </c>
      <c r="ARI1781" s="1">
        <v>9.9999999999999999E+306</v>
      </c>
      <c r="ARJ1781" s="1">
        <v>9.9999999999999999E+306</v>
      </c>
      <c r="ARK1781" s="1">
        <v>9.9999999999999999E+306</v>
      </c>
      <c r="ARL1781" s="1">
        <v>9.9999999999999999E+306</v>
      </c>
      <c r="ARM1781" s="1">
        <v>9.9999999999999999E+306</v>
      </c>
      <c r="ARN1781" s="1">
        <v>9.9999999999999999E+306</v>
      </c>
      <c r="ARO1781" s="1">
        <v>9.9999999999999999E+306</v>
      </c>
      <c r="ARP1781" s="1">
        <v>9.9999999999999999E+306</v>
      </c>
      <c r="ARQ1781" s="1">
        <v>9.9999999999999999E+306</v>
      </c>
      <c r="ARR1781" s="1">
        <v>9.9999999999999999E+306</v>
      </c>
      <c r="ARS1781" s="1">
        <v>9.9999999999999999E+306</v>
      </c>
      <c r="ART1781" s="1">
        <v>9.9999999999999999E+306</v>
      </c>
      <c r="ARU1781" s="1">
        <v>9.9999999999999999E+306</v>
      </c>
      <c r="ARV1781" s="1">
        <v>9.9999999999999999E+306</v>
      </c>
      <c r="ARW1781" s="1">
        <v>9.9999999999999999E+306</v>
      </c>
      <c r="ARX1781" s="1">
        <v>9.9999999999999999E+306</v>
      </c>
      <c r="ARY1781" s="1">
        <v>9.9999999999999999E+306</v>
      </c>
      <c r="ARZ1781" s="1">
        <v>9.9999999999999999E+306</v>
      </c>
      <c r="ASA1781" s="1">
        <v>9.9999999999999999E+306</v>
      </c>
      <c r="ASB1781" s="1">
        <v>9.9999999999999999E+306</v>
      </c>
      <c r="ASC1781" s="1">
        <v>9.9999999999999999E+306</v>
      </c>
      <c r="ASD1781" s="1">
        <v>9.9999999999999999E+306</v>
      </c>
      <c r="ASE1781" s="1">
        <v>9.9999999999999999E+306</v>
      </c>
      <c r="ASF1781" s="1">
        <v>9.9999999999999999E+306</v>
      </c>
      <c r="ASG1781" s="1">
        <v>9.9999999999999999E+306</v>
      </c>
      <c r="ASH1781" s="1">
        <v>9.9999999999999999E+306</v>
      </c>
      <c r="ASI1781" s="1">
        <v>9.9999999999999999E+306</v>
      </c>
      <c r="ASJ1781" s="1">
        <v>9.9999999999999999E+306</v>
      </c>
      <c r="ASK1781" s="1">
        <v>9.9999999999999999E+306</v>
      </c>
      <c r="ASL1781" s="1">
        <v>9.9999999999999999E+306</v>
      </c>
      <c r="ASM1781" s="1">
        <v>9.9999999999999999E+306</v>
      </c>
      <c r="ASN1781" s="1">
        <v>9.9999999999999999E+306</v>
      </c>
      <c r="ASO1781" s="1">
        <v>9.9999999999999999E+306</v>
      </c>
      <c r="ASP1781" s="1">
        <v>9.9999999999999999E+306</v>
      </c>
      <c r="ASQ1781" s="1">
        <v>9.9999999999999999E+306</v>
      </c>
      <c r="ASR1781" s="1">
        <v>9.9999999999999999E+306</v>
      </c>
      <c r="ASS1781" s="1">
        <v>9.9999999999999999E+306</v>
      </c>
      <c r="AST1781" s="1">
        <v>9.9999999999999999E+306</v>
      </c>
      <c r="ASU1781" s="1">
        <v>9.9999999999999999E+306</v>
      </c>
      <c r="ASV1781" s="1">
        <v>9.9999999999999999E+306</v>
      </c>
      <c r="ASW1781" s="1">
        <v>9.9999999999999999E+306</v>
      </c>
      <c r="ASX1781" s="1">
        <v>9.9999999999999999E+306</v>
      </c>
      <c r="ASY1781" s="1">
        <v>9.9999999999999999E+306</v>
      </c>
      <c r="ASZ1781" s="1">
        <v>9.9999999999999999E+306</v>
      </c>
      <c r="ATA1781" s="1">
        <v>9.9999999999999999E+306</v>
      </c>
      <c r="ATB1781" s="1">
        <v>9.9999999999999999E+306</v>
      </c>
      <c r="ATC1781" s="1">
        <v>9.9999999999999999E+306</v>
      </c>
      <c r="ATD1781" s="1">
        <v>9.9999999999999999E+306</v>
      </c>
      <c r="ATE1781" s="1">
        <v>9.9999999999999999E+306</v>
      </c>
      <c r="ATF1781" s="1">
        <v>9.9999999999999999E+306</v>
      </c>
      <c r="ATG1781" s="1">
        <v>9.9999999999999999E+306</v>
      </c>
      <c r="ATH1781" s="1">
        <v>9.9999999999999999E+306</v>
      </c>
      <c r="ATI1781" s="1">
        <v>9.9999999999999999E+306</v>
      </c>
      <c r="ATJ1781" s="1">
        <v>9.9999999999999999E+306</v>
      </c>
      <c r="ATK1781" s="1">
        <v>9.9999999999999999E+306</v>
      </c>
      <c r="ATL1781" s="1">
        <v>9.9999999999999999E+306</v>
      </c>
      <c r="ATM1781" s="1">
        <v>9.9999999999999999E+306</v>
      </c>
      <c r="ATN1781" s="1">
        <v>9.9999999999999999E+306</v>
      </c>
      <c r="ATO1781" s="1">
        <v>9.9999999999999999E+306</v>
      </c>
      <c r="ATP1781" s="1">
        <v>9.9999999999999999E+306</v>
      </c>
      <c r="ATQ1781" s="1">
        <v>9.9999999999999999E+306</v>
      </c>
      <c r="ATR1781" s="1">
        <v>9.9999999999999999E+306</v>
      </c>
      <c r="ATS1781" s="1">
        <v>9.9999999999999999E+306</v>
      </c>
      <c r="ATT1781" s="1">
        <v>9.9999999999999999E+306</v>
      </c>
      <c r="ATU1781" s="1">
        <v>9.9999999999999999E+306</v>
      </c>
      <c r="ATV1781" s="1">
        <v>9.9999999999999999E+306</v>
      </c>
      <c r="ATW1781" s="1">
        <v>9.9999999999999999E+306</v>
      </c>
      <c r="ATX1781" s="1">
        <v>9.9999999999999999E+306</v>
      </c>
      <c r="ATY1781" s="1">
        <v>9.9999999999999999E+306</v>
      </c>
      <c r="ATZ1781" s="1">
        <v>9.9999999999999999E+306</v>
      </c>
      <c r="AUA1781" s="1">
        <v>9.9999999999999999E+306</v>
      </c>
      <c r="AUB1781" s="1">
        <v>9.9999999999999999E+306</v>
      </c>
      <c r="AUC1781" s="1">
        <v>9.9999999999999999E+306</v>
      </c>
      <c r="AUD1781" s="1">
        <v>9.9999999999999999E+306</v>
      </c>
      <c r="AUE1781" s="1">
        <v>9.9999999999999999E+306</v>
      </c>
      <c r="AUF1781" s="1">
        <v>9.9999999999999999E+306</v>
      </c>
      <c r="AUG1781" s="1">
        <v>9.9999999999999999E+306</v>
      </c>
      <c r="AUH1781" s="1">
        <v>9.9999999999999999E+306</v>
      </c>
      <c r="AUI1781" s="1">
        <v>9.9999999999999999E+306</v>
      </c>
      <c r="AUJ1781" s="1">
        <v>9.9999999999999999E+306</v>
      </c>
      <c r="AUK1781" s="1">
        <v>9.9999999999999999E+306</v>
      </c>
      <c r="AUL1781" s="1">
        <v>9.9999999999999999E+306</v>
      </c>
      <c r="AUM1781" s="1">
        <v>9.9999999999999999E+306</v>
      </c>
      <c r="AUN1781" s="1">
        <v>9.9999999999999999E+306</v>
      </c>
      <c r="AUO1781" s="1">
        <v>9.9999999999999999E+306</v>
      </c>
      <c r="AUP1781" s="1">
        <v>9.9999999999999999E+306</v>
      </c>
      <c r="AUQ1781" s="1">
        <v>9.9999999999999999E+306</v>
      </c>
      <c r="AUR1781" s="1">
        <v>9.9999999999999999E+306</v>
      </c>
      <c r="AUS1781" s="1">
        <v>9.9999999999999999E+306</v>
      </c>
      <c r="AUT1781" s="1">
        <v>9.9999999999999999E+306</v>
      </c>
      <c r="AUU1781" s="1">
        <v>9.9999999999999999E+306</v>
      </c>
      <c r="AUV1781" s="1">
        <v>9.9999999999999999E+306</v>
      </c>
      <c r="AUW1781" s="1">
        <v>9.9999999999999999E+306</v>
      </c>
      <c r="AUX1781" s="1">
        <v>9.9999999999999999E+306</v>
      </c>
      <c r="AUY1781" s="1">
        <v>9.9999999999999999E+306</v>
      </c>
      <c r="AUZ1781" s="1">
        <v>9.9999999999999999E+306</v>
      </c>
      <c r="AVA1781" s="1">
        <v>9.9999999999999999E+306</v>
      </c>
      <c r="AVB1781" s="1">
        <v>9.9999999999999999E+306</v>
      </c>
      <c r="AVC1781" s="1">
        <v>9.9999999999999999E+306</v>
      </c>
      <c r="AVD1781" s="1">
        <v>9.9999999999999999E+306</v>
      </c>
      <c r="AVE1781" s="1">
        <v>9.9999999999999999E+306</v>
      </c>
      <c r="AVF1781" s="1">
        <v>9.9999999999999999E+306</v>
      </c>
      <c r="AVG1781" s="1">
        <v>9.9999999999999999E+306</v>
      </c>
      <c r="AVH1781" s="1">
        <v>9.9999999999999999E+306</v>
      </c>
      <c r="AVI1781" s="1">
        <v>9.9999999999999999E+306</v>
      </c>
      <c r="AVJ1781" s="1">
        <v>9.9999999999999999E+306</v>
      </c>
      <c r="AVK1781" s="1">
        <v>9.9999999999999999E+306</v>
      </c>
      <c r="AVL1781" s="1">
        <v>9.9999999999999999E+306</v>
      </c>
      <c r="AVM1781" s="1">
        <v>9.9999999999999999E+306</v>
      </c>
      <c r="AVN1781" s="1">
        <v>9.9999999999999999E+306</v>
      </c>
      <c r="AVO1781" s="1">
        <v>9.9999999999999999E+306</v>
      </c>
      <c r="AVP1781" s="1">
        <v>9.9999999999999999E+306</v>
      </c>
      <c r="AVQ1781" s="1">
        <v>9.9999999999999999E+306</v>
      </c>
      <c r="AVR1781" s="1">
        <v>9.9999999999999999E+306</v>
      </c>
      <c r="AVS1781" s="1">
        <v>9.9999999999999999E+306</v>
      </c>
      <c r="AVT1781" s="1">
        <v>9.9999999999999999E+306</v>
      </c>
      <c r="AVU1781" s="1">
        <v>9.9999999999999999E+306</v>
      </c>
      <c r="AVV1781" s="1">
        <v>9.9999999999999999E+306</v>
      </c>
      <c r="AVW1781" s="1">
        <v>9.9999999999999999E+306</v>
      </c>
      <c r="AVX1781" s="1">
        <v>9.9999999999999999E+306</v>
      </c>
      <c r="AVY1781" s="1">
        <v>9.9999999999999999E+306</v>
      </c>
      <c r="AVZ1781" s="1">
        <v>9.9999999999999999E+306</v>
      </c>
      <c r="AWA1781" s="1">
        <v>9.9999999999999999E+306</v>
      </c>
      <c r="AWB1781" s="1">
        <v>9.9999999999999999E+306</v>
      </c>
      <c r="AWC1781" s="1">
        <v>9.9999999999999999E+306</v>
      </c>
      <c r="AWD1781" s="1">
        <v>9.9999999999999999E+306</v>
      </c>
      <c r="AWE1781" s="1">
        <v>9.9999999999999999E+306</v>
      </c>
      <c r="AWF1781" s="1">
        <v>9.9999999999999999E+306</v>
      </c>
      <c r="AWG1781" s="1">
        <v>9.9999999999999999E+306</v>
      </c>
      <c r="AWH1781" s="1">
        <v>9.9999999999999999E+306</v>
      </c>
      <c r="AWI1781" s="1">
        <v>9.9999999999999999E+306</v>
      </c>
      <c r="AWJ1781" s="1">
        <v>9.9999999999999999E+306</v>
      </c>
      <c r="AWK1781" s="1">
        <v>9.9999999999999999E+306</v>
      </c>
      <c r="AWL1781" s="1">
        <v>9.9999999999999999E+306</v>
      </c>
      <c r="AWM1781" s="1">
        <v>9.9999999999999999E+306</v>
      </c>
      <c r="AWN1781" s="1">
        <v>9.9999999999999999E+306</v>
      </c>
      <c r="AWO1781" s="1">
        <v>9.9999999999999999E+306</v>
      </c>
      <c r="AWP1781" s="1">
        <v>9.9999999999999999E+306</v>
      </c>
      <c r="AWQ1781" s="1">
        <v>9.9999999999999999E+306</v>
      </c>
      <c r="AWR1781" s="1">
        <v>9.9999999999999999E+306</v>
      </c>
      <c r="AWS1781" s="1">
        <v>9.9999999999999999E+306</v>
      </c>
      <c r="AWT1781" s="1">
        <v>9.9999999999999999E+306</v>
      </c>
      <c r="AWU1781" s="1">
        <v>9.9999999999999999E+306</v>
      </c>
      <c r="AWV1781" s="1">
        <v>9.9999999999999999E+306</v>
      </c>
      <c r="AWW1781" s="1">
        <v>9.9999999999999999E+306</v>
      </c>
      <c r="AWX1781" s="1">
        <v>9.9999999999999999E+306</v>
      </c>
      <c r="AWY1781" s="1">
        <v>9.9999999999999999E+306</v>
      </c>
      <c r="AWZ1781" s="1">
        <v>9.9999999999999999E+306</v>
      </c>
      <c r="AXA1781" s="1">
        <v>9.9999999999999999E+306</v>
      </c>
      <c r="AXB1781" s="1">
        <v>9.9999999999999999E+306</v>
      </c>
      <c r="AXC1781" s="1">
        <v>9.9999999999999999E+306</v>
      </c>
      <c r="AXD1781" s="1">
        <v>9.9999999999999999E+306</v>
      </c>
      <c r="AXE1781" s="1">
        <v>9.9999999999999999E+306</v>
      </c>
      <c r="AXF1781" s="1">
        <v>9.9999999999999999E+306</v>
      </c>
      <c r="AXG1781" s="1">
        <v>9.9999999999999999E+306</v>
      </c>
      <c r="AXH1781" s="1">
        <v>9.9999999999999999E+306</v>
      </c>
      <c r="AXI1781" s="1">
        <v>9.9999999999999999E+306</v>
      </c>
      <c r="AXJ1781" s="1">
        <v>9.9999999999999999E+306</v>
      </c>
      <c r="AXK1781" s="1">
        <v>9.9999999999999999E+306</v>
      </c>
      <c r="AXL1781" s="1">
        <v>9.9999999999999999E+306</v>
      </c>
      <c r="AXM1781" s="1">
        <v>9.9999999999999999E+306</v>
      </c>
      <c r="AXN1781" s="1">
        <v>9.9999999999999999E+306</v>
      </c>
      <c r="AXO1781" s="1">
        <v>9.9999999999999999E+306</v>
      </c>
      <c r="AXP1781" s="1">
        <v>9.9999999999999999E+306</v>
      </c>
      <c r="AXQ1781" s="1">
        <v>9.9999999999999999E+306</v>
      </c>
      <c r="AXR1781" s="1">
        <v>9.9999999999999999E+306</v>
      </c>
      <c r="AXS1781" s="1">
        <v>9.9999999999999999E+306</v>
      </c>
      <c r="AXT1781" s="1">
        <v>9.9999999999999999E+306</v>
      </c>
      <c r="AXU1781" s="1">
        <v>9.9999999999999999E+306</v>
      </c>
      <c r="AXV1781" s="1">
        <v>9.9999999999999999E+306</v>
      </c>
      <c r="AXW1781" s="1">
        <v>9.9999999999999999E+306</v>
      </c>
      <c r="AXX1781" s="1">
        <v>9.9999999999999999E+306</v>
      </c>
      <c r="AXY1781" s="1">
        <v>9.9999999999999999E+306</v>
      </c>
      <c r="AXZ1781" s="1">
        <v>9.9999999999999999E+306</v>
      </c>
      <c r="AYA1781" s="1">
        <v>9.9999999999999999E+306</v>
      </c>
      <c r="AYB1781" s="1">
        <v>9.9999999999999999E+306</v>
      </c>
      <c r="AYC1781" s="1">
        <v>9.9999999999999999E+306</v>
      </c>
      <c r="AYD1781" s="1">
        <v>9.9999999999999999E+306</v>
      </c>
      <c r="AYE1781" s="1">
        <v>9.9999999999999999E+306</v>
      </c>
      <c r="AYF1781" s="1">
        <v>9.9999999999999999E+306</v>
      </c>
      <c r="AYG1781" s="1">
        <v>9.9999999999999999E+306</v>
      </c>
      <c r="AYH1781" s="1">
        <v>9.9999999999999999E+306</v>
      </c>
      <c r="AYI1781" s="1">
        <v>9.9999999999999999E+306</v>
      </c>
      <c r="AYJ1781" s="1">
        <v>9.9999999999999999E+306</v>
      </c>
      <c r="AYK1781" s="1">
        <v>9.9999999999999999E+306</v>
      </c>
      <c r="AYL1781" s="1">
        <v>9.9999999999999999E+306</v>
      </c>
      <c r="AYM1781" s="1">
        <v>9.9999999999999999E+306</v>
      </c>
      <c r="AYN1781" s="1">
        <v>9.9999999999999999E+306</v>
      </c>
      <c r="AYO1781" s="1">
        <v>9.9999999999999999E+306</v>
      </c>
      <c r="AYP1781" s="1">
        <v>9.9999999999999999E+306</v>
      </c>
      <c r="AYQ1781" s="1">
        <v>9.9999999999999999E+306</v>
      </c>
      <c r="AYR1781" s="1">
        <v>9.9999999999999999E+306</v>
      </c>
      <c r="AYS1781" s="1">
        <v>9.9999999999999999E+306</v>
      </c>
      <c r="AYT1781" s="1">
        <v>9.9999999999999999E+306</v>
      </c>
      <c r="AYU1781" s="1">
        <v>9.9999999999999999E+306</v>
      </c>
      <c r="AYV1781" s="1">
        <v>9.9999999999999999E+306</v>
      </c>
      <c r="AYW1781" s="1">
        <v>9.9999999999999999E+306</v>
      </c>
      <c r="AYX1781" s="1">
        <v>9.9999999999999999E+306</v>
      </c>
      <c r="AYY1781" s="1">
        <v>9.9999999999999999E+306</v>
      </c>
      <c r="AYZ1781" s="1">
        <v>9.9999999999999999E+306</v>
      </c>
      <c r="AZA1781" s="1">
        <v>9.9999999999999999E+306</v>
      </c>
      <c r="AZB1781" s="1">
        <v>9.9999999999999999E+306</v>
      </c>
      <c r="AZC1781" s="1">
        <v>9.9999999999999999E+306</v>
      </c>
      <c r="AZD1781" s="1">
        <v>9.9999999999999999E+306</v>
      </c>
      <c r="AZE1781" s="1">
        <v>9.9999999999999999E+306</v>
      </c>
      <c r="AZF1781" s="1">
        <v>9.9999999999999999E+306</v>
      </c>
      <c r="AZG1781" s="1">
        <v>9.9999999999999999E+306</v>
      </c>
      <c r="AZH1781" s="1">
        <v>9.9999999999999999E+306</v>
      </c>
      <c r="AZI1781" s="1">
        <v>9.9999999999999999E+306</v>
      </c>
      <c r="AZJ1781" s="1">
        <v>9.9999999999999999E+306</v>
      </c>
      <c r="AZK1781" s="1">
        <v>9.9999999999999999E+306</v>
      </c>
      <c r="AZL1781" s="1">
        <v>9.9999999999999999E+306</v>
      </c>
      <c r="AZM1781" s="1">
        <v>9.9999999999999999E+306</v>
      </c>
      <c r="AZN1781" s="1">
        <v>9.9999999999999999E+306</v>
      </c>
      <c r="AZO1781" s="1">
        <v>9.9999999999999999E+306</v>
      </c>
      <c r="AZP1781" s="1">
        <v>9.9999999999999999E+306</v>
      </c>
      <c r="AZQ1781" s="1">
        <v>9.9999999999999999E+306</v>
      </c>
      <c r="AZR1781" s="1">
        <v>9.9999999999999999E+306</v>
      </c>
      <c r="AZS1781" s="1">
        <v>9.9999999999999999E+306</v>
      </c>
      <c r="AZT1781" s="1">
        <v>9.9999999999999999E+306</v>
      </c>
      <c r="AZU1781" s="1">
        <v>9.9999999999999999E+306</v>
      </c>
      <c r="AZV1781" s="1">
        <v>9.9999999999999999E+306</v>
      </c>
      <c r="AZW1781" s="1">
        <v>9.9999999999999999E+306</v>
      </c>
      <c r="AZX1781" s="1">
        <v>9.9999999999999999E+306</v>
      </c>
      <c r="AZY1781" s="1">
        <v>9.9999999999999999E+306</v>
      </c>
      <c r="AZZ1781" s="1">
        <v>9.9999999999999999E+306</v>
      </c>
      <c r="BAA1781" s="1">
        <v>9.9999999999999999E+306</v>
      </c>
      <c r="BAB1781" s="1">
        <v>9.9999999999999999E+306</v>
      </c>
      <c r="BAC1781" s="1">
        <v>9.9999999999999999E+306</v>
      </c>
      <c r="BAD1781" s="1">
        <v>9.9999999999999999E+306</v>
      </c>
      <c r="BAE1781" s="1">
        <v>9.9999999999999999E+306</v>
      </c>
      <c r="BAF1781" s="1">
        <v>9.9999999999999999E+306</v>
      </c>
      <c r="BAG1781" s="1">
        <v>9.9999999999999999E+306</v>
      </c>
      <c r="BAH1781" s="1">
        <v>9.9999999999999999E+306</v>
      </c>
      <c r="BAI1781" s="1">
        <v>9.9999999999999999E+306</v>
      </c>
      <c r="BAJ1781" s="1">
        <v>9.9999999999999999E+306</v>
      </c>
      <c r="BAK1781" s="1">
        <v>9.9999999999999999E+306</v>
      </c>
      <c r="BAL1781" s="1">
        <v>9.9999999999999999E+306</v>
      </c>
      <c r="BAM1781" s="1">
        <v>9.9999999999999999E+306</v>
      </c>
      <c r="BAN1781" s="1">
        <v>9.9999999999999999E+306</v>
      </c>
      <c r="BAO1781" s="1">
        <v>9.9999999999999999E+306</v>
      </c>
      <c r="BAP1781" s="1">
        <v>9.9999999999999999E+306</v>
      </c>
      <c r="BAQ1781" s="1">
        <v>9.9999999999999999E+306</v>
      </c>
      <c r="BAR1781" s="1">
        <v>9.9999999999999999E+306</v>
      </c>
      <c r="BAS1781" s="1">
        <v>9.9999999999999999E+306</v>
      </c>
      <c r="BAT1781" s="1">
        <v>9.9999999999999999E+306</v>
      </c>
      <c r="BAU1781" s="1">
        <v>9.9999999999999999E+306</v>
      </c>
      <c r="BAV1781" s="1">
        <v>9.9999999999999999E+306</v>
      </c>
      <c r="BAW1781" s="1">
        <v>9.9999999999999999E+306</v>
      </c>
      <c r="BAX1781" s="1">
        <v>9.9999999999999999E+306</v>
      </c>
      <c r="BAY1781" s="1">
        <v>9.9999999999999999E+306</v>
      </c>
      <c r="BAZ1781" s="1">
        <v>9.9999999999999999E+306</v>
      </c>
      <c r="BBA1781" s="1">
        <v>9.9999999999999999E+306</v>
      </c>
      <c r="BBB1781" s="1">
        <v>9.9999999999999999E+306</v>
      </c>
      <c r="BBC1781" s="1">
        <v>9.9999999999999999E+306</v>
      </c>
      <c r="BBD1781" s="1">
        <v>9.9999999999999999E+306</v>
      </c>
      <c r="BBE1781" s="1">
        <v>9.9999999999999999E+306</v>
      </c>
      <c r="BBF1781" s="1">
        <v>9.9999999999999999E+306</v>
      </c>
      <c r="BBG1781" s="1">
        <v>9.9999999999999999E+306</v>
      </c>
      <c r="BBH1781" s="1">
        <v>9.9999999999999999E+306</v>
      </c>
      <c r="BBI1781" s="1">
        <v>9.9999999999999999E+306</v>
      </c>
      <c r="BBJ1781" s="1">
        <v>9.9999999999999999E+306</v>
      </c>
      <c r="BBK1781" s="1">
        <v>9.9999999999999999E+306</v>
      </c>
      <c r="BBL1781" s="1">
        <v>9.9999999999999999E+306</v>
      </c>
      <c r="BBM1781" s="1">
        <v>9.9999999999999999E+306</v>
      </c>
      <c r="BBN1781" s="1">
        <v>9.9999999999999999E+306</v>
      </c>
      <c r="BBO1781" s="1">
        <v>9.9999999999999999E+306</v>
      </c>
      <c r="BBP1781" s="1">
        <v>9.9999999999999999E+306</v>
      </c>
      <c r="BBQ1781" s="1">
        <v>9.9999999999999999E+306</v>
      </c>
      <c r="BBR1781" s="1">
        <v>9.9999999999999999E+306</v>
      </c>
      <c r="BBS1781" s="1">
        <v>9.9999999999999999E+306</v>
      </c>
      <c r="BBT1781" s="1">
        <v>9.9999999999999999E+306</v>
      </c>
      <c r="BBU1781" s="1">
        <v>9.9999999999999999E+306</v>
      </c>
      <c r="BBV1781" s="1">
        <v>9.9999999999999999E+306</v>
      </c>
      <c r="BBW1781" s="1">
        <v>9.9999999999999999E+306</v>
      </c>
      <c r="BBX1781" s="1">
        <v>9.9999999999999999E+306</v>
      </c>
      <c r="BBY1781" s="1">
        <v>9.9999999999999999E+306</v>
      </c>
      <c r="BBZ1781" s="1">
        <v>9.9999999999999999E+306</v>
      </c>
      <c r="BCA1781" s="1">
        <v>9.9999999999999999E+306</v>
      </c>
      <c r="BCB1781" s="1">
        <v>9.9999999999999999E+306</v>
      </c>
      <c r="BCC1781" s="1">
        <v>9.9999999999999999E+306</v>
      </c>
      <c r="BCD1781" s="1">
        <v>9.9999999999999999E+306</v>
      </c>
      <c r="BCE1781" s="1">
        <v>9.9999999999999999E+306</v>
      </c>
      <c r="BCF1781" s="1">
        <v>9.9999999999999999E+306</v>
      </c>
      <c r="BCG1781" s="1">
        <v>9.9999999999999999E+306</v>
      </c>
      <c r="BCH1781" s="1">
        <v>9.9999999999999999E+306</v>
      </c>
      <c r="BCI1781" s="1">
        <v>9.9999999999999999E+306</v>
      </c>
      <c r="BCJ1781" s="1">
        <v>9.9999999999999999E+306</v>
      </c>
      <c r="BCK1781" s="1">
        <v>9.9999999999999999E+306</v>
      </c>
      <c r="BCL1781" s="1">
        <v>9.9999999999999999E+306</v>
      </c>
      <c r="BCM1781" s="1">
        <v>9.9999999999999999E+306</v>
      </c>
      <c r="BCN1781" s="1">
        <v>9.9999999999999999E+306</v>
      </c>
      <c r="BCO1781" s="1">
        <v>9.9999999999999999E+306</v>
      </c>
      <c r="BCP1781" s="1">
        <v>9.9999999999999999E+306</v>
      </c>
      <c r="BCQ1781" s="1">
        <v>9.9999999999999999E+306</v>
      </c>
      <c r="BCR1781" s="1">
        <v>9.9999999999999999E+306</v>
      </c>
      <c r="BCS1781" s="1">
        <v>9.9999999999999999E+306</v>
      </c>
      <c r="BCT1781" s="1">
        <v>9.9999999999999999E+306</v>
      </c>
      <c r="BCU1781" s="1">
        <v>9.9999999999999999E+306</v>
      </c>
      <c r="BCV1781" s="1">
        <v>9.9999999999999999E+306</v>
      </c>
      <c r="BCW1781" s="1">
        <v>9.9999999999999999E+306</v>
      </c>
      <c r="BCX1781" s="1">
        <v>9.9999999999999999E+306</v>
      </c>
      <c r="BCY1781" s="1">
        <v>9.9999999999999999E+306</v>
      </c>
      <c r="BCZ1781" s="1">
        <v>9.9999999999999999E+306</v>
      </c>
      <c r="BDA1781" s="1">
        <v>9.9999999999999999E+306</v>
      </c>
      <c r="BDB1781" s="1">
        <v>9.9999999999999999E+306</v>
      </c>
      <c r="BDC1781" s="1">
        <v>9.9999999999999999E+306</v>
      </c>
      <c r="BDD1781" s="1">
        <v>9.9999999999999999E+306</v>
      </c>
      <c r="BDE1781" s="1">
        <v>9.9999999999999999E+306</v>
      </c>
      <c r="BDF1781" s="1">
        <v>9.9999999999999999E+306</v>
      </c>
      <c r="BDG1781" s="1">
        <v>9.9999999999999999E+306</v>
      </c>
      <c r="BDH1781" s="1">
        <v>9.9999999999999999E+306</v>
      </c>
      <c r="BDI1781" s="1">
        <v>9.9999999999999999E+306</v>
      </c>
      <c r="BDJ1781" s="1">
        <v>9.9999999999999999E+306</v>
      </c>
      <c r="BDK1781" s="1">
        <v>9.9999999999999999E+306</v>
      </c>
      <c r="BDL1781" s="1">
        <v>9.9999999999999999E+306</v>
      </c>
      <c r="BDM1781" s="1">
        <v>9.9999999999999999E+306</v>
      </c>
      <c r="BDN1781" s="1">
        <v>9.9999999999999999E+306</v>
      </c>
      <c r="BDO1781" s="1">
        <v>9.9999999999999999E+306</v>
      </c>
      <c r="BDP1781" s="1">
        <v>9.9999999999999999E+306</v>
      </c>
      <c r="BDQ1781" s="1">
        <v>9.9999999999999999E+306</v>
      </c>
      <c r="BDR1781" s="1">
        <v>9.9999999999999999E+306</v>
      </c>
      <c r="BDS1781" s="1">
        <v>9.9999999999999999E+306</v>
      </c>
      <c r="BDT1781" s="1">
        <v>9.9999999999999999E+306</v>
      </c>
      <c r="BDU1781" s="1">
        <v>9.9999999999999999E+306</v>
      </c>
      <c r="BDV1781" s="1">
        <v>9.9999999999999999E+306</v>
      </c>
      <c r="BDW1781" s="1">
        <v>9.9999999999999999E+306</v>
      </c>
      <c r="BDX1781" s="1">
        <v>9.9999999999999999E+306</v>
      </c>
      <c r="BDY1781" s="1">
        <v>9.9999999999999999E+306</v>
      </c>
      <c r="BDZ1781" s="1">
        <v>9.9999999999999999E+306</v>
      </c>
      <c r="BEA1781" s="1">
        <v>9.9999999999999999E+306</v>
      </c>
      <c r="BEB1781" s="1">
        <v>9.9999999999999999E+306</v>
      </c>
      <c r="BEC1781" s="1">
        <v>9.9999999999999999E+306</v>
      </c>
      <c r="BED1781" s="1">
        <v>9.9999999999999999E+306</v>
      </c>
      <c r="BEE1781" s="1">
        <v>9.9999999999999999E+306</v>
      </c>
      <c r="BEF1781" s="1">
        <v>9.9999999999999999E+306</v>
      </c>
      <c r="BEG1781" s="1">
        <v>9.9999999999999999E+306</v>
      </c>
      <c r="BEH1781" s="1">
        <v>9.9999999999999999E+306</v>
      </c>
      <c r="BEI1781" s="1">
        <v>9.9999999999999999E+306</v>
      </c>
      <c r="BEJ1781" s="1">
        <v>9.9999999999999999E+306</v>
      </c>
      <c r="BEK1781" s="1">
        <v>9.9999999999999999E+306</v>
      </c>
      <c r="BEL1781" s="1">
        <v>9.9999999999999999E+306</v>
      </c>
      <c r="BEM1781" s="1">
        <v>9.9999999999999999E+306</v>
      </c>
      <c r="BEN1781" s="1">
        <v>9.9999999999999999E+306</v>
      </c>
      <c r="BEO1781" s="1">
        <v>9.9999999999999999E+306</v>
      </c>
      <c r="BEP1781" s="1">
        <v>9.9999999999999999E+306</v>
      </c>
      <c r="BEQ1781" s="1">
        <v>9.9999999999999999E+306</v>
      </c>
      <c r="BER1781" s="1">
        <v>9.9999999999999999E+306</v>
      </c>
      <c r="BES1781" s="1">
        <v>9.9999999999999999E+306</v>
      </c>
      <c r="BET1781" s="1">
        <v>9.9999999999999999E+306</v>
      </c>
      <c r="BEU1781" s="1">
        <v>9.9999999999999999E+306</v>
      </c>
      <c r="BEV1781" s="1">
        <v>9.9999999999999999E+306</v>
      </c>
      <c r="BEW1781" s="1">
        <v>9.9999999999999999E+306</v>
      </c>
      <c r="BEX1781" s="1">
        <v>9.9999999999999999E+306</v>
      </c>
      <c r="BEY1781" s="1">
        <v>9.9999999999999999E+306</v>
      </c>
      <c r="BEZ1781" s="1">
        <v>9.9999999999999999E+306</v>
      </c>
      <c r="BFA1781" s="1">
        <v>9.9999999999999999E+306</v>
      </c>
      <c r="BFB1781" s="1">
        <v>9.9999999999999999E+306</v>
      </c>
      <c r="BFC1781" s="1">
        <v>9.9999999999999999E+306</v>
      </c>
      <c r="BFD1781" s="1">
        <v>9.9999999999999999E+306</v>
      </c>
      <c r="BFE1781" s="1">
        <v>9.9999999999999999E+306</v>
      </c>
      <c r="BFF1781" s="1">
        <v>9.9999999999999999E+306</v>
      </c>
      <c r="BFG1781" s="1">
        <v>9.9999999999999999E+306</v>
      </c>
      <c r="BFH1781" s="1">
        <v>9.9999999999999999E+306</v>
      </c>
      <c r="BFI1781" s="1">
        <v>9.9999999999999999E+306</v>
      </c>
      <c r="BFJ1781" s="1">
        <v>9.9999999999999999E+306</v>
      </c>
      <c r="BFK1781" s="1">
        <v>9.9999999999999999E+306</v>
      </c>
      <c r="BFL1781" s="1">
        <v>9.9999999999999999E+306</v>
      </c>
      <c r="BFM1781" s="1">
        <v>9.9999999999999999E+306</v>
      </c>
      <c r="BFN1781" s="1">
        <v>9.9999999999999999E+306</v>
      </c>
      <c r="BFO1781" s="1">
        <v>9.9999999999999999E+306</v>
      </c>
      <c r="BFP1781" s="1">
        <v>9.9999999999999999E+306</v>
      </c>
      <c r="BFQ1781" s="1">
        <v>9.9999999999999999E+306</v>
      </c>
      <c r="BFR1781" s="1">
        <v>9.9999999999999999E+306</v>
      </c>
      <c r="BFS1781" s="1">
        <v>9.9999999999999999E+306</v>
      </c>
      <c r="BFT1781" s="1">
        <v>9.9999999999999999E+306</v>
      </c>
      <c r="BFU1781" s="1">
        <v>9.9999999999999999E+306</v>
      </c>
      <c r="BFV1781" s="1">
        <v>9.9999999999999999E+306</v>
      </c>
      <c r="BFW1781" s="1">
        <v>9.9999999999999999E+306</v>
      </c>
      <c r="BFX1781" s="1">
        <v>9.9999999999999999E+306</v>
      </c>
      <c r="BFY1781" s="1">
        <v>9.9999999999999999E+306</v>
      </c>
      <c r="BFZ1781" s="1">
        <v>9.9999999999999999E+306</v>
      </c>
      <c r="BGA1781" s="1">
        <v>9.9999999999999999E+306</v>
      </c>
      <c r="BGB1781" s="1">
        <v>9.9999999999999999E+306</v>
      </c>
      <c r="BGC1781" s="1">
        <v>9.9999999999999999E+306</v>
      </c>
      <c r="BGD1781" s="1">
        <v>9.9999999999999999E+306</v>
      </c>
      <c r="BGE1781" s="1">
        <v>9.9999999999999999E+306</v>
      </c>
      <c r="BGF1781" s="1">
        <v>9.9999999999999999E+306</v>
      </c>
      <c r="BGG1781" s="1">
        <v>9.9999999999999999E+306</v>
      </c>
      <c r="BGH1781" s="1">
        <v>9.9999999999999999E+306</v>
      </c>
      <c r="BGI1781" s="1">
        <v>9.9999999999999999E+306</v>
      </c>
      <c r="BGJ1781" s="1">
        <v>9.9999999999999999E+306</v>
      </c>
      <c r="BGK1781" s="1">
        <v>9.9999999999999999E+306</v>
      </c>
      <c r="BGL1781" s="1">
        <v>9.9999999999999999E+306</v>
      </c>
      <c r="BGM1781" s="1">
        <v>9.9999999999999999E+306</v>
      </c>
      <c r="BGN1781" s="1">
        <v>9.9999999999999999E+306</v>
      </c>
      <c r="BGO1781" s="1">
        <v>9.9999999999999999E+306</v>
      </c>
      <c r="BGP1781" s="1">
        <v>9.9999999999999999E+306</v>
      </c>
      <c r="BGQ1781" s="1">
        <v>9.9999999999999999E+306</v>
      </c>
      <c r="BGR1781" s="1">
        <v>9.9999999999999999E+306</v>
      </c>
      <c r="BGS1781" s="1">
        <v>9.9999999999999999E+306</v>
      </c>
      <c r="BGT1781" s="1">
        <v>9.9999999999999999E+306</v>
      </c>
      <c r="BGU1781" s="1">
        <v>9.9999999999999999E+306</v>
      </c>
      <c r="BGV1781" s="1">
        <v>9.9999999999999999E+306</v>
      </c>
      <c r="BGW1781" s="1">
        <v>9.9999999999999999E+306</v>
      </c>
      <c r="BGX1781" s="1">
        <v>9.9999999999999999E+306</v>
      </c>
      <c r="BGY1781" s="1">
        <v>9.9999999999999999E+306</v>
      </c>
      <c r="BGZ1781" s="1">
        <v>9.9999999999999999E+306</v>
      </c>
      <c r="BHA1781" s="1">
        <v>9.9999999999999999E+306</v>
      </c>
      <c r="BHB1781" s="1">
        <v>9.9999999999999999E+306</v>
      </c>
      <c r="BHC1781" s="1">
        <v>9.9999999999999999E+306</v>
      </c>
      <c r="BHD1781" s="1">
        <v>9.9999999999999999E+306</v>
      </c>
      <c r="BHE1781" s="1">
        <v>9.9999999999999999E+306</v>
      </c>
      <c r="BHF1781" s="1">
        <v>9.9999999999999999E+306</v>
      </c>
      <c r="BHG1781" s="1">
        <v>9.9999999999999999E+306</v>
      </c>
      <c r="BHH1781" s="1">
        <v>9.9999999999999999E+306</v>
      </c>
      <c r="BHI1781" s="1">
        <v>9.9999999999999999E+306</v>
      </c>
      <c r="BHJ1781" s="1">
        <v>9.9999999999999999E+306</v>
      </c>
      <c r="BHK1781" s="1">
        <v>9.9999999999999999E+306</v>
      </c>
      <c r="BHL1781" s="1">
        <v>9.9999999999999999E+306</v>
      </c>
      <c r="BHM1781" s="1">
        <v>9.9999999999999999E+306</v>
      </c>
      <c r="BHN1781" s="1">
        <v>9.9999999999999999E+306</v>
      </c>
      <c r="BHO1781" s="1">
        <v>9.9999999999999999E+306</v>
      </c>
      <c r="BHP1781" s="1">
        <v>9.9999999999999999E+306</v>
      </c>
      <c r="BHQ1781" s="1">
        <v>9.9999999999999999E+306</v>
      </c>
      <c r="BHR1781" s="1">
        <v>9.9999999999999999E+306</v>
      </c>
      <c r="BHS1781" s="1">
        <v>9.9999999999999999E+306</v>
      </c>
      <c r="BHT1781" s="1">
        <v>9.9999999999999999E+306</v>
      </c>
      <c r="BHU1781" s="1">
        <v>9.9999999999999999E+306</v>
      </c>
      <c r="BHV1781" s="1">
        <v>9.9999999999999999E+306</v>
      </c>
      <c r="BHW1781" s="1">
        <v>9.9999999999999999E+306</v>
      </c>
      <c r="BHX1781" s="1">
        <v>9.9999999999999999E+306</v>
      </c>
      <c r="BHY1781" s="1">
        <v>9.9999999999999999E+306</v>
      </c>
      <c r="BHZ1781" s="1">
        <v>9.9999999999999999E+306</v>
      </c>
      <c r="BIA1781" s="1">
        <v>9.9999999999999999E+306</v>
      </c>
      <c r="BIB1781" s="1">
        <v>9.9999999999999999E+306</v>
      </c>
      <c r="BIC1781" s="1">
        <v>9.9999999999999999E+306</v>
      </c>
      <c r="BID1781" s="1">
        <v>9.9999999999999999E+306</v>
      </c>
      <c r="BIE1781" s="1">
        <v>9.9999999999999999E+306</v>
      </c>
      <c r="BIF1781" s="1">
        <v>9.9999999999999999E+306</v>
      </c>
      <c r="BIG1781" s="1">
        <v>9.9999999999999999E+306</v>
      </c>
      <c r="BIH1781" s="1">
        <v>9.9999999999999999E+306</v>
      </c>
      <c r="BII1781" s="1">
        <v>9.9999999999999999E+306</v>
      </c>
      <c r="BIJ1781" s="1">
        <v>9.9999999999999999E+306</v>
      </c>
      <c r="BIK1781" s="1">
        <v>9.9999999999999999E+306</v>
      </c>
      <c r="BIL1781" s="1">
        <v>9.9999999999999999E+306</v>
      </c>
      <c r="BIM1781" s="1">
        <v>9.9999999999999999E+306</v>
      </c>
      <c r="BIN1781" s="1">
        <v>9.9999999999999999E+306</v>
      </c>
      <c r="BIO1781" s="1">
        <v>9.9999999999999999E+306</v>
      </c>
      <c r="BIP1781" s="1">
        <v>9.9999999999999999E+306</v>
      </c>
      <c r="BIQ1781" s="1">
        <v>9.9999999999999999E+306</v>
      </c>
      <c r="BIR1781" s="1">
        <v>9.9999999999999999E+306</v>
      </c>
      <c r="BIS1781" s="1">
        <v>9.9999999999999999E+306</v>
      </c>
      <c r="BIT1781" s="1">
        <v>9.9999999999999999E+306</v>
      </c>
      <c r="BIU1781" s="1">
        <v>9.9999999999999999E+306</v>
      </c>
      <c r="BIV1781" s="1">
        <v>9.9999999999999999E+306</v>
      </c>
      <c r="BIW1781" s="1">
        <v>9.9999999999999999E+306</v>
      </c>
      <c r="BIX1781" s="1">
        <v>9.9999999999999999E+306</v>
      </c>
      <c r="BIY1781" s="1">
        <v>9.9999999999999999E+306</v>
      </c>
      <c r="BIZ1781" s="1">
        <v>9.9999999999999999E+306</v>
      </c>
      <c r="BJA1781" s="1">
        <v>9.9999999999999999E+306</v>
      </c>
      <c r="BJB1781" s="1">
        <v>9.9999999999999999E+306</v>
      </c>
      <c r="BJC1781" s="1">
        <v>9.9999999999999999E+306</v>
      </c>
      <c r="BJD1781" s="1">
        <v>9.9999999999999999E+306</v>
      </c>
      <c r="BJE1781" s="1">
        <v>9.9999999999999999E+306</v>
      </c>
      <c r="BJF1781" s="1">
        <v>9.9999999999999999E+306</v>
      </c>
      <c r="BJG1781" s="1">
        <v>9.9999999999999999E+306</v>
      </c>
      <c r="BJH1781" s="1">
        <v>9.9999999999999999E+306</v>
      </c>
      <c r="BJI1781" s="1">
        <v>9.9999999999999999E+306</v>
      </c>
      <c r="BJJ1781" s="1">
        <v>9.9999999999999999E+306</v>
      </c>
      <c r="BJK1781" s="1">
        <v>9.9999999999999999E+306</v>
      </c>
      <c r="BJL1781" s="1">
        <v>9.9999999999999999E+306</v>
      </c>
      <c r="BJM1781" s="1">
        <v>9.9999999999999999E+306</v>
      </c>
      <c r="BJN1781" s="1">
        <v>9.9999999999999999E+306</v>
      </c>
      <c r="BJO1781" s="1">
        <v>9.9999999999999999E+306</v>
      </c>
      <c r="BJP1781" s="1">
        <v>9.9999999999999999E+306</v>
      </c>
      <c r="BJQ1781" s="1">
        <v>9.9999999999999999E+306</v>
      </c>
      <c r="BJR1781" s="1">
        <v>9.9999999999999999E+306</v>
      </c>
      <c r="BJS1781" s="1">
        <v>9.9999999999999999E+306</v>
      </c>
      <c r="BJT1781" s="1">
        <v>9.9999999999999999E+306</v>
      </c>
      <c r="BJU1781" s="1">
        <v>9.9999999999999999E+306</v>
      </c>
      <c r="BJV1781" s="1">
        <v>9.9999999999999999E+306</v>
      </c>
      <c r="BJW1781" s="1">
        <v>9.9999999999999999E+306</v>
      </c>
      <c r="BJX1781" s="1">
        <v>9.9999999999999999E+306</v>
      </c>
      <c r="BJY1781" s="1">
        <v>9.9999999999999999E+306</v>
      </c>
      <c r="BJZ1781" s="1">
        <v>9.9999999999999999E+306</v>
      </c>
      <c r="BKA1781" s="1">
        <v>9.9999999999999999E+306</v>
      </c>
      <c r="BKB1781" s="1">
        <v>9.9999999999999999E+306</v>
      </c>
      <c r="BKC1781" s="1">
        <v>9.9999999999999999E+306</v>
      </c>
      <c r="BKD1781" s="1">
        <v>9.9999999999999999E+306</v>
      </c>
      <c r="BKE1781" s="1">
        <v>9.9999999999999999E+306</v>
      </c>
      <c r="BKF1781" s="1">
        <v>9.9999999999999999E+306</v>
      </c>
      <c r="BKG1781" s="1">
        <v>9.9999999999999999E+306</v>
      </c>
      <c r="BKH1781" s="1">
        <v>9.9999999999999999E+306</v>
      </c>
      <c r="BKI1781" s="1">
        <v>9.9999999999999999E+306</v>
      </c>
      <c r="BKJ1781" s="1">
        <v>9.9999999999999999E+306</v>
      </c>
      <c r="BKK1781" s="1">
        <v>9.9999999999999999E+306</v>
      </c>
      <c r="BKL1781" s="1">
        <v>9.9999999999999999E+306</v>
      </c>
      <c r="BKM1781" s="1">
        <v>9.9999999999999999E+306</v>
      </c>
      <c r="BKN1781" s="1">
        <v>9.9999999999999999E+306</v>
      </c>
      <c r="BKO1781" s="1">
        <v>9.9999999999999999E+306</v>
      </c>
      <c r="BKP1781" s="1">
        <v>9.9999999999999999E+306</v>
      </c>
      <c r="BKQ1781" s="1">
        <v>9.9999999999999999E+306</v>
      </c>
      <c r="BKR1781" s="1">
        <v>9.9999999999999999E+306</v>
      </c>
      <c r="BKS1781" s="1">
        <v>9.9999999999999999E+306</v>
      </c>
      <c r="BKT1781" s="1">
        <v>9.9999999999999999E+306</v>
      </c>
      <c r="BKU1781" s="1">
        <v>9.9999999999999999E+306</v>
      </c>
      <c r="BKV1781" s="1">
        <v>9.9999999999999999E+306</v>
      </c>
      <c r="BKW1781" s="1">
        <v>9.9999999999999999E+306</v>
      </c>
      <c r="BKX1781" s="1">
        <v>9.9999999999999999E+306</v>
      </c>
      <c r="BKY1781" s="1">
        <v>9.9999999999999999E+306</v>
      </c>
      <c r="BKZ1781" s="1">
        <v>9.9999999999999999E+306</v>
      </c>
      <c r="BLA1781" s="1">
        <v>9.9999999999999999E+306</v>
      </c>
      <c r="BLB1781" s="1">
        <v>9.9999999999999999E+306</v>
      </c>
      <c r="BLC1781" s="1">
        <v>9.9999999999999999E+306</v>
      </c>
      <c r="BLD1781" s="1">
        <v>9.9999999999999999E+306</v>
      </c>
      <c r="BLE1781" s="1">
        <v>9.9999999999999999E+306</v>
      </c>
      <c r="BLF1781" s="1">
        <v>9.9999999999999999E+306</v>
      </c>
      <c r="BLG1781" s="1">
        <v>9.9999999999999999E+306</v>
      </c>
      <c r="BLH1781" s="1">
        <v>9.9999999999999999E+306</v>
      </c>
      <c r="BLI1781" s="1">
        <v>9.9999999999999999E+306</v>
      </c>
      <c r="BLJ1781" s="1">
        <v>9.9999999999999999E+306</v>
      </c>
      <c r="BLK1781" s="1">
        <v>9.9999999999999999E+306</v>
      </c>
      <c r="BLL1781" s="1">
        <v>9.9999999999999999E+306</v>
      </c>
      <c r="BLM1781" s="1">
        <v>9.9999999999999999E+306</v>
      </c>
      <c r="BLN1781" s="1">
        <v>9.9999999999999999E+306</v>
      </c>
      <c r="BLO1781" s="1">
        <v>9.9999999999999999E+306</v>
      </c>
      <c r="BLP1781" s="1">
        <v>9.9999999999999999E+306</v>
      </c>
      <c r="BLQ1781" s="1">
        <v>9.9999999999999999E+306</v>
      </c>
      <c r="BLR1781" s="1">
        <v>9.9999999999999999E+306</v>
      </c>
      <c r="BLS1781" s="1">
        <v>9.9999999999999999E+306</v>
      </c>
      <c r="BLT1781" s="1">
        <v>9.9999999999999999E+306</v>
      </c>
      <c r="BLU1781" s="1">
        <v>9.9999999999999999E+306</v>
      </c>
      <c r="BLV1781" s="1">
        <v>9.9999999999999999E+306</v>
      </c>
      <c r="BLW1781" s="1">
        <v>9.9999999999999999E+306</v>
      </c>
      <c r="BLX1781" s="1">
        <v>9.9999999999999999E+306</v>
      </c>
      <c r="BLY1781" s="1">
        <v>9.9999999999999999E+306</v>
      </c>
      <c r="BLZ1781" s="1">
        <v>9.9999999999999999E+306</v>
      </c>
      <c r="BMA1781" s="1">
        <v>9.9999999999999999E+306</v>
      </c>
      <c r="BMB1781" s="1">
        <v>9.9999999999999999E+306</v>
      </c>
      <c r="BMC1781" s="1">
        <v>9.9999999999999999E+306</v>
      </c>
      <c r="BMD1781" s="1">
        <v>9.9999999999999999E+306</v>
      </c>
      <c r="BME1781" s="1">
        <v>9.9999999999999999E+306</v>
      </c>
      <c r="BMF1781" s="1">
        <v>9.9999999999999999E+306</v>
      </c>
      <c r="BMG1781" s="1">
        <v>9.9999999999999999E+306</v>
      </c>
      <c r="BMH1781" s="1">
        <v>9.9999999999999999E+306</v>
      </c>
      <c r="BMI1781" s="1">
        <v>9.9999999999999999E+306</v>
      </c>
      <c r="BMJ1781" s="1">
        <v>9.9999999999999999E+306</v>
      </c>
      <c r="BMK1781" s="1">
        <v>9.9999999999999999E+306</v>
      </c>
      <c r="BML1781" s="1">
        <v>9.9999999999999999E+306</v>
      </c>
      <c r="BMM1781" s="1">
        <v>9.9999999999999999E+306</v>
      </c>
      <c r="BMN1781" s="1">
        <v>9.9999999999999999E+306</v>
      </c>
      <c r="BMO1781" s="1">
        <v>9.9999999999999999E+306</v>
      </c>
      <c r="BMP1781" s="1">
        <v>9.9999999999999999E+306</v>
      </c>
      <c r="BMQ1781" s="1">
        <v>9.9999999999999999E+306</v>
      </c>
      <c r="BMR1781" s="1">
        <v>9.9999999999999999E+306</v>
      </c>
      <c r="BMS1781" s="1">
        <v>9.9999999999999999E+306</v>
      </c>
      <c r="BMT1781" s="1">
        <v>9.9999999999999999E+306</v>
      </c>
      <c r="BMU1781" s="1">
        <v>9.9999999999999999E+306</v>
      </c>
      <c r="BMV1781" s="1">
        <v>9.9999999999999999E+306</v>
      </c>
      <c r="BMW1781" s="1">
        <v>9.9999999999999999E+306</v>
      </c>
      <c r="BMX1781" s="1">
        <v>9.9999999999999999E+306</v>
      </c>
      <c r="BMY1781" s="1">
        <v>9.9999999999999999E+306</v>
      </c>
      <c r="BMZ1781" s="1">
        <v>9.9999999999999999E+306</v>
      </c>
      <c r="BNA1781" s="1">
        <v>9.9999999999999999E+306</v>
      </c>
      <c r="BNB1781" s="1">
        <v>9.9999999999999999E+306</v>
      </c>
      <c r="BNC1781" s="1">
        <v>9.9999999999999999E+306</v>
      </c>
      <c r="BND1781" s="1">
        <v>9.9999999999999999E+306</v>
      </c>
      <c r="BNE1781" s="1">
        <v>9.9999999999999999E+306</v>
      </c>
      <c r="BNF1781" s="1">
        <v>9.9999999999999999E+306</v>
      </c>
      <c r="BNG1781" s="1">
        <v>9.9999999999999999E+306</v>
      </c>
      <c r="BNH1781" s="1">
        <v>9.9999999999999999E+306</v>
      </c>
      <c r="BNI1781" s="1">
        <v>9.9999999999999999E+306</v>
      </c>
      <c r="BNJ1781" s="1">
        <v>9.9999999999999999E+306</v>
      </c>
      <c r="BNK1781" s="1">
        <v>9.9999999999999999E+306</v>
      </c>
      <c r="BNL1781" s="1">
        <v>9.9999999999999999E+306</v>
      </c>
      <c r="BNM1781" s="1">
        <v>9.9999999999999999E+306</v>
      </c>
      <c r="BNN1781" s="1">
        <v>9.9999999999999999E+306</v>
      </c>
      <c r="BNO1781" s="1">
        <v>9.9999999999999999E+306</v>
      </c>
      <c r="BNP1781" s="1">
        <v>9.9999999999999999E+306</v>
      </c>
      <c r="BNQ1781" s="1">
        <v>9.9999999999999999E+306</v>
      </c>
      <c r="BNR1781" s="1">
        <v>9.9999999999999999E+306</v>
      </c>
      <c r="BNS1781" s="1">
        <v>9.9999999999999999E+306</v>
      </c>
      <c r="BNT1781" s="1">
        <v>9.9999999999999999E+306</v>
      </c>
      <c r="BNU1781" s="1">
        <v>9.9999999999999999E+306</v>
      </c>
      <c r="BNV1781" s="1">
        <v>9.9999999999999999E+306</v>
      </c>
      <c r="BNW1781" s="1">
        <v>9.9999999999999999E+306</v>
      </c>
      <c r="BNX1781" s="1">
        <v>9.9999999999999999E+306</v>
      </c>
      <c r="BNY1781" s="1">
        <v>9.9999999999999999E+306</v>
      </c>
      <c r="BNZ1781" s="1">
        <v>9.9999999999999999E+306</v>
      </c>
      <c r="BOA1781" s="1">
        <v>9.9999999999999999E+306</v>
      </c>
      <c r="BOB1781" s="1">
        <v>9.9999999999999999E+306</v>
      </c>
      <c r="BOC1781" s="1">
        <v>9.9999999999999999E+306</v>
      </c>
      <c r="BOD1781" s="1">
        <v>9.9999999999999999E+306</v>
      </c>
      <c r="BOE1781" s="1">
        <v>9.9999999999999999E+306</v>
      </c>
      <c r="BOF1781" s="1">
        <v>9.9999999999999999E+306</v>
      </c>
      <c r="BOG1781" s="1">
        <v>9.9999999999999999E+306</v>
      </c>
      <c r="BOH1781" s="1">
        <v>9.9999999999999999E+306</v>
      </c>
      <c r="BOI1781" s="1">
        <v>9.9999999999999999E+306</v>
      </c>
      <c r="BOJ1781" s="1">
        <v>9.9999999999999999E+306</v>
      </c>
      <c r="BOK1781" s="1">
        <v>9.9999999999999999E+306</v>
      </c>
      <c r="BOL1781" s="1">
        <v>9.9999999999999999E+306</v>
      </c>
      <c r="BOM1781" s="1">
        <v>9.9999999999999999E+306</v>
      </c>
      <c r="BON1781" s="1">
        <v>9.9999999999999999E+306</v>
      </c>
      <c r="BOO1781" s="1">
        <v>9.9999999999999999E+306</v>
      </c>
      <c r="BOP1781" s="1">
        <v>9.9999999999999999E+306</v>
      </c>
      <c r="BOQ1781" s="1">
        <v>9.9999999999999999E+306</v>
      </c>
      <c r="BOR1781" s="1">
        <v>9.9999999999999999E+306</v>
      </c>
      <c r="BOS1781" s="1">
        <v>9.9999999999999999E+306</v>
      </c>
      <c r="BOT1781" s="1">
        <v>9.9999999999999999E+306</v>
      </c>
      <c r="BOU1781" s="1">
        <v>9.9999999999999999E+306</v>
      </c>
      <c r="BOV1781" s="1">
        <v>9.9999999999999999E+306</v>
      </c>
      <c r="BOW1781" s="1">
        <v>9.9999999999999999E+306</v>
      </c>
      <c r="BOX1781" s="1">
        <v>9.9999999999999999E+306</v>
      </c>
      <c r="BOY1781" s="1">
        <v>9.9999999999999999E+306</v>
      </c>
      <c r="BOZ1781" s="1">
        <v>9.9999999999999999E+306</v>
      </c>
      <c r="BPA1781" s="1">
        <v>9.9999999999999999E+306</v>
      </c>
      <c r="BPB1781" s="1">
        <v>9.9999999999999999E+306</v>
      </c>
      <c r="BPC1781" s="1">
        <v>9.9999999999999999E+306</v>
      </c>
      <c r="BPD1781" s="1">
        <v>9.9999999999999999E+306</v>
      </c>
      <c r="BPE1781" s="1">
        <v>9.9999999999999999E+306</v>
      </c>
      <c r="BPF1781" s="1">
        <v>9.9999999999999999E+306</v>
      </c>
      <c r="BPG1781" s="1">
        <v>9.9999999999999999E+306</v>
      </c>
      <c r="BPH1781" s="1">
        <v>9.9999999999999999E+306</v>
      </c>
      <c r="BPI1781" s="1">
        <v>9.9999999999999999E+306</v>
      </c>
      <c r="BPJ1781" s="1">
        <v>9.9999999999999999E+306</v>
      </c>
      <c r="BPK1781" s="1">
        <v>9.9999999999999999E+306</v>
      </c>
      <c r="BPL1781" s="1">
        <v>9.9999999999999999E+306</v>
      </c>
      <c r="BPM1781" s="1">
        <v>9.9999999999999999E+306</v>
      </c>
      <c r="BPN1781" s="1">
        <v>9.9999999999999999E+306</v>
      </c>
      <c r="BPO1781" s="1">
        <v>9.9999999999999999E+306</v>
      </c>
      <c r="BPP1781" s="1">
        <v>9.9999999999999999E+306</v>
      </c>
      <c r="BPQ1781" s="1">
        <v>9.9999999999999999E+306</v>
      </c>
      <c r="BPR1781" s="1">
        <v>9.9999999999999999E+306</v>
      </c>
      <c r="BPS1781" s="1">
        <v>9.9999999999999999E+306</v>
      </c>
      <c r="BPT1781" s="1">
        <v>9.9999999999999999E+306</v>
      </c>
      <c r="BPU1781" s="1">
        <v>9.9999999999999999E+306</v>
      </c>
      <c r="BPV1781" s="1">
        <v>9.9999999999999999E+306</v>
      </c>
      <c r="BPW1781" s="1">
        <v>9.9999999999999999E+306</v>
      </c>
      <c r="BPX1781" s="1">
        <v>9.9999999999999999E+306</v>
      </c>
      <c r="BPY1781" s="1">
        <v>9.9999999999999999E+306</v>
      </c>
      <c r="BPZ1781" s="1">
        <v>9.9999999999999999E+306</v>
      </c>
      <c r="BQA1781" s="1">
        <v>9.9999999999999999E+306</v>
      </c>
      <c r="BQB1781" s="1">
        <v>9.9999999999999999E+306</v>
      </c>
      <c r="BQC1781" s="1">
        <v>9.9999999999999999E+306</v>
      </c>
      <c r="BQD1781" s="1">
        <v>9.9999999999999999E+306</v>
      </c>
      <c r="BQE1781" s="1">
        <v>9.9999999999999999E+306</v>
      </c>
      <c r="BQF1781" s="1">
        <v>9.9999999999999999E+306</v>
      </c>
      <c r="BQG1781" s="1">
        <v>9.9999999999999999E+306</v>
      </c>
      <c r="BQH1781" s="1">
        <v>9.9999999999999999E+306</v>
      </c>
      <c r="BQI1781" s="1">
        <v>9.9999999999999999E+306</v>
      </c>
      <c r="BQJ1781" s="1">
        <v>9.9999999999999999E+306</v>
      </c>
      <c r="BQK1781" s="1">
        <v>9.9999999999999999E+306</v>
      </c>
      <c r="BQL1781" s="1">
        <v>9.9999999999999999E+306</v>
      </c>
      <c r="BQM1781" s="1">
        <v>9.9999999999999999E+306</v>
      </c>
      <c r="BQN1781" s="1">
        <v>9.9999999999999999E+306</v>
      </c>
      <c r="BQO1781" s="1">
        <v>9.9999999999999999E+306</v>
      </c>
      <c r="BQP1781" s="1">
        <v>9.9999999999999999E+306</v>
      </c>
      <c r="BQQ1781" s="1">
        <v>9.9999999999999999E+306</v>
      </c>
      <c r="BQR1781" s="1">
        <v>9.9999999999999999E+306</v>
      </c>
      <c r="BQS1781" s="1">
        <v>9.9999999999999999E+306</v>
      </c>
      <c r="BQT1781" s="1">
        <v>9.9999999999999999E+306</v>
      </c>
      <c r="BQU1781" s="1">
        <v>9.9999999999999999E+306</v>
      </c>
      <c r="BQV1781" s="1">
        <v>9.9999999999999999E+306</v>
      </c>
      <c r="BQW1781" s="1">
        <v>9.9999999999999999E+306</v>
      </c>
      <c r="BQX1781" s="1">
        <v>9.9999999999999999E+306</v>
      </c>
      <c r="BQY1781" s="1">
        <v>9.9999999999999999E+306</v>
      </c>
      <c r="BQZ1781" s="1">
        <v>9.9999999999999999E+306</v>
      </c>
      <c r="BRA1781" s="1">
        <v>9.9999999999999999E+306</v>
      </c>
      <c r="BRB1781" s="1">
        <v>9.9999999999999999E+306</v>
      </c>
      <c r="BRC1781" s="1">
        <v>9.9999999999999999E+306</v>
      </c>
      <c r="BRD1781" s="1">
        <v>9.9999999999999999E+306</v>
      </c>
      <c r="BRE1781" s="1">
        <v>9.9999999999999999E+306</v>
      </c>
      <c r="BRF1781" s="1">
        <v>9.9999999999999999E+306</v>
      </c>
      <c r="BRG1781" s="1">
        <v>9.9999999999999999E+306</v>
      </c>
      <c r="BRH1781" s="1">
        <v>9.9999999999999999E+306</v>
      </c>
      <c r="BRI1781" s="1">
        <v>9.9999999999999999E+306</v>
      </c>
      <c r="BRJ1781" s="1">
        <v>9.9999999999999999E+306</v>
      </c>
      <c r="BRK1781" s="1">
        <v>9.9999999999999999E+306</v>
      </c>
      <c r="BRL1781" s="1">
        <v>9.9999999999999999E+306</v>
      </c>
      <c r="BRM1781" s="1">
        <v>9.9999999999999999E+306</v>
      </c>
      <c r="BRN1781" s="1">
        <v>9.9999999999999999E+306</v>
      </c>
      <c r="BRO1781" s="1">
        <v>9.9999999999999999E+306</v>
      </c>
      <c r="BRP1781" s="1">
        <v>9.9999999999999999E+306</v>
      </c>
      <c r="BRQ1781" s="1">
        <v>9.9999999999999999E+306</v>
      </c>
      <c r="BRR1781" s="1">
        <v>9.9999999999999999E+306</v>
      </c>
      <c r="BRS1781" s="1">
        <v>9.9999999999999999E+306</v>
      </c>
      <c r="BRT1781" s="1">
        <v>9.9999999999999999E+306</v>
      </c>
      <c r="BRU1781" s="1">
        <v>9.9999999999999999E+306</v>
      </c>
      <c r="BRV1781" s="1">
        <v>9.9999999999999999E+306</v>
      </c>
      <c r="BRW1781" s="1">
        <v>9.9999999999999999E+306</v>
      </c>
      <c r="BRX1781" s="1">
        <v>9.9999999999999999E+306</v>
      </c>
      <c r="BRY1781" s="1">
        <v>9.9999999999999999E+306</v>
      </c>
      <c r="BRZ1781" s="1">
        <v>9.9999999999999999E+306</v>
      </c>
      <c r="BSA1781" s="1">
        <v>9.9999999999999999E+306</v>
      </c>
      <c r="BSB1781" s="1">
        <v>9.9999999999999999E+306</v>
      </c>
      <c r="BSC1781" s="1">
        <v>9.9999999999999999E+306</v>
      </c>
      <c r="BSD1781" s="1">
        <v>9.9999999999999999E+306</v>
      </c>
      <c r="BSE1781" s="1">
        <v>9.9999999999999999E+306</v>
      </c>
      <c r="BSF1781" s="1">
        <v>9.9999999999999999E+306</v>
      </c>
      <c r="BSG1781" s="1">
        <v>9.9999999999999999E+306</v>
      </c>
      <c r="BSH1781" s="1">
        <v>9.9999999999999999E+306</v>
      </c>
      <c r="BSI1781" s="1">
        <v>9.9999999999999999E+306</v>
      </c>
      <c r="BSJ1781" s="1">
        <v>9.9999999999999999E+306</v>
      </c>
      <c r="BSK1781" s="1">
        <v>9.9999999999999999E+306</v>
      </c>
      <c r="BSL1781" s="1">
        <v>9.9999999999999999E+306</v>
      </c>
      <c r="BSM1781" s="1">
        <v>9.9999999999999999E+306</v>
      </c>
      <c r="BSN1781" s="1">
        <v>9.9999999999999999E+306</v>
      </c>
      <c r="BSO1781" s="1">
        <v>9.9999999999999999E+306</v>
      </c>
      <c r="BSP1781" s="1">
        <v>9.9999999999999999E+306</v>
      </c>
      <c r="BSQ1781" s="1">
        <v>9.9999999999999999E+306</v>
      </c>
      <c r="BSR1781" s="1">
        <v>9.9999999999999999E+306</v>
      </c>
      <c r="BSS1781" s="1">
        <v>9.9999999999999999E+306</v>
      </c>
      <c r="BST1781" s="1">
        <v>9.9999999999999999E+306</v>
      </c>
      <c r="BSU1781" s="1">
        <v>9.9999999999999999E+306</v>
      </c>
      <c r="BSV1781" s="1">
        <v>9.9999999999999999E+306</v>
      </c>
      <c r="BSW1781" s="1">
        <v>9.9999999999999999E+306</v>
      </c>
      <c r="BSX1781" s="1">
        <v>9.9999999999999999E+306</v>
      </c>
      <c r="BSY1781" s="1">
        <v>9.9999999999999999E+306</v>
      </c>
      <c r="BSZ1781" s="1">
        <v>9.9999999999999999E+306</v>
      </c>
      <c r="BTA1781" s="1">
        <v>9.9999999999999999E+306</v>
      </c>
      <c r="BTB1781" s="1">
        <v>9.9999999999999999E+306</v>
      </c>
      <c r="BTC1781" s="1">
        <v>9.9999999999999999E+306</v>
      </c>
      <c r="BTD1781" s="1">
        <v>9.9999999999999999E+306</v>
      </c>
      <c r="BTE1781" s="1">
        <v>9.9999999999999999E+306</v>
      </c>
      <c r="BTF1781" s="1">
        <v>9.9999999999999999E+306</v>
      </c>
      <c r="BTG1781" s="1">
        <v>9.9999999999999999E+306</v>
      </c>
      <c r="BTH1781" s="1">
        <v>9.9999999999999999E+306</v>
      </c>
      <c r="BTI1781" s="1">
        <v>9.9999999999999999E+306</v>
      </c>
      <c r="BTJ1781" s="1">
        <v>9.9999999999999999E+306</v>
      </c>
      <c r="BTK1781" s="1">
        <v>9.9999999999999999E+306</v>
      </c>
      <c r="BTL1781" s="1">
        <v>9.9999999999999999E+306</v>
      </c>
      <c r="BTM1781" s="1">
        <v>9.9999999999999999E+306</v>
      </c>
      <c r="BTN1781" s="1">
        <v>9.9999999999999999E+306</v>
      </c>
      <c r="BTO1781" s="1">
        <v>9.9999999999999999E+306</v>
      </c>
      <c r="BTP1781" s="1">
        <v>9.9999999999999999E+306</v>
      </c>
      <c r="BTQ1781" s="1">
        <v>9.9999999999999999E+306</v>
      </c>
      <c r="BTR1781" s="1">
        <v>9.9999999999999999E+306</v>
      </c>
      <c r="BTS1781" s="1">
        <v>9.9999999999999999E+306</v>
      </c>
      <c r="BTT1781" s="1">
        <v>9.9999999999999999E+306</v>
      </c>
      <c r="BTU1781" s="1">
        <v>9.9999999999999999E+306</v>
      </c>
      <c r="BTV1781" s="1">
        <v>9.9999999999999999E+306</v>
      </c>
      <c r="BTW1781" s="1">
        <v>9.9999999999999999E+306</v>
      </c>
      <c r="BTX1781" s="1">
        <v>9.9999999999999999E+306</v>
      </c>
      <c r="BTY1781" s="1">
        <v>9.9999999999999999E+306</v>
      </c>
      <c r="BTZ1781" s="1">
        <v>9.9999999999999999E+306</v>
      </c>
      <c r="BUA1781" s="1">
        <v>9.9999999999999999E+306</v>
      </c>
      <c r="BUB1781" s="1">
        <v>9.9999999999999999E+306</v>
      </c>
      <c r="BUC1781" s="1">
        <v>9.9999999999999999E+306</v>
      </c>
      <c r="BUD1781" s="1">
        <v>9.9999999999999999E+306</v>
      </c>
      <c r="BUE1781" s="1">
        <v>9.9999999999999999E+306</v>
      </c>
      <c r="BUF1781" s="1">
        <v>9.9999999999999999E+306</v>
      </c>
      <c r="BUG1781" s="1">
        <v>9.9999999999999999E+306</v>
      </c>
      <c r="BUH1781" s="1">
        <v>9.9999999999999999E+306</v>
      </c>
      <c r="BUI1781" s="1">
        <v>9.9999999999999999E+306</v>
      </c>
      <c r="BUJ1781" s="1">
        <v>9.9999999999999999E+306</v>
      </c>
      <c r="BUK1781" s="1">
        <v>9.9999999999999999E+306</v>
      </c>
      <c r="BUL1781" s="1">
        <v>9.9999999999999999E+306</v>
      </c>
      <c r="BUM1781" s="1">
        <v>9.9999999999999999E+306</v>
      </c>
      <c r="BUN1781" s="1">
        <v>9.9999999999999999E+306</v>
      </c>
      <c r="BUO1781" s="1">
        <v>9.9999999999999999E+306</v>
      </c>
      <c r="BUP1781" s="1">
        <v>9.9999999999999999E+306</v>
      </c>
      <c r="BUQ1781" s="1">
        <v>9.9999999999999999E+306</v>
      </c>
      <c r="BUR1781" s="1">
        <v>9.9999999999999999E+306</v>
      </c>
      <c r="BUS1781" s="1">
        <v>9.9999999999999999E+306</v>
      </c>
      <c r="BUT1781" s="1">
        <v>9.9999999999999999E+306</v>
      </c>
      <c r="BUU1781" s="1">
        <v>9.9999999999999999E+306</v>
      </c>
      <c r="BUV1781" s="1">
        <v>9.9999999999999999E+306</v>
      </c>
      <c r="BUW1781" s="1">
        <v>9.9999999999999999E+306</v>
      </c>
      <c r="BUX1781" s="1">
        <v>9.9999999999999999E+306</v>
      </c>
      <c r="BUY1781" s="1">
        <v>9.9999999999999999E+306</v>
      </c>
      <c r="BUZ1781" s="1">
        <v>9.9999999999999999E+306</v>
      </c>
      <c r="BVA1781" s="1">
        <v>9.9999999999999999E+306</v>
      </c>
      <c r="BVB1781" s="1">
        <v>9.9999999999999999E+306</v>
      </c>
      <c r="BVC1781" s="1">
        <v>9.9999999999999999E+306</v>
      </c>
      <c r="BVD1781" s="1">
        <v>9.9999999999999999E+306</v>
      </c>
      <c r="BVE1781" s="1">
        <v>9.9999999999999999E+306</v>
      </c>
      <c r="BVF1781" s="1">
        <v>9.9999999999999999E+306</v>
      </c>
      <c r="BVG1781" s="1">
        <v>9.9999999999999999E+306</v>
      </c>
      <c r="BVH1781" s="1">
        <v>9.9999999999999999E+306</v>
      </c>
      <c r="BVI1781" s="1">
        <v>9.9999999999999999E+306</v>
      </c>
      <c r="BVJ1781" s="1">
        <v>9.9999999999999999E+306</v>
      </c>
      <c r="BVK1781" s="1">
        <v>9.9999999999999999E+306</v>
      </c>
      <c r="BVL1781" s="1">
        <v>9.9999999999999999E+306</v>
      </c>
      <c r="BVM1781" s="1">
        <v>9.9999999999999999E+306</v>
      </c>
      <c r="BVN1781" s="1">
        <v>9.9999999999999999E+306</v>
      </c>
      <c r="BVO1781" s="1">
        <v>9.9999999999999999E+306</v>
      </c>
      <c r="BVP1781" s="1">
        <v>9.9999999999999999E+306</v>
      </c>
      <c r="BVQ1781" s="1">
        <v>9.9999999999999999E+306</v>
      </c>
      <c r="BVR1781" s="1">
        <v>9.9999999999999999E+306</v>
      </c>
      <c r="BVS1781" s="1">
        <v>9.9999999999999999E+306</v>
      </c>
      <c r="BVT1781" s="1">
        <v>9.9999999999999999E+306</v>
      </c>
      <c r="BVU1781" s="1">
        <v>9.9999999999999999E+306</v>
      </c>
      <c r="BVV1781" s="1">
        <v>9.9999999999999999E+306</v>
      </c>
      <c r="BVW1781" s="1">
        <v>9.9999999999999999E+306</v>
      </c>
      <c r="BVX1781" s="1">
        <v>9.9999999999999999E+306</v>
      </c>
      <c r="BVY1781" s="1">
        <v>9.9999999999999999E+306</v>
      </c>
      <c r="BVZ1781" s="1">
        <v>9.9999999999999999E+306</v>
      </c>
      <c r="BWA1781" s="1">
        <v>9.9999999999999999E+306</v>
      </c>
      <c r="BWB1781" s="1">
        <v>9.9999999999999999E+306</v>
      </c>
      <c r="BWC1781" s="1">
        <v>9.9999999999999999E+306</v>
      </c>
      <c r="BWD1781" s="1">
        <v>9.9999999999999999E+306</v>
      </c>
      <c r="BWE1781" s="1">
        <v>9.9999999999999999E+306</v>
      </c>
      <c r="BWF1781" s="1">
        <v>9.9999999999999999E+306</v>
      </c>
      <c r="BWG1781" s="1">
        <v>9.9999999999999999E+306</v>
      </c>
      <c r="BWH1781" s="1">
        <v>9.9999999999999999E+306</v>
      </c>
      <c r="BWI1781" s="1">
        <v>9.9999999999999999E+306</v>
      </c>
      <c r="BWJ1781" s="1">
        <v>9.9999999999999999E+306</v>
      </c>
      <c r="BWK1781" s="1">
        <v>9.9999999999999999E+306</v>
      </c>
      <c r="BWL1781" s="1">
        <v>9.9999999999999999E+306</v>
      </c>
      <c r="BWM1781" s="1">
        <v>9.9999999999999999E+306</v>
      </c>
      <c r="BWN1781" s="1">
        <v>9.9999999999999999E+306</v>
      </c>
      <c r="BWO1781" s="1">
        <v>9.9999999999999999E+306</v>
      </c>
      <c r="BWP1781" s="1">
        <v>9.9999999999999999E+306</v>
      </c>
      <c r="BWQ1781" s="1">
        <v>9.9999999999999999E+306</v>
      </c>
      <c r="BWR1781" s="1">
        <v>9.9999999999999999E+306</v>
      </c>
      <c r="BWS1781" s="1">
        <v>9.9999999999999999E+306</v>
      </c>
      <c r="BWT1781" s="1">
        <v>9.9999999999999999E+306</v>
      </c>
      <c r="BWU1781" s="1">
        <v>9.9999999999999999E+306</v>
      </c>
      <c r="BWV1781" s="1">
        <v>9.9999999999999999E+306</v>
      </c>
      <c r="BWW1781" s="1">
        <v>9.9999999999999999E+306</v>
      </c>
      <c r="BWX1781" s="1">
        <v>9.9999999999999999E+306</v>
      </c>
      <c r="BWY1781" s="1">
        <v>9.9999999999999999E+306</v>
      </c>
      <c r="BWZ1781" s="1">
        <v>9.9999999999999999E+306</v>
      </c>
      <c r="BXA1781" s="1">
        <v>9.9999999999999999E+306</v>
      </c>
      <c r="BXB1781" s="1">
        <v>9.9999999999999999E+306</v>
      </c>
      <c r="BXC1781" s="1">
        <v>9.9999999999999999E+306</v>
      </c>
      <c r="BXD1781" s="1">
        <v>9.9999999999999999E+306</v>
      </c>
      <c r="BXE1781" s="1">
        <v>9.9999999999999999E+306</v>
      </c>
      <c r="BXF1781" s="1">
        <v>9.9999999999999999E+306</v>
      </c>
      <c r="BXG1781" s="1">
        <v>9.9999999999999999E+306</v>
      </c>
      <c r="BXH1781" s="1">
        <v>9.9999999999999999E+306</v>
      </c>
      <c r="BXI1781" s="1">
        <v>9.9999999999999999E+306</v>
      </c>
      <c r="BXJ1781" s="1">
        <v>9.9999999999999999E+306</v>
      </c>
      <c r="BXK1781" s="1">
        <v>9.9999999999999999E+306</v>
      </c>
      <c r="BXL1781" s="1">
        <v>9.9999999999999999E+306</v>
      </c>
      <c r="BXM1781" s="1">
        <v>9.9999999999999999E+306</v>
      </c>
      <c r="BXN1781" s="1">
        <v>9.9999999999999999E+306</v>
      </c>
      <c r="BXO1781" s="1">
        <v>9.9999999999999999E+306</v>
      </c>
      <c r="BXP1781" s="1">
        <v>9.9999999999999999E+306</v>
      </c>
      <c r="BXQ1781" s="1">
        <v>9.9999999999999999E+306</v>
      </c>
      <c r="BXR1781" s="1">
        <v>9.9999999999999999E+306</v>
      </c>
      <c r="BXS1781" s="1">
        <v>9.9999999999999999E+306</v>
      </c>
      <c r="BXT1781" s="1">
        <v>9.9999999999999999E+306</v>
      </c>
      <c r="BXU1781" s="1">
        <v>9.9999999999999999E+306</v>
      </c>
      <c r="BXV1781" s="1">
        <v>9.9999999999999999E+306</v>
      </c>
      <c r="BXW1781" s="1">
        <v>9.9999999999999999E+306</v>
      </c>
      <c r="BXX1781" s="1">
        <v>9.9999999999999999E+306</v>
      </c>
      <c r="BXY1781" s="1">
        <v>9.9999999999999999E+306</v>
      </c>
      <c r="BXZ1781" s="1">
        <v>9.9999999999999999E+306</v>
      </c>
      <c r="BYA1781" s="1">
        <v>9.9999999999999999E+306</v>
      </c>
      <c r="BYB1781" s="1">
        <v>9.9999999999999999E+306</v>
      </c>
      <c r="BYC1781" s="1">
        <v>9.9999999999999999E+306</v>
      </c>
      <c r="BYD1781" s="1">
        <v>9.9999999999999999E+306</v>
      </c>
      <c r="BYE1781" s="1">
        <v>9.9999999999999999E+306</v>
      </c>
      <c r="BYF1781" s="1">
        <v>9.9999999999999999E+306</v>
      </c>
      <c r="BYG1781" s="1">
        <v>9.9999999999999999E+306</v>
      </c>
      <c r="BYH1781" s="1">
        <v>9.9999999999999999E+306</v>
      </c>
      <c r="BYI1781" s="1">
        <v>9.9999999999999999E+306</v>
      </c>
      <c r="BYJ1781" s="1">
        <v>9.9999999999999999E+306</v>
      </c>
      <c r="BYK1781" s="1">
        <v>9.9999999999999999E+306</v>
      </c>
      <c r="BYL1781" s="1">
        <v>9.9999999999999999E+306</v>
      </c>
      <c r="BYM1781" s="1">
        <v>9.9999999999999999E+306</v>
      </c>
      <c r="BYN1781" s="1">
        <v>9.9999999999999999E+306</v>
      </c>
      <c r="BYO1781" s="1">
        <v>9.9999999999999999E+306</v>
      </c>
      <c r="BYP1781" s="1">
        <v>9.9999999999999999E+306</v>
      </c>
      <c r="BYQ1781" s="1">
        <v>9.9999999999999999E+306</v>
      </c>
      <c r="BYR1781" s="1">
        <v>9.9999999999999999E+306</v>
      </c>
      <c r="BYS1781" s="1">
        <v>9.9999999999999999E+306</v>
      </c>
      <c r="BYT1781" s="1">
        <v>9.9999999999999999E+306</v>
      </c>
      <c r="BYU1781" s="1">
        <v>9.9999999999999999E+306</v>
      </c>
      <c r="BYV1781" s="1">
        <v>9.9999999999999999E+306</v>
      </c>
      <c r="BYW1781" s="1">
        <v>9.9999999999999999E+306</v>
      </c>
      <c r="BYX1781" s="1">
        <v>9.9999999999999999E+306</v>
      </c>
      <c r="BYY1781" s="1">
        <v>9.9999999999999999E+306</v>
      </c>
      <c r="BYZ1781" s="1">
        <v>9.9999999999999999E+306</v>
      </c>
      <c r="BZA1781" s="1">
        <v>9.9999999999999999E+306</v>
      </c>
      <c r="BZB1781" s="1">
        <v>9.9999999999999999E+306</v>
      </c>
      <c r="BZC1781" s="1">
        <v>9.9999999999999999E+306</v>
      </c>
      <c r="BZD1781" s="1">
        <v>9.9999999999999999E+306</v>
      </c>
      <c r="BZE1781" s="1">
        <v>9.9999999999999999E+306</v>
      </c>
      <c r="BZF1781" s="1">
        <v>9.9999999999999999E+306</v>
      </c>
      <c r="BZG1781" s="1">
        <v>9.9999999999999999E+306</v>
      </c>
      <c r="BZH1781" s="1">
        <v>9.9999999999999999E+306</v>
      </c>
      <c r="BZI1781" s="1">
        <v>9.9999999999999999E+306</v>
      </c>
      <c r="BZJ1781" s="1">
        <v>9.9999999999999999E+306</v>
      </c>
      <c r="BZK1781" s="1">
        <v>9.9999999999999999E+306</v>
      </c>
      <c r="BZL1781" s="1">
        <v>9.9999999999999999E+306</v>
      </c>
      <c r="BZM1781" s="1">
        <v>9.9999999999999999E+306</v>
      </c>
      <c r="BZN1781" s="1">
        <v>9.9999999999999999E+306</v>
      </c>
      <c r="BZO1781" s="1">
        <v>9.9999999999999999E+306</v>
      </c>
      <c r="BZP1781" s="1">
        <v>9.9999999999999999E+306</v>
      </c>
      <c r="BZQ1781" s="1">
        <v>9.9999999999999999E+306</v>
      </c>
      <c r="BZR1781" s="1">
        <v>9.9999999999999999E+306</v>
      </c>
      <c r="BZS1781" s="1">
        <v>9.9999999999999999E+306</v>
      </c>
      <c r="BZT1781" s="1">
        <v>9.9999999999999999E+306</v>
      </c>
      <c r="BZU1781" s="1">
        <v>9.9999999999999999E+306</v>
      </c>
      <c r="BZV1781" s="1">
        <v>9.9999999999999999E+306</v>
      </c>
      <c r="BZW1781" s="1">
        <v>9.9999999999999999E+306</v>
      </c>
      <c r="BZX1781" s="1">
        <v>9.9999999999999999E+306</v>
      </c>
      <c r="BZY1781" s="1">
        <v>9.9999999999999999E+306</v>
      </c>
      <c r="BZZ1781" s="1">
        <v>9.9999999999999999E+306</v>
      </c>
      <c r="CAA1781" s="1">
        <v>9.9999999999999999E+306</v>
      </c>
      <c r="CAB1781" s="1">
        <v>9.9999999999999999E+306</v>
      </c>
      <c r="CAC1781" s="1">
        <v>9.9999999999999999E+306</v>
      </c>
      <c r="CAD1781" s="1">
        <v>9.9999999999999999E+306</v>
      </c>
      <c r="CAE1781" s="1">
        <v>9.9999999999999999E+306</v>
      </c>
      <c r="CAF1781" s="1">
        <v>9.9999999999999999E+306</v>
      </c>
      <c r="CAG1781" s="1">
        <v>9.9999999999999999E+306</v>
      </c>
      <c r="CAH1781" s="1">
        <v>9.9999999999999999E+306</v>
      </c>
      <c r="CAI1781" s="1">
        <v>9.9999999999999999E+306</v>
      </c>
      <c r="CAJ1781" s="1">
        <v>9.9999999999999999E+306</v>
      </c>
      <c r="CAK1781" s="1">
        <v>9.9999999999999999E+306</v>
      </c>
      <c r="CAL1781" s="1">
        <v>9.9999999999999999E+306</v>
      </c>
      <c r="CAM1781" s="1">
        <v>9.9999999999999999E+306</v>
      </c>
      <c r="CAN1781" s="1">
        <v>9.9999999999999999E+306</v>
      </c>
      <c r="CAO1781" s="1">
        <v>9.9999999999999999E+306</v>
      </c>
      <c r="CAP1781" s="1">
        <v>9.9999999999999999E+306</v>
      </c>
      <c r="CAQ1781" s="1">
        <v>9.9999999999999999E+306</v>
      </c>
      <c r="CAR1781" s="1">
        <v>9.9999999999999999E+306</v>
      </c>
      <c r="CAS1781" s="1">
        <v>9.9999999999999999E+306</v>
      </c>
      <c r="CAT1781" s="1">
        <v>9.9999999999999999E+306</v>
      </c>
      <c r="CAU1781" s="1">
        <v>9.9999999999999999E+306</v>
      </c>
      <c r="CAV1781" s="1">
        <v>9.9999999999999999E+306</v>
      </c>
      <c r="CAW1781" s="1">
        <v>9.9999999999999999E+306</v>
      </c>
      <c r="CAX1781" s="1">
        <v>9.9999999999999999E+306</v>
      </c>
      <c r="CAY1781" s="1">
        <v>9.9999999999999999E+306</v>
      </c>
      <c r="CAZ1781" s="1">
        <v>9.9999999999999999E+306</v>
      </c>
      <c r="CBA1781" s="1">
        <v>9.9999999999999999E+306</v>
      </c>
      <c r="CBB1781" s="1">
        <v>9.9999999999999999E+306</v>
      </c>
      <c r="CBC1781" s="1">
        <v>9.9999999999999999E+306</v>
      </c>
      <c r="CBD1781" s="1">
        <v>9.9999999999999999E+306</v>
      </c>
      <c r="CBE1781" s="1">
        <v>9.9999999999999999E+306</v>
      </c>
      <c r="CBF1781" s="1">
        <v>9.9999999999999999E+306</v>
      </c>
      <c r="CBG1781" s="1">
        <v>9.9999999999999999E+306</v>
      </c>
      <c r="CBH1781" s="1">
        <v>9.9999999999999999E+306</v>
      </c>
      <c r="CBI1781" s="1">
        <v>9.9999999999999999E+306</v>
      </c>
      <c r="CBJ1781" s="1">
        <v>9.9999999999999999E+306</v>
      </c>
      <c r="CBK1781" s="1">
        <v>9.9999999999999999E+306</v>
      </c>
      <c r="CBL1781" s="1">
        <v>9.9999999999999999E+306</v>
      </c>
      <c r="CBM1781" s="1">
        <v>9.9999999999999999E+306</v>
      </c>
      <c r="CBN1781" s="1">
        <v>9.9999999999999999E+306</v>
      </c>
      <c r="CBO1781" s="1">
        <v>9.9999999999999999E+306</v>
      </c>
      <c r="CBP1781" s="1">
        <v>9.9999999999999999E+306</v>
      </c>
      <c r="CBQ1781" s="1">
        <v>9.9999999999999999E+306</v>
      </c>
      <c r="CBR1781" s="1">
        <v>9.9999999999999999E+306</v>
      </c>
      <c r="CBS1781" s="1">
        <v>9.9999999999999999E+306</v>
      </c>
      <c r="CBT1781" s="1">
        <v>9.9999999999999999E+306</v>
      </c>
      <c r="CBU1781" s="1">
        <v>9.9999999999999999E+306</v>
      </c>
      <c r="CBV1781" s="1">
        <v>9.9999999999999999E+306</v>
      </c>
      <c r="CBW1781" s="1">
        <v>9.9999999999999999E+306</v>
      </c>
      <c r="CBX1781" s="1">
        <v>9.9999999999999999E+306</v>
      </c>
      <c r="CBY1781" s="1">
        <v>9.9999999999999999E+306</v>
      </c>
      <c r="CBZ1781" s="1">
        <v>9.9999999999999999E+306</v>
      </c>
      <c r="CCA1781" s="1">
        <v>9.9999999999999999E+306</v>
      </c>
      <c r="CCB1781" s="1">
        <v>9.9999999999999999E+306</v>
      </c>
      <c r="CCC1781" s="1">
        <v>9.9999999999999999E+306</v>
      </c>
      <c r="CCD1781" s="1">
        <v>9.9999999999999999E+306</v>
      </c>
      <c r="CCE1781" s="1">
        <v>9.9999999999999999E+306</v>
      </c>
      <c r="CCF1781" s="1">
        <v>9.9999999999999999E+306</v>
      </c>
      <c r="CCG1781" s="1">
        <v>9.9999999999999999E+306</v>
      </c>
      <c r="CCH1781" s="1">
        <v>9.9999999999999999E+306</v>
      </c>
      <c r="CCI1781" s="1">
        <v>9.9999999999999999E+306</v>
      </c>
      <c r="CCJ1781" s="1">
        <v>9.9999999999999999E+306</v>
      </c>
      <c r="CCK1781" s="1">
        <v>9.9999999999999999E+306</v>
      </c>
      <c r="CCL1781" s="1">
        <v>9.9999999999999999E+306</v>
      </c>
      <c r="CCM1781" s="1">
        <v>9.9999999999999999E+306</v>
      </c>
      <c r="CCN1781" s="1">
        <v>9.9999999999999999E+306</v>
      </c>
      <c r="CCO1781" s="1">
        <v>9.9999999999999999E+306</v>
      </c>
      <c r="CCP1781" s="1">
        <v>9.9999999999999999E+306</v>
      </c>
      <c r="CCQ1781" s="1">
        <v>9.9999999999999999E+306</v>
      </c>
      <c r="CCR1781" s="1">
        <v>9.9999999999999999E+306</v>
      </c>
      <c r="CCS1781" s="1">
        <v>9.9999999999999999E+306</v>
      </c>
      <c r="CCT1781" s="1">
        <v>9.9999999999999999E+306</v>
      </c>
      <c r="CCU1781" s="1">
        <v>9.9999999999999999E+306</v>
      </c>
      <c r="CCV1781" s="1">
        <v>9.9999999999999999E+306</v>
      </c>
      <c r="CCW1781" s="1">
        <v>9.9999999999999999E+306</v>
      </c>
      <c r="CCX1781" s="1">
        <v>9.9999999999999999E+306</v>
      </c>
      <c r="CCY1781" s="1">
        <v>9.9999999999999999E+306</v>
      </c>
      <c r="CCZ1781" s="1">
        <v>9.9999999999999999E+306</v>
      </c>
      <c r="CDA1781" s="1">
        <v>9.9999999999999999E+306</v>
      </c>
      <c r="CDB1781" s="1">
        <v>9.9999999999999999E+306</v>
      </c>
      <c r="CDC1781" s="1">
        <v>9.9999999999999999E+306</v>
      </c>
      <c r="CDD1781" s="1">
        <v>9.9999999999999999E+306</v>
      </c>
      <c r="CDE1781" s="1">
        <v>9.9999999999999999E+306</v>
      </c>
      <c r="CDF1781" s="1">
        <v>9.9999999999999999E+306</v>
      </c>
      <c r="CDG1781" s="1">
        <v>9.9999999999999999E+306</v>
      </c>
      <c r="CDH1781" s="1">
        <v>9.9999999999999999E+306</v>
      </c>
      <c r="CDI1781" s="1">
        <v>9.9999999999999999E+306</v>
      </c>
      <c r="CDJ1781" s="1">
        <v>9.9999999999999999E+306</v>
      </c>
      <c r="CDK1781" s="1">
        <v>9.9999999999999999E+306</v>
      </c>
      <c r="CDL1781" s="1">
        <v>9.9999999999999999E+306</v>
      </c>
      <c r="CDM1781" s="1">
        <v>9.9999999999999999E+306</v>
      </c>
      <c r="CDN1781" s="1">
        <v>9.9999999999999999E+306</v>
      </c>
      <c r="CDO1781" s="1">
        <v>9.9999999999999999E+306</v>
      </c>
      <c r="CDP1781" s="1">
        <v>9.9999999999999999E+306</v>
      </c>
      <c r="CDQ1781" s="1">
        <v>9.9999999999999999E+306</v>
      </c>
      <c r="CDR1781" s="1">
        <v>9.9999999999999999E+306</v>
      </c>
      <c r="CDS1781" s="1">
        <v>9.9999999999999999E+306</v>
      </c>
      <c r="CDT1781" s="1">
        <v>9.9999999999999999E+306</v>
      </c>
      <c r="CDU1781" s="1">
        <v>9.9999999999999999E+306</v>
      </c>
      <c r="CDV1781" s="1">
        <v>9.9999999999999999E+306</v>
      </c>
      <c r="CDW1781" s="1">
        <v>9.9999999999999999E+306</v>
      </c>
      <c r="CDX1781" s="1">
        <v>9.9999999999999999E+306</v>
      </c>
      <c r="CDY1781" s="1">
        <v>9.9999999999999999E+306</v>
      </c>
      <c r="CDZ1781" s="1">
        <v>9.9999999999999999E+306</v>
      </c>
      <c r="CEA1781" s="1">
        <v>9.9999999999999999E+306</v>
      </c>
      <c r="CEB1781" s="1">
        <v>9.9999999999999999E+306</v>
      </c>
      <c r="CEC1781" s="1">
        <v>9.9999999999999999E+306</v>
      </c>
      <c r="CED1781" s="1">
        <v>9.9999999999999999E+306</v>
      </c>
      <c r="CEE1781" s="1">
        <v>9.9999999999999999E+306</v>
      </c>
      <c r="CEF1781" s="1">
        <v>9.9999999999999999E+306</v>
      </c>
      <c r="CEG1781" s="1">
        <v>9.9999999999999999E+306</v>
      </c>
      <c r="CEH1781" s="1">
        <v>9.9999999999999999E+306</v>
      </c>
      <c r="CEI1781" s="1">
        <v>9.9999999999999999E+306</v>
      </c>
      <c r="CEJ1781" s="1">
        <v>9.9999999999999999E+306</v>
      </c>
      <c r="CEK1781" s="1">
        <v>9.9999999999999999E+306</v>
      </c>
      <c r="CEL1781" s="1">
        <v>9.9999999999999999E+306</v>
      </c>
      <c r="CEM1781" s="1">
        <v>9.9999999999999999E+306</v>
      </c>
      <c r="CEN1781" s="1">
        <v>9.9999999999999999E+306</v>
      </c>
      <c r="CEO1781" s="1">
        <v>9.9999999999999999E+306</v>
      </c>
      <c r="CEP1781" s="1">
        <v>9.9999999999999999E+306</v>
      </c>
      <c r="CEQ1781" s="1">
        <v>9.9999999999999999E+306</v>
      </c>
      <c r="CER1781" s="1">
        <v>9.9999999999999999E+306</v>
      </c>
      <c r="CES1781" s="1">
        <v>9.9999999999999999E+306</v>
      </c>
      <c r="CET1781" s="1">
        <v>9.9999999999999999E+306</v>
      </c>
      <c r="CEU1781" s="1">
        <v>9.9999999999999999E+306</v>
      </c>
      <c r="CEV1781" s="1">
        <v>9.9999999999999999E+306</v>
      </c>
      <c r="CEW1781" s="1">
        <v>9.9999999999999999E+306</v>
      </c>
      <c r="CEX1781" s="1">
        <v>9.9999999999999999E+306</v>
      </c>
      <c r="CEY1781" s="1">
        <v>9.9999999999999999E+306</v>
      </c>
      <c r="CEZ1781" s="1">
        <v>9.9999999999999999E+306</v>
      </c>
      <c r="CFA1781" s="1">
        <v>9.9999999999999999E+306</v>
      </c>
      <c r="CFB1781" s="1">
        <v>9.9999999999999999E+306</v>
      </c>
      <c r="CFC1781" s="1">
        <v>9.9999999999999999E+306</v>
      </c>
      <c r="CFD1781" s="1">
        <v>9.9999999999999999E+306</v>
      </c>
      <c r="CFE1781" s="1">
        <v>9.9999999999999999E+306</v>
      </c>
      <c r="CFF1781" s="1">
        <v>9.9999999999999999E+306</v>
      </c>
      <c r="CFG1781" s="1">
        <v>9.9999999999999999E+306</v>
      </c>
      <c r="CFH1781" s="1">
        <v>9.9999999999999999E+306</v>
      </c>
      <c r="CFI1781" s="1">
        <v>9.9999999999999999E+306</v>
      </c>
      <c r="CFJ1781" s="1">
        <v>9.9999999999999999E+306</v>
      </c>
      <c r="CFK1781" s="1">
        <v>9.9999999999999999E+306</v>
      </c>
      <c r="CFL1781" s="1">
        <v>9.9999999999999999E+306</v>
      </c>
      <c r="CFM1781" s="1">
        <v>9.9999999999999999E+306</v>
      </c>
      <c r="CFN1781" s="1">
        <v>9.9999999999999999E+306</v>
      </c>
      <c r="CFO1781" s="1">
        <v>9.9999999999999999E+306</v>
      </c>
      <c r="CFP1781" s="1">
        <v>9.9999999999999999E+306</v>
      </c>
      <c r="CFQ1781" s="1">
        <v>9.9999999999999999E+306</v>
      </c>
      <c r="CFR1781" s="1">
        <v>9.9999999999999999E+306</v>
      </c>
      <c r="CFS1781" s="1">
        <v>9.9999999999999999E+306</v>
      </c>
      <c r="CFT1781" s="1">
        <v>9.9999999999999999E+306</v>
      </c>
      <c r="CFU1781" s="1">
        <v>9.9999999999999999E+306</v>
      </c>
      <c r="CFV1781" s="1">
        <v>9.9999999999999999E+306</v>
      </c>
      <c r="CFW1781" s="1">
        <v>9.9999999999999999E+306</v>
      </c>
      <c r="CFX1781" s="1">
        <v>9.9999999999999999E+306</v>
      </c>
      <c r="CFY1781" s="1">
        <v>9.9999999999999999E+306</v>
      </c>
      <c r="CFZ1781" s="1">
        <v>9.9999999999999999E+306</v>
      </c>
      <c r="CGA1781" s="1">
        <v>9.9999999999999999E+306</v>
      </c>
      <c r="CGB1781" s="1">
        <v>9.9999999999999999E+306</v>
      </c>
      <c r="CGC1781" s="1">
        <v>9.9999999999999999E+306</v>
      </c>
      <c r="CGD1781" s="1">
        <v>9.9999999999999999E+306</v>
      </c>
      <c r="CGE1781" s="1">
        <v>9.9999999999999999E+306</v>
      </c>
      <c r="CGF1781" s="1">
        <v>9.9999999999999999E+306</v>
      </c>
      <c r="CGG1781" s="1">
        <v>9.9999999999999999E+306</v>
      </c>
      <c r="CGH1781" s="1">
        <v>9.9999999999999999E+306</v>
      </c>
      <c r="CGI1781" s="1">
        <v>9.9999999999999999E+306</v>
      </c>
      <c r="CGJ1781" s="1">
        <v>9.9999999999999999E+306</v>
      </c>
      <c r="CGK1781" s="1">
        <v>9.9999999999999999E+306</v>
      </c>
      <c r="CGL1781" s="1">
        <v>9.9999999999999999E+306</v>
      </c>
      <c r="CGM1781" s="1">
        <v>9.9999999999999999E+306</v>
      </c>
      <c r="CGN1781" s="1">
        <v>9.9999999999999999E+306</v>
      </c>
      <c r="CGO1781" s="1">
        <v>9.9999999999999999E+306</v>
      </c>
      <c r="CGP1781" s="1">
        <v>9.9999999999999999E+306</v>
      </c>
      <c r="CGQ1781" s="1">
        <v>9.9999999999999999E+306</v>
      </c>
      <c r="CGR1781" s="1">
        <v>9.9999999999999999E+306</v>
      </c>
      <c r="CGS1781" s="1">
        <v>9.9999999999999999E+306</v>
      </c>
      <c r="CGT1781" s="1">
        <v>9.9999999999999999E+306</v>
      </c>
      <c r="CGU1781" s="1">
        <v>9.9999999999999999E+306</v>
      </c>
      <c r="CGV1781" s="1">
        <v>9.9999999999999999E+306</v>
      </c>
      <c r="CGW1781" s="1">
        <v>9.9999999999999999E+306</v>
      </c>
      <c r="CGX1781" s="1">
        <v>9.9999999999999999E+306</v>
      </c>
      <c r="CGY1781" s="1">
        <v>9.9999999999999999E+306</v>
      </c>
      <c r="CGZ1781" s="1">
        <v>9.9999999999999999E+306</v>
      </c>
      <c r="CHA1781" s="1">
        <v>9.9999999999999999E+306</v>
      </c>
      <c r="CHB1781" s="1">
        <v>9.9999999999999999E+306</v>
      </c>
      <c r="CHC1781" s="1">
        <v>9.9999999999999999E+306</v>
      </c>
      <c r="CHD1781" s="1">
        <v>9.9999999999999999E+306</v>
      </c>
      <c r="CHE1781" s="1">
        <v>9.9999999999999999E+306</v>
      </c>
      <c r="CHF1781" s="1">
        <v>9.9999999999999999E+306</v>
      </c>
      <c r="CHG1781" s="1">
        <v>9.9999999999999999E+306</v>
      </c>
      <c r="CHH1781" s="1">
        <v>9.9999999999999999E+306</v>
      </c>
      <c r="CHI1781" s="1">
        <v>9.9999999999999999E+306</v>
      </c>
      <c r="CHJ1781" s="1">
        <v>9.9999999999999999E+306</v>
      </c>
      <c r="CHK1781" s="1">
        <v>9.9999999999999999E+306</v>
      </c>
      <c r="CHL1781" s="1">
        <v>9.9999999999999999E+306</v>
      </c>
      <c r="CHM1781" s="1">
        <v>9.9999999999999999E+306</v>
      </c>
      <c r="CHN1781" s="1">
        <v>9.9999999999999999E+306</v>
      </c>
      <c r="CHO1781" s="1">
        <v>9.9999999999999999E+306</v>
      </c>
      <c r="CHP1781" s="1">
        <v>9.9999999999999999E+306</v>
      </c>
      <c r="CHQ1781" s="1">
        <v>9.9999999999999999E+306</v>
      </c>
      <c r="CHR1781" s="1">
        <v>9.9999999999999999E+306</v>
      </c>
      <c r="CHS1781" s="1">
        <v>9.9999999999999999E+306</v>
      </c>
      <c r="CHT1781" s="1">
        <v>9.9999999999999999E+306</v>
      </c>
      <c r="CHU1781" s="1">
        <v>9.9999999999999999E+306</v>
      </c>
      <c r="CHV1781" s="1">
        <v>9.9999999999999999E+306</v>
      </c>
      <c r="CHW1781" s="1">
        <v>9.9999999999999999E+306</v>
      </c>
      <c r="CHX1781" s="1">
        <v>9.9999999999999999E+306</v>
      </c>
      <c r="CHY1781" s="1">
        <v>9.9999999999999999E+306</v>
      </c>
      <c r="CHZ1781" s="1">
        <v>9.9999999999999999E+306</v>
      </c>
      <c r="CIA1781" s="1">
        <v>9.9999999999999999E+306</v>
      </c>
      <c r="CIB1781" s="1">
        <v>9.9999999999999999E+306</v>
      </c>
      <c r="CIC1781" s="1">
        <v>9.9999999999999999E+306</v>
      </c>
      <c r="CID1781" s="1">
        <v>9.9999999999999999E+306</v>
      </c>
      <c r="CIE1781" s="1">
        <v>9.9999999999999999E+306</v>
      </c>
      <c r="CIF1781" s="1">
        <v>9.9999999999999999E+306</v>
      </c>
      <c r="CIG1781" s="1">
        <v>9.9999999999999999E+306</v>
      </c>
      <c r="CIH1781" s="1">
        <v>9.9999999999999999E+306</v>
      </c>
      <c r="CII1781" s="1">
        <v>9.9999999999999999E+306</v>
      </c>
      <c r="CIJ1781" s="1">
        <v>9.9999999999999999E+306</v>
      </c>
      <c r="CIK1781" s="1">
        <v>9.9999999999999999E+306</v>
      </c>
      <c r="CIL1781" s="1">
        <v>9.9999999999999999E+306</v>
      </c>
      <c r="CIM1781" s="1">
        <v>9.9999999999999999E+306</v>
      </c>
      <c r="CIN1781" s="1">
        <v>9.9999999999999999E+306</v>
      </c>
      <c r="CIO1781" s="1">
        <v>9.9999999999999999E+306</v>
      </c>
      <c r="CIP1781" s="1">
        <v>9.9999999999999999E+306</v>
      </c>
      <c r="CIQ1781" s="1">
        <v>9.9999999999999999E+306</v>
      </c>
      <c r="CIR1781" s="1">
        <v>9.9999999999999999E+306</v>
      </c>
      <c r="CIS1781" s="1">
        <v>9.9999999999999999E+306</v>
      </c>
      <c r="CIT1781" s="1">
        <v>9.9999999999999999E+306</v>
      </c>
      <c r="CIU1781" s="1">
        <v>9.9999999999999999E+306</v>
      </c>
      <c r="CIV1781" s="1">
        <v>9.9999999999999999E+306</v>
      </c>
      <c r="CIW1781" s="1">
        <v>9.9999999999999999E+306</v>
      </c>
      <c r="CIX1781" s="1">
        <v>9.9999999999999999E+306</v>
      </c>
      <c r="CIY1781" s="1">
        <v>9.9999999999999999E+306</v>
      </c>
      <c r="CIZ1781" s="1">
        <v>9.9999999999999999E+306</v>
      </c>
      <c r="CJA1781" s="1">
        <v>9.9999999999999999E+306</v>
      </c>
      <c r="CJB1781" s="1">
        <v>9.9999999999999999E+306</v>
      </c>
      <c r="CJC1781" s="1">
        <v>9.9999999999999999E+306</v>
      </c>
      <c r="CJD1781" s="1">
        <v>9.9999999999999999E+306</v>
      </c>
      <c r="CJE1781" s="1">
        <v>9.9999999999999999E+306</v>
      </c>
      <c r="CJF1781" s="1">
        <v>9.9999999999999999E+306</v>
      </c>
      <c r="CJG1781" s="1">
        <v>9.9999999999999999E+306</v>
      </c>
      <c r="CJH1781" s="1">
        <v>9.9999999999999999E+306</v>
      </c>
      <c r="CJI1781" s="1">
        <v>9.9999999999999999E+306</v>
      </c>
      <c r="CJJ1781" s="1">
        <v>9.9999999999999999E+306</v>
      </c>
      <c r="CJK1781" s="1">
        <v>9.9999999999999999E+306</v>
      </c>
      <c r="CJL1781" s="1">
        <v>9.9999999999999999E+306</v>
      </c>
      <c r="CJM1781" s="1">
        <v>9.9999999999999999E+306</v>
      </c>
      <c r="CJN1781" s="1">
        <v>9.9999999999999999E+306</v>
      </c>
      <c r="CJO1781" s="1">
        <v>9.9999999999999999E+306</v>
      </c>
      <c r="CJP1781" s="1">
        <v>9.9999999999999999E+306</v>
      </c>
      <c r="CJQ1781" s="1">
        <v>9.9999999999999999E+306</v>
      </c>
      <c r="CJR1781" s="1">
        <v>9.9999999999999999E+306</v>
      </c>
      <c r="CJS1781" s="1">
        <v>9.9999999999999999E+306</v>
      </c>
      <c r="CJT1781" s="1">
        <v>9.9999999999999999E+306</v>
      </c>
      <c r="CJU1781" s="1">
        <v>9.9999999999999999E+306</v>
      </c>
      <c r="CJV1781" s="1">
        <v>9.9999999999999999E+306</v>
      </c>
      <c r="CJW1781" s="1">
        <v>9.9999999999999999E+306</v>
      </c>
      <c r="CJX1781" s="1">
        <v>9.9999999999999999E+306</v>
      </c>
      <c r="CJY1781" s="1">
        <v>9.9999999999999999E+306</v>
      </c>
      <c r="CJZ1781" s="1">
        <v>9.9999999999999999E+306</v>
      </c>
      <c r="CKA1781" s="1">
        <v>9.9999999999999999E+306</v>
      </c>
      <c r="CKB1781" s="1">
        <v>9.9999999999999999E+306</v>
      </c>
      <c r="CKC1781" s="1">
        <v>9.9999999999999999E+306</v>
      </c>
      <c r="CKD1781" s="1">
        <v>9.9999999999999999E+306</v>
      </c>
      <c r="CKE1781" s="1">
        <v>9.9999999999999999E+306</v>
      </c>
      <c r="CKF1781" s="1">
        <v>9.9999999999999999E+306</v>
      </c>
      <c r="CKG1781" s="1">
        <v>9.9999999999999999E+306</v>
      </c>
      <c r="CKH1781" s="1">
        <v>9.9999999999999999E+306</v>
      </c>
      <c r="CKI1781" s="1">
        <v>9.9999999999999999E+306</v>
      </c>
      <c r="CKJ1781" s="1">
        <v>9.9999999999999999E+306</v>
      </c>
      <c r="CKK1781" s="1">
        <v>9.9999999999999999E+306</v>
      </c>
      <c r="CKL1781" s="1">
        <v>9.9999999999999999E+306</v>
      </c>
      <c r="CKM1781" s="1">
        <v>9.9999999999999999E+306</v>
      </c>
      <c r="CKN1781" s="1">
        <v>9.9999999999999999E+306</v>
      </c>
      <c r="CKO1781" s="1">
        <v>9.9999999999999999E+306</v>
      </c>
      <c r="CKP1781" s="1">
        <v>9.9999999999999999E+306</v>
      </c>
      <c r="CKQ1781" s="1">
        <v>9.9999999999999999E+306</v>
      </c>
      <c r="CKR1781" s="1">
        <v>9.9999999999999999E+306</v>
      </c>
      <c r="CKS1781" s="1">
        <v>9.9999999999999999E+306</v>
      </c>
      <c r="CKT1781" s="1">
        <v>9.9999999999999999E+306</v>
      </c>
      <c r="CKU1781" s="1">
        <v>9.9999999999999999E+306</v>
      </c>
      <c r="CKV1781" s="1">
        <v>9.9999999999999999E+306</v>
      </c>
      <c r="CKW1781" s="1">
        <v>9.9999999999999999E+306</v>
      </c>
      <c r="CKX1781" s="1">
        <v>9.9999999999999999E+306</v>
      </c>
      <c r="CKY1781" s="1">
        <v>9.9999999999999999E+306</v>
      </c>
      <c r="CKZ1781" s="1">
        <v>9.9999999999999999E+306</v>
      </c>
      <c r="CLA1781" s="1">
        <v>9.9999999999999999E+306</v>
      </c>
      <c r="CLB1781" s="1">
        <v>9.9999999999999999E+306</v>
      </c>
      <c r="CLC1781" s="1">
        <v>9.9999999999999999E+306</v>
      </c>
      <c r="CLD1781" s="1">
        <v>9.9999999999999999E+306</v>
      </c>
      <c r="CLE1781" s="1">
        <v>9.9999999999999999E+306</v>
      </c>
      <c r="CLF1781" s="1">
        <v>9.9999999999999999E+306</v>
      </c>
      <c r="CLG1781" s="1">
        <v>9.9999999999999999E+306</v>
      </c>
      <c r="CLH1781" s="1">
        <v>9.9999999999999999E+306</v>
      </c>
      <c r="CLI1781" s="1">
        <v>9.9999999999999999E+306</v>
      </c>
      <c r="CLJ1781" s="1">
        <v>9.9999999999999999E+306</v>
      </c>
      <c r="CLK1781" s="1">
        <v>9.9999999999999999E+306</v>
      </c>
      <c r="CLL1781" s="1">
        <v>9.9999999999999999E+306</v>
      </c>
      <c r="CLM1781" s="1">
        <v>9.9999999999999999E+306</v>
      </c>
      <c r="CLN1781" s="1">
        <v>9.9999999999999999E+306</v>
      </c>
      <c r="CLO1781" s="1">
        <v>9.9999999999999999E+306</v>
      </c>
      <c r="CLP1781" s="1">
        <v>9.9999999999999999E+306</v>
      </c>
      <c r="CLQ1781" s="1">
        <v>9.9999999999999999E+306</v>
      </c>
      <c r="CLR1781" s="1">
        <v>9.9999999999999999E+306</v>
      </c>
      <c r="CLS1781" s="1">
        <v>9.9999999999999999E+306</v>
      </c>
      <c r="CLT1781" s="1">
        <v>9.9999999999999999E+306</v>
      </c>
      <c r="CLU1781" s="1">
        <v>9.9999999999999999E+306</v>
      </c>
      <c r="CLV1781" s="1">
        <v>9.9999999999999999E+306</v>
      </c>
      <c r="CLW1781" s="1">
        <v>9.9999999999999999E+306</v>
      </c>
      <c r="CLX1781" s="1">
        <v>9.9999999999999999E+306</v>
      </c>
      <c r="CLY1781" s="1">
        <v>9.9999999999999999E+306</v>
      </c>
      <c r="CLZ1781" s="1">
        <v>9.9999999999999999E+306</v>
      </c>
      <c r="CMA1781" s="1">
        <v>9.9999999999999999E+306</v>
      </c>
      <c r="CMB1781" s="1">
        <v>9.9999999999999999E+306</v>
      </c>
      <c r="CMC1781" s="1">
        <v>9.9999999999999999E+306</v>
      </c>
      <c r="CMD1781" s="1">
        <v>9.9999999999999999E+306</v>
      </c>
      <c r="CME1781" s="1">
        <v>9.9999999999999999E+306</v>
      </c>
      <c r="CMF1781" s="1">
        <v>9.9999999999999999E+306</v>
      </c>
      <c r="CMG1781" s="1">
        <v>9.9999999999999999E+306</v>
      </c>
      <c r="CMH1781" s="1">
        <v>9.9999999999999999E+306</v>
      </c>
      <c r="CMI1781" s="1">
        <v>9.9999999999999999E+306</v>
      </c>
      <c r="CMJ1781" s="1">
        <v>9.9999999999999999E+306</v>
      </c>
      <c r="CMK1781" s="1">
        <v>9.9999999999999999E+306</v>
      </c>
      <c r="CML1781" s="1">
        <v>9.9999999999999999E+306</v>
      </c>
      <c r="CMM1781" s="1">
        <v>9.9999999999999999E+306</v>
      </c>
      <c r="CMN1781" s="1">
        <v>9.9999999999999999E+306</v>
      </c>
      <c r="CMO1781" s="1">
        <v>9.9999999999999999E+306</v>
      </c>
      <c r="CMP1781" s="1">
        <v>9.9999999999999999E+306</v>
      </c>
      <c r="CMQ1781" s="1">
        <v>9.9999999999999999E+306</v>
      </c>
      <c r="CMR1781" s="1">
        <v>9.9999999999999999E+306</v>
      </c>
      <c r="CMS1781" s="1">
        <v>9.9999999999999999E+306</v>
      </c>
      <c r="CMT1781" s="1">
        <v>9.9999999999999999E+306</v>
      </c>
      <c r="CMU1781" s="1">
        <v>9.9999999999999999E+306</v>
      </c>
      <c r="CMV1781" s="1">
        <v>9.9999999999999999E+306</v>
      </c>
      <c r="CMW1781" s="1">
        <v>9.9999999999999999E+306</v>
      </c>
      <c r="CMX1781" s="1">
        <v>9.9999999999999999E+306</v>
      </c>
      <c r="CMY1781" s="1">
        <v>9.9999999999999999E+306</v>
      </c>
      <c r="CMZ1781" s="1">
        <v>9.9999999999999999E+306</v>
      </c>
      <c r="CNA1781" s="1">
        <v>9.9999999999999999E+306</v>
      </c>
      <c r="CNB1781" s="1">
        <v>9.9999999999999999E+306</v>
      </c>
      <c r="CNC1781" s="1">
        <v>9.9999999999999999E+306</v>
      </c>
      <c r="CND1781" s="1">
        <v>9.9999999999999999E+306</v>
      </c>
      <c r="CNE1781" s="1">
        <v>9.9999999999999999E+306</v>
      </c>
      <c r="CNF1781" s="1">
        <v>9.9999999999999999E+306</v>
      </c>
      <c r="CNG1781" s="1">
        <v>9.9999999999999999E+306</v>
      </c>
      <c r="CNH1781" s="1">
        <v>9.9999999999999999E+306</v>
      </c>
      <c r="CNI1781" s="1">
        <v>9.9999999999999999E+306</v>
      </c>
      <c r="CNJ1781" s="1">
        <v>9.9999999999999999E+306</v>
      </c>
      <c r="CNK1781" s="1">
        <v>9.9999999999999999E+306</v>
      </c>
      <c r="CNL1781" s="1">
        <v>9.9999999999999999E+306</v>
      </c>
      <c r="CNM1781" s="1">
        <v>9.9999999999999999E+306</v>
      </c>
      <c r="CNN1781" s="1">
        <v>9.9999999999999999E+306</v>
      </c>
      <c r="CNO1781" s="1">
        <v>9.9999999999999999E+306</v>
      </c>
      <c r="CNP1781" s="1">
        <v>9.9999999999999999E+306</v>
      </c>
      <c r="CNQ1781" s="1">
        <v>9.9999999999999999E+306</v>
      </c>
      <c r="CNR1781" s="1">
        <v>9.9999999999999999E+306</v>
      </c>
      <c r="CNS1781" s="1">
        <v>9.9999999999999999E+306</v>
      </c>
      <c r="CNT1781" s="1">
        <v>9.9999999999999999E+306</v>
      </c>
      <c r="CNU1781" s="1">
        <v>9.9999999999999999E+306</v>
      </c>
      <c r="CNV1781" s="1">
        <v>9.9999999999999999E+306</v>
      </c>
      <c r="CNW1781" s="1">
        <v>9.9999999999999999E+306</v>
      </c>
      <c r="CNX1781" s="1">
        <v>9.9999999999999999E+306</v>
      </c>
      <c r="CNY1781" s="1">
        <v>9.9999999999999999E+306</v>
      </c>
      <c r="CNZ1781" s="1">
        <v>9.9999999999999999E+306</v>
      </c>
      <c r="COA1781" s="1">
        <v>9.9999999999999999E+306</v>
      </c>
      <c r="COB1781" s="1">
        <v>9.9999999999999999E+306</v>
      </c>
      <c r="COC1781" s="1">
        <v>9.9999999999999999E+306</v>
      </c>
      <c r="COD1781" s="1">
        <v>9.9999999999999999E+306</v>
      </c>
      <c r="COE1781" s="1">
        <v>9.9999999999999999E+306</v>
      </c>
      <c r="COF1781" s="1">
        <v>9.9999999999999999E+306</v>
      </c>
      <c r="COG1781" s="1">
        <v>9.9999999999999999E+306</v>
      </c>
      <c r="COH1781" s="1">
        <v>9.9999999999999999E+306</v>
      </c>
      <c r="COI1781" s="1">
        <v>9.9999999999999999E+306</v>
      </c>
      <c r="COJ1781" s="1">
        <v>9.9999999999999999E+306</v>
      </c>
      <c r="COK1781" s="1">
        <v>9.9999999999999999E+306</v>
      </c>
      <c r="COL1781" s="1">
        <v>9.9999999999999999E+306</v>
      </c>
      <c r="COM1781" s="1">
        <v>9.9999999999999999E+306</v>
      </c>
      <c r="CON1781" s="1">
        <v>9.9999999999999999E+306</v>
      </c>
      <c r="COO1781" s="1">
        <v>9.9999999999999999E+306</v>
      </c>
      <c r="COP1781" s="1">
        <v>9.9999999999999999E+306</v>
      </c>
      <c r="COQ1781" s="1">
        <v>9.9999999999999999E+306</v>
      </c>
      <c r="COR1781" s="1">
        <v>9.9999999999999999E+306</v>
      </c>
      <c r="COS1781" s="1">
        <v>9.9999999999999999E+306</v>
      </c>
      <c r="COT1781" s="1">
        <v>9.9999999999999999E+306</v>
      </c>
      <c r="COU1781" s="1">
        <v>9.9999999999999999E+306</v>
      </c>
      <c r="COV1781" s="1">
        <v>9.9999999999999999E+306</v>
      </c>
      <c r="COW1781" s="1">
        <v>9.9999999999999999E+306</v>
      </c>
      <c r="COX1781" s="1">
        <v>9.9999999999999999E+306</v>
      </c>
      <c r="COY1781" s="1">
        <v>9.9999999999999999E+306</v>
      </c>
      <c r="COZ1781" s="1">
        <v>9.9999999999999999E+306</v>
      </c>
      <c r="CPA1781" s="1">
        <v>9.9999999999999999E+306</v>
      </c>
      <c r="CPB1781" s="1">
        <v>9.9999999999999999E+306</v>
      </c>
      <c r="CPC1781" s="1">
        <v>9.9999999999999999E+306</v>
      </c>
      <c r="CPD1781" s="1">
        <v>9.9999999999999999E+306</v>
      </c>
      <c r="CPE1781" s="1">
        <v>9.9999999999999999E+306</v>
      </c>
      <c r="CPF1781" s="1">
        <v>9.9999999999999999E+306</v>
      </c>
      <c r="CPG1781" s="1">
        <v>9.9999999999999999E+306</v>
      </c>
      <c r="CPH1781" s="1">
        <v>9.9999999999999999E+306</v>
      </c>
      <c r="CPI1781" s="1">
        <v>9.9999999999999999E+306</v>
      </c>
      <c r="CPJ1781" s="1">
        <v>9.9999999999999999E+306</v>
      </c>
      <c r="CPK1781" s="1">
        <v>9.9999999999999999E+306</v>
      </c>
      <c r="CPL1781" s="1">
        <v>9.9999999999999999E+306</v>
      </c>
      <c r="CPM1781" s="1">
        <v>9.9999999999999999E+306</v>
      </c>
      <c r="CPN1781" s="1">
        <v>9.9999999999999999E+306</v>
      </c>
      <c r="CPO1781" s="1">
        <v>9.9999999999999999E+306</v>
      </c>
      <c r="CPP1781" s="1">
        <v>9.9999999999999999E+306</v>
      </c>
      <c r="CPQ1781" s="1">
        <v>9.9999999999999999E+306</v>
      </c>
      <c r="CPR1781" s="1">
        <v>9.9999999999999999E+306</v>
      </c>
      <c r="CPS1781" s="1">
        <v>9.9999999999999999E+306</v>
      </c>
      <c r="CPT1781" s="1">
        <v>9.9999999999999999E+306</v>
      </c>
      <c r="CPU1781" s="1">
        <v>9.9999999999999999E+306</v>
      </c>
      <c r="CPV1781" s="1">
        <v>9.9999999999999999E+306</v>
      </c>
      <c r="CPW1781" s="1">
        <v>9.9999999999999999E+306</v>
      </c>
      <c r="CPX1781" s="1">
        <v>9.9999999999999999E+306</v>
      </c>
      <c r="CPY1781" s="1">
        <v>9.9999999999999999E+306</v>
      </c>
      <c r="CPZ1781" s="1">
        <v>9.9999999999999999E+306</v>
      </c>
      <c r="CQA1781" s="1">
        <v>9.9999999999999999E+306</v>
      </c>
      <c r="CQB1781" s="1">
        <v>9.9999999999999999E+306</v>
      </c>
      <c r="CQC1781" s="1">
        <v>9.9999999999999999E+306</v>
      </c>
      <c r="CQD1781" s="1">
        <v>9.9999999999999999E+306</v>
      </c>
      <c r="CQE1781" s="1">
        <v>9.9999999999999999E+306</v>
      </c>
      <c r="CQF1781" s="1">
        <v>9.9999999999999999E+306</v>
      </c>
      <c r="CQG1781" s="1">
        <v>9.9999999999999999E+306</v>
      </c>
      <c r="CQH1781" s="1">
        <v>9.9999999999999999E+306</v>
      </c>
      <c r="CQI1781" s="1">
        <v>9.9999999999999999E+306</v>
      </c>
      <c r="CQJ1781" s="1">
        <v>9.9999999999999999E+306</v>
      </c>
      <c r="CQK1781" s="1">
        <v>9.9999999999999999E+306</v>
      </c>
      <c r="CQL1781" s="1">
        <v>9.9999999999999999E+306</v>
      </c>
      <c r="CQM1781" s="1">
        <v>9.9999999999999999E+306</v>
      </c>
      <c r="CQN1781" s="1">
        <v>9.9999999999999999E+306</v>
      </c>
      <c r="CQO1781" s="1">
        <v>9.9999999999999999E+306</v>
      </c>
      <c r="CQP1781" s="1">
        <v>9.9999999999999999E+306</v>
      </c>
      <c r="CQQ1781" s="1">
        <v>9.9999999999999999E+306</v>
      </c>
      <c r="CQR1781" s="1">
        <v>9.9999999999999999E+306</v>
      </c>
      <c r="CQS1781" s="1">
        <v>9.9999999999999999E+306</v>
      </c>
      <c r="CQT1781" s="1">
        <v>9.9999999999999999E+306</v>
      </c>
      <c r="CQU1781" s="1">
        <v>9.9999999999999999E+306</v>
      </c>
      <c r="CQV1781" s="1">
        <v>9.9999999999999999E+306</v>
      </c>
      <c r="CQW1781" s="1">
        <v>9.9999999999999999E+306</v>
      </c>
      <c r="CQX1781" s="1">
        <v>9.9999999999999999E+306</v>
      </c>
      <c r="CQY1781" s="1">
        <v>9.9999999999999999E+306</v>
      </c>
      <c r="CQZ1781" s="1">
        <v>9.9999999999999999E+306</v>
      </c>
      <c r="CRA1781" s="1">
        <v>9.9999999999999999E+306</v>
      </c>
      <c r="CRB1781" s="1">
        <v>9.9999999999999999E+306</v>
      </c>
      <c r="CRC1781" s="1">
        <v>9.9999999999999999E+306</v>
      </c>
      <c r="CRD1781" s="1">
        <v>9.9999999999999999E+306</v>
      </c>
      <c r="CRE1781" s="1">
        <v>9.9999999999999999E+306</v>
      </c>
      <c r="CRF1781" s="1">
        <v>9.9999999999999999E+306</v>
      </c>
      <c r="CRG1781" s="1">
        <v>9.9999999999999999E+306</v>
      </c>
      <c r="CRH1781" s="1">
        <v>9.9999999999999999E+306</v>
      </c>
      <c r="CRI1781" s="1">
        <v>9.9999999999999999E+306</v>
      </c>
      <c r="CRJ1781" s="1">
        <v>9.9999999999999999E+306</v>
      </c>
      <c r="CRK1781" s="1">
        <v>9.9999999999999999E+306</v>
      </c>
      <c r="CRL1781" s="1">
        <v>9.9999999999999999E+306</v>
      </c>
      <c r="CRM1781" s="1">
        <v>9.9999999999999999E+306</v>
      </c>
      <c r="CRN1781" s="1">
        <v>9.9999999999999999E+306</v>
      </c>
      <c r="CRO1781" s="1">
        <v>9.9999999999999999E+306</v>
      </c>
      <c r="CRP1781" s="1">
        <v>9.9999999999999999E+306</v>
      </c>
      <c r="CRQ1781" s="1">
        <v>9.9999999999999999E+306</v>
      </c>
      <c r="CRR1781" s="1">
        <v>9.9999999999999999E+306</v>
      </c>
      <c r="CRS1781" s="1">
        <v>9.9999999999999999E+306</v>
      </c>
      <c r="CRT1781" s="1">
        <v>9.9999999999999999E+306</v>
      </c>
      <c r="CRU1781" s="1">
        <v>9.9999999999999999E+306</v>
      </c>
      <c r="CRV1781" s="1">
        <v>9.9999999999999999E+306</v>
      </c>
      <c r="CRW1781" s="1">
        <v>9.9999999999999999E+306</v>
      </c>
      <c r="CRX1781" s="1">
        <v>9.9999999999999999E+306</v>
      </c>
      <c r="CRY1781" s="1">
        <v>9.9999999999999999E+306</v>
      </c>
      <c r="CRZ1781" s="1">
        <v>9.9999999999999999E+306</v>
      </c>
      <c r="CSA1781" s="1">
        <v>9.9999999999999999E+306</v>
      </c>
      <c r="CSB1781" s="1">
        <v>9.9999999999999999E+306</v>
      </c>
      <c r="CSC1781" s="1">
        <v>9.9999999999999999E+306</v>
      </c>
      <c r="CSD1781" s="1">
        <v>9.9999999999999999E+306</v>
      </c>
      <c r="CSE1781" s="1">
        <v>9.9999999999999999E+306</v>
      </c>
      <c r="CSF1781" s="1">
        <v>9.9999999999999999E+306</v>
      </c>
      <c r="CSG1781" s="1">
        <v>9.9999999999999999E+306</v>
      </c>
      <c r="CSH1781" s="1">
        <v>9.9999999999999999E+306</v>
      </c>
      <c r="CSI1781" s="1">
        <v>9.9999999999999999E+306</v>
      </c>
      <c r="CSJ1781" s="1">
        <v>9.9999999999999999E+306</v>
      </c>
      <c r="CSK1781" s="1">
        <v>9.9999999999999999E+306</v>
      </c>
      <c r="CSL1781" s="1">
        <v>9.9999999999999999E+306</v>
      </c>
      <c r="CSM1781" s="1">
        <v>9.9999999999999999E+306</v>
      </c>
      <c r="CSN1781" s="1">
        <v>9.9999999999999999E+306</v>
      </c>
      <c r="CSO1781" s="1">
        <v>9.9999999999999999E+306</v>
      </c>
      <c r="CSP1781" s="1">
        <v>9.9999999999999999E+306</v>
      </c>
      <c r="CSQ1781" s="1">
        <v>9.9999999999999999E+306</v>
      </c>
      <c r="CSR1781" s="1">
        <v>9.9999999999999999E+306</v>
      </c>
      <c r="CSS1781" s="1">
        <v>9.9999999999999999E+306</v>
      </c>
      <c r="CST1781" s="1">
        <v>9.9999999999999999E+306</v>
      </c>
      <c r="CSU1781" s="1">
        <v>9.9999999999999999E+306</v>
      </c>
      <c r="CSV1781" s="1">
        <v>9.9999999999999999E+306</v>
      </c>
      <c r="CSW1781" s="1">
        <v>9.9999999999999999E+306</v>
      </c>
      <c r="CSX1781" s="1">
        <v>9.9999999999999999E+306</v>
      </c>
      <c r="CSY1781" s="1">
        <v>9.9999999999999999E+306</v>
      </c>
      <c r="CSZ1781" s="1">
        <v>9.9999999999999999E+306</v>
      </c>
      <c r="CTA1781" s="1">
        <v>9.9999999999999999E+306</v>
      </c>
      <c r="CTB1781" s="1">
        <v>9.9999999999999999E+306</v>
      </c>
      <c r="CTC1781" s="1">
        <v>9.9999999999999999E+306</v>
      </c>
      <c r="CTD1781" s="1">
        <v>9.9999999999999999E+306</v>
      </c>
      <c r="CTE1781" s="1">
        <v>9.9999999999999999E+306</v>
      </c>
      <c r="CTF1781" s="1">
        <v>9.9999999999999999E+306</v>
      </c>
      <c r="CTG1781" s="1">
        <v>9.9999999999999999E+306</v>
      </c>
      <c r="CTH1781" s="1">
        <v>9.9999999999999999E+306</v>
      </c>
      <c r="CTI1781" s="1">
        <v>9.9999999999999999E+306</v>
      </c>
      <c r="CTJ1781" s="1">
        <v>9.9999999999999999E+306</v>
      </c>
      <c r="CTK1781" s="1">
        <v>9.9999999999999999E+306</v>
      </c>
      <c r="CTL1781" s="1">
        <v>9.9999999999999999E+306</v>
      </c>
      <c r="CTM1781" s="1">
        <v>9.9999999999999999E+306</v>
      </c>
      <c r="CTN1781" s="1">
        <v>9.9999999999999999E+306</v>
      </c>
      <c r="CTO1781" s="1">
        <v>9.9999999999999999E+306</v>
      </c>
      <c r="CTP1781" s="1">
        <v>9.9999999999999999E+306</v>
      </c>
      <c r="CTQ1781" s="1">
        <v>9.9999999999999999E+306</v>
      </c>
      <c r="CTR1781" s="1">
        <v>9.9999999999999999E+306</v>
      </c>
      <c r="CTS1781" s="1">
        <v>9.9999999999999999E+306</v>
      </c>
      <c r="CTT1781" s="1">
        <v>9.9999999999999999E+306</v>
      </c>
      <c r="CTU1781" s="1">
        <v>9.9999999999999999E+306</v>
      </c>
      <c r="CTV1781" s="1">
        <v>9.9999999999999999E+306</v>
      </c>
      <c r="CTW1781" s="1">
        <v>9.9999999999999999E+306</v>
      </c>
      <c r="CTX1781" s="1">
        <v>9.9999999999999999E+306</v>
      </c>
      <c r="CTY1781" s="1">
        <v>9.9999999999999999E+306</v>
      </c>
      <c r="CTZ1781" s="1">
        <v>9.9999999999999999E+306</v>
      </c>
      <c r="CUA1781" s="1">
        <v>9.9999999999999999E+306</v>
      </c>
      <c r="CUB1781" s="1">
        <v>9.9999999999999999E+306</v>
      </c>
      <c r="CUC1781" s="1">
        <v>9.9999999999999999E+306</v>
      </c>
      <c r="CUD1781" s="1">
        <v>9.9999999999999999E+306</v>
      </c>
      <c r="CUE1781" s="1">
        <v>9.9999999999999999E+306</v>
      </c>
      <c r="CUF1781" s="1">
        <v>9.9999999999999999E+306</v>
      </c>
      <c r="CUG1781" s="1">
        <v>9.9999999999999999E+306</v>
      </c>
      <c r="CUH1781" s="1">
        <v>9.9999999999999999E+306</v>
      </c>
      <c r="CUI1781" s="1">
        <v>9.9999999999999999E+306</v>
      </c>
      <c r="CUJ1781" s="1">
        <v>9.9999999999999999E+306</v>
      </c>
      <c r="CUK1781" s="1">
        <v>9.9999999999999999E+306</v>
      </c>
      <c r="CUL1781" s="1">
        <v>9.9999999999999999E+306</v>
      </c>
      <c r="CUM1781" s="1">
        <v>9.9999999999999999E+306</v>
      </c>
      <c r="CUN1781" s="1">
        <v>9.9999999999999999E+306</v>
      </c>
      <c r="CUO1781" s="1">
        <v>9.9999999999999999E+306</v>
      </c>
      <c r="CUP1781" s="1">
        <v>9.9999999999999999E+306</v>
      </c>
      <c r="CUQ1781" s="1">
        <v>9.9999999999999999E+306</v>
      </c>
      <c r="CUR1781" s="1">
        <v>9.9999999999999999E+306</v>
      </c>
      <c r="CUS1781" s="1">
        <v>9.9999999999999999E+306</v>
      </c>
      <c r="CUT1781" s="1">
        <v>9.9999999999999999E+306</v>
      </c>
      <c r="CUU1781" s="1">
        <v>9.9999999999999999E+306</v>
      </c>
      <c r="CUV1781" s="1">
        <v>9.9999999999999999E+306</v>
      </c>
      <c r="CUW1781" s="1">
        <v>9.9999999999999999E+306</v>
      </c>
      <c r="CUX1781" s="1">
        <v>9.9999999999999999E+306</v>
      </c>
      <c r="CUY1781" s="1">
        <v>9.9999999999999999E+306</v>
      </c>
      <c r="CUZ1781" s="1">
        <v>9.9999999999999999E+306</v>
      </c>
      <c r="CVA1781" s="1">
        <v>9.9999999999999999E+306</v>
      </c>
      <c r="CVB1781" s="1">
        <v>9.9999999999999999E+306</v>
      </c>
      <c r="CVC1781" s="1">
        <v>9.9999999999999999E+306</v>
      </c>
      <c r="CVD1781" s="1">
        <v>9.9999999999999999E+306</v>
      </c>
      <c r="CVE1781" s="1">
        <v>9.9999999999999999E+306</v>
      </c>
      <c r="CVF1781" s="1">
        <v>9.9999999999999999E+306</v>
      </c>
      <c r="CVG1781" s="1">
        <v>9.9999999999999999E+306</v>
      </c>
      <c r="CVH1781" s="1">
        <v>9.9999999999999999E+306</v>
      </c>
      <c r="CVI1781" s="1">
        <v>9.9999999999999999E+306</v>
      </c>
      <c r="CVJ1781" s="1">
        <v>9.9999999999999999E+306</v>
      </c>
      <c r="CVK1781" s="1">
        <v>9.9999999999999999E+306</v>
      </c>
      <c r="CVL1781" s="1">
        <v>9.9999999999999999E+306</v>
      </c>
      <c r="CVM1781" s="1">
        <v>9.9999999999999999E+306</v>
      </c>
      <c r="CVN1781" s="1">
        <v>9.9999999999999999E+306</v>
      </c>
      <c r="CVO1781" s="1">
        <v>9.9999999999999999E+306</v>
      </c>
      <c r="CVP1781" s="1">
        <v>9.9999999999999999E+306</v>
      </c>
      <c r="CVQ1781" s="1">
        <v>9.9999999999999999E+306</v>
      </c>
      <c r="CVR1781" s="1">
        <v>9.9999999999999999E+306</v>
      </c>
      <c r="CVS1781" s="1">
        <v>9.9999999999999999E+306</v>
      </c>
      <c r="CVT1781" s="1">
        <v>9.9999999999999999E+306</v>
      </c>
      <c r="CVU1781" s="1">
        <v>9.9999999999999999E+306</v>
      </c>
      <c r="CVV1781" s="1">
        <v>9.9999999999999999E+306</v>
      </c>
      <c r="CVW1781" s="1">
        <v>9.9999999999999999E+306</v>
      </c>
      <c r="CVX1781" s="1">
        <v>9.9999999999999999E+306</v>
      </c>
      <c r="CVY1781" s="1">
        <v>9.9999999999999999E+306</v>
      </c>
      <c r="CVZ1781" s="1">
        <v>9.9999999999999999E+306</v>
      </c>
      <c r="CWA1781" s="1">
        <v>9.9999999999999999E+306</v>
      </c>
      <c r="CWB1781" s="1">
        <v>9.9999999999999999E+306</v>
      </c>
      <c r="CWC1781" s="1">
        <v>9.9999999999999999E+306</v>
      </c>
      <c r="CWD1781" s="1">
        <v>9.9999999999999999E+306</v>
      </c>
      <c r="CWE1781" s="1">
        <v>9.9999999999999999E+306</v>
      </c>
      <c r="CWF1781" s="1">
        <v>9.9999999999999999E+306</v>
      </c>
      <c r="CWG1781" s="1">
        <v>9.9999999999999999E+306</v>
      </c>
      <c r="CWH1781" s="1">
        <v>9.9999999999999999E+306</v>
      </c>
      <c r="CWI1781" s="1">
        <v>9.9999999999999999E+306</v>
      </c>
      <c r="CWJ1781" s="1">
        <v>9.9999999999999999E+306</v>
      </c>
      <c r="CWK1781" s="1">
        <v>9.9999999999999999E+306</v>
      </c>
      <c r="CWL1781" s="1">
        <v>9.9999999999999999E+306</v>
      </c>
      <c r="CWM1781" s="1">
        <v>9.9999999999999999E+306</v>
      </c>
      <c r="CWN1781" s="1">
        <v>9.9999999999999999E+306</v>
      </c>
      <c r="CWO1781" s="1">
        <v>9.9999999999999999E+306</v>
      </c>
      <c r="CWP1781" s="1">
        <v>9.9999999999999999E+306</v>
      </c>
      <c r="CWQ1781" s="1">
        <v>9.9999999999999999E+306</v>
      </c>
      <c r="CWR1781" s="1">
        <v>9.9999999999999999E+306</v>
      </c>
      <c r="CWS1781" s="1">
        <v>9.9999999999999999E+306</v>
      </c>
      <c r="CWT1781" s="1">
        <v>9.9999999999999999E+306</v>
      </c>
      <c r="CWU1781" s="1">
        <v>9.9999999999999999E+306</v>
      </c>
      <c r="CWV1781" s="1">
        <v>9.9999999999999999E+306</v>
      </c>
      <c r="CWW1781" s="1">
        <v>9.9999999999999999E+306</v>
      </c>
      <c r="CWX1781" s="1">
        <v>9.9999999999999999E+306</v>
      </c>
      <c r="CWY1781" s="1">
        <v>9.9999999999999999E+306</v>
      </c>
      <c r="CWZ1781" s="1">
        <v>9.9999999999999999E+306</v>
      </c>
      <c r="CXA1781" s="1">
        <v>9.9999999999999999E+306</v>
      </c>
      <c r="CXB1781" s="1">
        <v>9.9999999999999999E+306</v>
      </c>
      <c r="CXC1781" s="1">
        <v>9.9999999999999999E+306</v>
      </c>
      <c r="CXD1781" s="1">
        <v>9.9999999999999999E+306</v>
      </c>
      <c r="CXE1781" s="1">
        <v>9.9999999999999999E+306</v>
      </c>
      <c r="CXF1781" s="1">
        <v>9.9999999999999999E+306</v>
      </c>
      <c r="CXG1781" s="1">
        <v>9.9999999999999999E+306</v>
      </c>
      <c r="CXH1781" s="1">
        <v>9.9999999999999999E+306</v>
      </c>
      <c r="CXI1781" s="1">
        <v>9.9999999999999999E+306</v>
      </c>
      <c r="CXJ1781" s="1">
        <v>9.9999999999999999E+306</v>
      </c>
      <c r="CXK1781" s="1">
        <v>9.9999999999999999E+306</v>
      </c>
      <c r="CXL1781" s="1">
        <v>9.9999999999999999E+306</v>
      </c>
      <c r="CXM1781" s="1">
        <v>9.9999999999999999E+306</v>
      </c>
      <c r="CXN1781" s="1">
        <v>9.9999999999999999E+306</v>
      </c>
      <c r="CXO1781" s="1">
        <v>9.9999999999999999E+306</v>
      </c>
      <c r="CXP1781" s="1">
        <v>9.9999999999999999E+306</v>
      </c>
      <c r="CXQ1781" s="1">
        <v>9.9999999999999999E+306</v>
      </c>
      <c r="CXR1781" s="1">
        <v>9.9999999999999999E+306</v>
      </c>
      <c r="CXS1781" s="1">
        <v>9.9999999999999999E+306</v>
      </c>
      <c r="CXT1781" s="1">
        <v>9.9999999999999999E+306</v>
      </c>
      <c r="CXU1781" s="1">
        <v>9.9999999999999999E+306</v>
      </c>
      <c r="CXV1781" s="1">
        <v>9.9999999999999999E+306</v>
      </c>
      <c r="CXW1781" s="1">
        <v>9.9999999999999999E+306</v>
      </c>
      <c r="CXX1781" s="1">
        <v>9.9999999999999999E+306</v>
      </c>
      <c r="CXY1781" s="1">
        <v>9.9999999999999999E+306</v>
      </c>
      <c r="CXZ1781" s="1">
        <v>9.9999999999999999E+306</v>
      </c>
      <c r="CYA1781" s="1">
        <v>9.9999999999999999E+306</v>
      </c>
      <c r="CYB1781" s="1">
        <v>9.9999999999999999E+306</v>
      </c>
      <c r="CYC1781" s="1">
        <v>9.9999999999999999E+306</v>
      </c>
      <c r="CYD1781" s="1">
        <v>9.9999999999999999E+306</v>
      </c>
      <c r="CYE1781" s="1">
        <v>9.9999999999999999E+306</v>
      </c>
      <c r="CYF1781" s="1">
        <v>9.9999999999999999E+306</v>
      </c>
      <c r="CYG1781" s="1">
        <v>9.9999999999999999E+306</v>
      </c>
      <c r="CYH1781" s="1">
        <v>9.9999999999999999E+306</v>
      </c>
      <c r="CYI1781" s="1">
        <v>9.9999999999999999E+306</v>
      </c>
      <c r="CYJ1781" s="1">
        <v>9.9999999999999999E+306</v>
      </c>
      <c r="CYK1781" s="1">
        <v>9.9999999999999999E+306</v>
      </c>
      <c r="CYL1781" s="1">
        <v>9.9999999999999999E+306</v>
      </c>
      <c r="CYM1781" s="1">
        <v>9.9999999999999999E+306</v>
      </c>
      <c r="CYN1781" s="1">
        <v>9.9999999999999999E+306</v>
      </c>
      <c r="CYO1781" s="1">
        <v>9.9999999999999999E+306</v>
      </c>
      <c r="CYP1781" s="1">
        <v>9.9999999999999999E+306</v>
      </c>
      <c r="CYQ1781" s="1">
        <v>9.9999999999999999E+306</v>
      </c>
      <c r="CYR1781" s="1">
        <v>9.9999999999999999E+306</v>
      </c>
      <c r="CYS1781" s="1">
        <v>9.9999999999999999E+306</v>
      </c>
      <c r="CYT1781" s="1">
        <v>9.9999999999999999E+306</v>
      </c>
      <c r="CYU1781" s="1">
        <v>9.9999999999999999E+306</v>
      </c>
      <c r="CYV1781" s="1">
        <v>9.9999999999999999E+306</v>
      </c>
      <c r="CYW1781" s="1">
        <v>9.9999999999999999E+306</v>
      </c>
      <c r="CYX1781" s="1">
        <v>9.9999999999999999E+306</v>
      </c>
      <c r="CYY1781" s="1">
        <v>9.9999999999999999E+306</v>
      </c>
      <c r="CYZ1781" s="1">
        <v>9.9999999999999999E+306</v>
      </c>
      <c r="CZA1781" s="1">
        <v>9.9999999999999999E+306</v>
      </c>
      <c r="CZB1781" s="1">
        <v>9.9999999999999999E+306</v>
      </c>
      <c r="CZC1781" s="1">
        <v>9.9999999999999999E+306</v>
      </c>
      <c r="CZD1781" s="1">
        <v>9.9999999999999999E+306</v>
      </c>
      <c r="CZE1781" s="1">
        <v>9.9999999999999999E+306</v>
      </c>
      <c r="CZF1781" s="1">
        <v>9.9999999999999999E+306</v>
      </c>
      <c r="CZG1781" s="1">
        <v>9.9999999999999999E+306</v>
      </c>
      <c r="CZH1781" s="1">
        <v>9.9999999999999999E+306</v>
      </c>
      <c r="CZI1781" s="1">
        <v>9.9999999999999999E+306</v>
      </c>
      <c r="CZJ1781" s="1">
        <v>9.9999999999999999E+306</v>
      </c>
      <c r="CZK1781" s="1">
        <v>9.9999999999999999E+306</v>
      </c>
      <c r="CZL1781" s="1">
        <v>9.9999999999999999E+306</v>
      </c>
      <c r="CZM1781" s="1">
        <v>9.9999999999999999E+306</v>
      </c>
      <c r="CZN1781" s="1">
        <v>9.9999999999999999E+306</v>
      </c>
      <c r="CZO1781" s="1">
        <v>9.9999999999999999E+306</v>
      </c>
      <c r="CZP1781" s="1">
        <v>9.9999999999999999E+306</v>
      </c>
      <c r="CZQ1781" s="1">
        <v>9.9999999999999999E+306</v>
      </c>
      <c r="CZR1781" s="1">
        <v>9.9999999999999999E+306</v>
      </c>
      <c r="CZS1781" s="1">
        <v>9.9999999999999999E+306</v>
      </c>
      <c r="CZT1781" s="1">
        <v>9.9999999999999999E+306</v>
      </c>
      <c r="CZU1781" s="1">
        <v>9.9999999999999999E+306</v>
      </c>
      <c r="CZV1781" s="1">
        <v>9.9999999999999999E+306</v>
      </c>
      <c r="CZW1781" s="1">
        <v>9.9999999999999999E+306</v>
      </c>
      <c r="CZX1781" s="1">
        <v>9.9999999999999999E+306</v>
      </c>
      <c r="CZY1781" s="1">
        <v>9.9999999999999999E+306</v>
      </c>
      <c r="CZZ1781" s="1">
        <v>9.9999999999999999E+306</v>
      </c>
      <c r="DAA1781" s="1">
        <v>9.9999999999999999E+306</v>
      </c>
      <c r="DAB1781" s="1">
        <v>9.9999999999999999E+306</v>
      </c>
      <c r="DAC1781" s="1">
        <v>9.9999999999999999E+306</v>
      </c>
      <c r="DAD1781" s="1">
        <v>9.9999999999999999E+306</v>
      </c>
      <c r="DAE1781" s="1">
        <v>9.9999999999999999E+306</v>
      </c>
      <c r="DAF1781" s="1">
        <v>9.9999999999999999E+306</v>
      </c>
      <c r="DAG1781" s="1">
        <v>9.9999999999999999E+306</v>
      </c>
      <c r="DAH1781" s="1">
        <v>9.9999999999999999E+306</v>
      </c>
      <c r="DAI1781" s="1">
        <v>9.9999999999999999E+306</v>
      </c>
      <c r="DAJ1781" s="1">
        <v>9.9999999999999999E+306</v>
      </c>
      <c r="DAK1781" s="1">
        <v>9.9999999999999999E+306</v>
      </c>
      <c r="DAL1781" s="1">
        <v>9.9999999999999999E+306</v>
      </c>
      <c r="DAM1781" s="1">
        <v>9.9999999999999999E+306</v>
      </c>
      <c r="DAN1781" s="1">
        <v>9.9999999999999999E+306</v>
      </c>
      <c r="DAO1781" s="1">
        <v>9.9999999999999999E+306</v>
      </c>
      <c r="DAP1781" s="1">
        <v>9.9999999999999999E+306</v>
      </c>
      <c r="DAQ1781" s="1">
        <v>9.9999999999999999E+306</v>
      </c>
      <c r="DAR1781" s="1">
        <v>9.9999999999999999E+306</v>
      </c>
      <c r="DAS1781" s="1">
        <v>9.9999999999999999E+306</v>
      </c>
      <c r="DAT1781" s="1">
        <v>9.9999999999999999E+306</v>
      </c>
      <c r="DAU1781" s="1">
        <v>9.9999999999999999E+306</v>
      </c>
      <c r="DAV1781" s="1">
        <v>9.9999999999999999E+306</v>
      </c>
      <c r="DAW1781" s="1">
        <v>9.9999999999999999E+306</v>
      </c>
      <c r="DAX1781" s="1">
        <v>9.9999999999999999E+306</v>
      </c>
      <c r="DAY1781" s="1">
        <v>9.9999999999999999E+306</v>
      </c>
      <c r="DAZ1781" s="1">
        <v>9.9999999999999999E+306</v>
      </c>
      <c r="DBA1781" s="1">
        <v>9.9999999999999999E+306</v>
      </c>
      <c r="DBB1781" s="1">
        <v>9.9999999999999999E+306</v>
      </c>
      <c r="DBC1781" s="1">
        <v>9.9999999999999999E+306</v>
      </c>
      <c r="DBD1781" s="1">
        <v>9.9999999999999999E+306</v>
      </c>
      <c r="DBE1781" s="1">
        <v>9.9999999999999999E+306</v>
      </c>
      <c r="DBF1781" s="1">
        <v>9.9999999999999999E+306</v>
      </c>
      <c r="DBG1781" s="1">
        <v>9.9999999999999999E+306</v>
      </c>
      <c r="DBH1781" s="1">
        <v>9.9999999999999999E+306</v>
      </c>
      <c r="DBI1781" s="1">
        <v>9.9999999999999999E+306</v>
      </c>
      <c r="DBJ1781" s="1">
        <v>9.9999999999999999E+306</v>
      </c>
      <c r="DBK1781" s="1">
        <v>9.9999999999999999E+306</v>
      </c>
      <c r="DBL1781" s="1">
        <v>9.9999999999999999E+306</v>
      </c>
      <c r="DBM1781" s="1">
        <v>9.9999999999999999E+306</v>
      </c>
      <c r="DBN1781" s="1">
        <v>9.9999999999999999E+306</v>
      </c>
      <c r="DBO1781" s="1">
        <v>9.9999999999999999E+306</v>
      </c>
      <c r="DBP1781" s="1">
        <v>9.9999999999999999E+306</v>
      </c>
      <c r="DBQ1781" s="1">
        <v>9.9999999999999999E+306</v>
      </c>
      <c r="DBR1781" s="1">
        <v>9.9999999999999999E+306</v>
      </c>
      <c r="DBS1781" s="1">
        <v>9.9999999999999999E+306</v>
      </c>
      <c r="DBT1781" s="1">
        <v>9.9999999999999999E+306</v>
      </c>
      <c r="DBU1781" s="1">
        <v>9.9999999999999999E+306</v>
      </c>
      <c r="DBV1781" s="1">
        <v>9.9999999999999999E+306</v>
      </c>
      <c r="DBW1781" s="1">
        <v>9.9999999999999999E+306</v>
      </c>
      <c r="DBX1781" s="1">
        <v>9.9999999999999999E+306</v>
      </c>
      <c r="DBY1781" s="1">
        <v>9.9999999999999999E+306</v>
      </c>
      <c r="DBZ1781" s="1">
        <v>9.9999999999999999E+306</v>
      </c>
      <c r="DCA1781" s="1">
        <v>9.9999999999999999E+306</v>
      </c>
      <c r="DCB1781" s="1">
        <v>9.9999999999999999E+306</v>
      </c>
      <c r="DCC1781" s="1">
        <v>9.9999999999999999E+306</v>
      </c>
      <c r="DCD1781" s="1">
        <v>9.9999999999999999E+306</v>
      </c>
      <c r="DCE1781" s="1">
        <v>9.9999999999999999E+306</v>
      </c>
      <c r="DCF1781" s="1">
        <v>9.9999999999999999E+306</v>
      </c>
      <c r="DCG1781" s="1">
        <v>9.9999999999999999E+306</v>
      </c>
      <c r="DCH1781" s="1">
        <v>9.9999999999999999E+306</v>
      </c>
      <c r="DCI1781" s="1">
        <v>9.9999999999999999E+306</v>
      </c>
      <c r="DCJ1781" s="1">
        <v>9.9999999999999999E+306</v>
      </c>
      <c r="DCK1781" s="1">
        <v>9.9999999999999999E+306</v>
      </c>
      <c r="DCL1781" s="1">
        <v>9.9999999999999999E+306</v>
      </c>
      <c r="DCM1781" s="1">
        <v>9.9999999999999999E+306</v>
      </c>
      <c r="DCN1781" s="1">
        <v>9.9999999999999999E+306</v>
      </c>
      <c r="DCO1781" s="1">
        <v>9.9999999999999999E+306</v>
      </c>
      <c r="DCP1781" s="1">
        <v>9.9999999999999999E+306</v>
      </c>
      <c r="DCQ1781" s="1">
        <v>9.9999999999999999E+306</v>
      </c>
      <c r="DCR1781" s="1">
        <v>9.9999999999999999E+306</v>
      </c>
      <c r="DCS1781" s="1">
        <v>9.9999999999999999E+306</v>
      </c>
      <c r="DCT1781" s="1">
        <v>9.9999999999999999E+306</v>
      </c>
      <c r="DCU1781" s="1">
        <v>9.9999999999999999E+306</v>
      </c>
      <c r="DCV1781" s="1">
        <v>9.9999999999999999E+306</v>
      </c>
      <c r="DCW1781" s="1">
        <v>9.9999999999999999E+306</v>
      </c>
      <c r="DCX1781" s="1">
        <v>9.9999999999999999E+306</v>
      </c>
      <c r="DCY1781" s="1">
        <v>9.9999999999999999E+306</v>
      </c>
      <c r="DCZ1781" s="1">
        <v>9.9999999999999999E+306</v>
      </c>
      <c r="DDA1781" s="1">
        <v>9.9999999999999999E+306</v>
      </c>
      <c r="DDB1781" s="1">
        <v>9.9999999999999999E+306</v>
      </c>
      <c r="DDC1781" s="1">
        <v>9.9999999999999999E+306</v>
      </c>
      <c r="DDD1781" s="1">
        <v>9.9999999999999999E+306</v>
      </c>
      <c r="DDE1781" s="1">
        <v>9.9999999999999999E+306</v>
      </c>
      <c r="DDF1781" s="1">
        <v>9.9999999999999999E+306</v>
      </c>
      <c r="DDG1781" s="1">
        <v>9.9999999999999999E+306</v>
      </c>
      <c r="DDH1781" s="1">
        <v>9.9999999999999999E+306</v>
      </c>
      <c r="DDI1781" s="1">
        <v>9.9999999999999999E+306</v>
      </c>
      <c r="DDJ1781" s="1">
        <v>9.9999999999999999E+306</v>
      </c>
      <c r="DDK1781" s="1">
        <v>9.9999999999999999E+306</v>
      </c>
      <c r="DDL1781" s="1">
        <v>9.9999999999999999E+306</v>
      </c>
      <c r="DDM1781" s="1">
        <v>9.9999999999999999E+306</v>
      </c>
      <c r="DDN1781" s="1">
        <v>9.9999999999999999E+306</v>
      </c>
      <c r="DDO1781" s="1">
        <v>9.9999999999999999E+306</v>
      </c>
      <c r="DDP1781" s="1">
        <v>9.9999999999999999E+306</v>
      </c>
      <c r="DDQ1781" s="1">
        <v>9.9999999999999999E+306</v>
      </c>
      <c r="DDR1781" s="1">
        <v>9.9999999999999999E+306</v>
      </c>
      <c r="DDS1781" s="1">
        <v>9.9999999999999999E+306</v>
      </c>
      <c r="DDT1781" s="1">
        <v>9.9999999999999999E+306</v>
      </c>
      <c r="DDU1781" s="1">
        <v>9.9999999999999999E+306</v>
      </c>
      <c r="DDV1781" s="1">
        <v>9.9999999999999999E+306</v>
      </c>
      <c r="DDW1781" s="1">
        <v>9.9999999999999999E+306</v>
      </c>
      <c r="DDX1781" s="1">
        <v>9.9999999999999999E+306</v>
      </c>
      <c r="DDY1781" s="1">
        <v>9.9999999999999999E+306</v>
      </c>
      <c r="DDZ1781" s="1">
        <v>9.9999999999999999E+306</v>
      </c>
      <c r="DEA1781" s="1">
        <v>9.9999999999999999E+306</v>
      </c>
      <c r="DEB1781" s="1">
        <v>9.9999999999999999E+306</v>
      </c>
      <c r="DEC1781" s="1">
        <v>9.9999999999999999E+306</v>
      </c>
      <c r="DED1781" s="1">
        <v>9.9999999999999999E+306</v>
      </c>
      <c r="DEE1781" s="1">
        <v>9.9999999999999999E+306</v>
      </c>
      <c r="DEF1781" s="1">
        <v>9.9999999999999999E+306</v>
      </c>
      <c r="DEG1781" s="1">
        <v>9.9999999999999999E+306</v>
      </c>
      <c r="DEH1781" s="1">
        <v>9.9999999999999999E+306</v>
      </c>
      <c r="DEI1781" s="1">
        <v>9.9999999999999999E+306</v>
      </c>
      <c r="DEJ1781" s="1">
        <v>9.9999999999999999E+306</v>
      </c>
      <c r="DEK1781" s="1">
        <v>9.9999999999999999E+306</v>
      </c>
      <c r="DEL1781" s="1">
        <v>9.9999999999999999E+306</v>
      </c>
      <c r="DEM1781" s="1">
        <v>9.9999999999999999E+306</v>
      </c>
      <c r="DEN1781" s="1">
        <v>9.9999999999999999E+306</v>
      </c>
      <c r="DEO1781" s="1">
        <v>9.9999999999999999E+306</v>
      </c>
      <c r="DEP1781" s="1">
        <v>9.9999999999999999E+306</v>
      </c>
      <c r="DEQ1781" s="1">
        <v>9.9999999999999999E+306</v>
      </c>
      <c r="DER1781" s="1">
        <v>9.9999999999999999E+306</v>
      </c>
      <c r="DES1781" s="1">
        <v>9.9999999999999999E+306</v>
      </c>
      <c r="DET1781" s="1">
        <v>9.9999999999999999E+306</v>
      </c>
      <c r="DEU1781" s="1">
        <v>9.9999999999999999E+306</v>
      </c>
      <c r="DEV1781" s="1">
        <v>9.9999999999999999E+306</v>
      </c>
      <c r="DEW1781" s="1">
        <v>9.9999999999999999E+306</v>
      </c>
      <c r="DEX1781" s="1">
        <v>9.9999999999999999E+306</v>
      </c>
      <c r="DEY1781" s="1">
        <v>9.9999999999999999E+306</v>
      </c>
      <c r="DEZ1781" s="1">
        <v>9.9999999999999999E+306</v>
      </c>
      <c r="DFA1781" s="1">
        <v>9.9999999999999999E+306</v>
      </c>
      <c r="DFB1781" s="1">
        <v>9.9999999999999999E+306</v>
      </c>
      <c r="DFC1781" s="1">
        <v>9.9999999999999999E+306</v>
      </c>
      <c r="DFD1781" s="1">
        <v>9.9999999999999999E+306</v>
      </c>
      <c r="DFE1781" s="1">
        <v>9.9999999999999999E+306</v>
      </c>
      <c r="DFF1781" s="1">
        <v>9.9999999999999999E+306</v>
      </c>
      <c r="DFG1781" s="1">
        <v>9.9999999999999999E+306</v>
      </c>
      <c r="DFH1781" s="1">
        <v>9.9999999999999999E+306</v>
      </c>
      <c r="DFI1781" s="1">
        <v>9.9999999999999999E+306</v>
      </c>
      <c r="DFJ1781" s="1">
        <v>9.9999999999999999E+306</v>
      </c>
      <c r="DFK1781" s="1">
        <v>9.9999999999999999E+306</v>
      </c>
      <c r="DFL1781" s="1">
        <v>9.9999999999999999E+306</v>
      </c>
      <c r="DFM1781" s="1">
        <v>9.9999999999999999E+306</v>
      </c>
      <c r="DFN1781" s="1">
        <v>9.9999999999999999E+306</v>
      </c>
      <c r="DFO1781" s="1">
        <v>9.9999999999999999E+306</v>
      </c>
      <c r="DFP1781" s="1">
        <v>9.9999999999999999E+306</v>
      </c>
      <c r="DFQ1781" s="1">
        <v>9.9999999999999999E+306</v>
      </c>
      <c r="DFR1781" s="1">
        <v>9.9999999999999999E+306</v>
      </c>
      <c r="DFS1781" s="1">
        <v>9.9999999999999999E+306</v>
      </c>
      <c r="DFT1781" s="1">
        <v>9.9999999999999999E+306</v>
      </c>
      <c r="DFU1781" s="1">
        <v>9.9999999999999999E+306</v>
      </c>
      <c r="DFV1781" s="1">
        <v>9.9999999999999999E+306</v>
      </c>
      <c r="DFW1781" s="1">
        <v>9.9999999999999999E+306</v>
      </c>
      <c r="DFX1781" s="1">
        <v>9.9999999999999999E+306</v>
      </c>
      <c r="DFY1781" s="1">
        <v>9.9999999999999999E+306</v>
      </c>
      <c r="DFZ1781" s="1">
        <v>9.9999999999999999E+306</v>
      </c>
      <c r="DGA1781" s="1">
        <v>9.9999999999999999E+306</v>
      </c>
      <c r="DGB1781" s="1">
        <v>9.9999999999999999E+306</v>
      </c>
      <c r="DGC1781" s="1">
        <v>9.9999999999999999E+306</v>
      </c>
      <c r="DGD1781" s="1">
        <v>9.9999999999999999E+306</v>
      </c>
      <c r="DGE1781" s="1">
        <v>9.9999999999999999E+306</v>
      </c>
      <c r="DGF1781" s="1">
        <v>9.9999999999999999E+306</v>
      </c>
      <c r="DGG1781" s="1">
        <v>9.9999999999999999E+306</v>
      </c>
      <c r="DGH1781" s="1">
        <v>9.9999999999999999E+306</v>
      </c>
      <c r="DGI1781" s="1">
        <v>9.9999999999999999E+306</v>
      </c>
      <c r="DGJ1781" s="1">
        <v>9.9999999999999999E+306</v>
      </c>
      <c r="DGK1781" s="1">
        <v>9.9999999999999999E+306</v>
      </c>
      <c r="DGL1781" s="1">
        <v>9.9999999999999999E+306</v>
      </c>
      <c r="DGM1781" s="1">
        <v>9.9999999999999999E+306</v>
      </c>
      <c r="DGN1781" s="1">
        <v>9.9999999999999999E+306</v>
      </c>
      <c r="DGO1781" s="1">
        <v>9.9999999999999999E+306</v>
      </c>
      <c r="DGP1781" s="1">
        <v>9.9999999999999999E+306</v>
      </c>
      <c r="DGQ1781" s="1">
        <v>9.9999999999999999E+306</v>
      </c>
      <c r="DGR1781" s="1">
        <v>9.9999999999999999E+306</v>
      </c>
      <c r="DGS1781" s="1">
        <v>9.9999999999999999E+306</v>
      </c>
      <c r="DGT1781" s="1">
        <v>9.9999999999999999E+306</v>
      </c>
      <c r="DGU1781" s="1">
        <v>9.9999999999999999E+306</v>
      </c>
      <c r="DGV1781" s="1">
        <v>9.9999999999999999E+306</v>
      </c>
      <c r="DGW1781" s="1">
        <v>9.9999999999999999E+306</v>
      </c>
      <c r="DGX1781" s="1">
        <v>9.9999999999999999E+306</v>
      </c>
      <c r="DGY1781" s="1">
        <v>9.9999999999999999E+306</v>
      </c>
      <c r="DGZ1781" s="1">
        <v>9.9999999999999999E+306</v>
      </c>
      <c r="DHA1781" s="1">
        <v>9.9999999999999999E+306</v>
      </c>
      <c r="DHB1781" s="1">
        <v>9.9999999999999999E+306</v>
      </c>
      <c r="DHC1781" s="1">
        <v>9.9999999999999999E+306</v>
      </c>
      <c r="DHD1781" s="1">
        <v>9.9999999999999999E+306</v>
      </c>
      <c r="DHE1781" s="1">
        <v>9.9999999999999999E+306</v>
      </c>
      <c r="DHF1781" s="1">
        <v>9.9999999999999999E+306</v>
      </c>
      <c r="DHG1781" s="1">
        <v>9.9999999999999999E+306</v>
      </c>
      <c r="DHH1781" s="1">
        <v>9.9999999999999999E+306</v>
      </c>
      <c r="DHI1781" s="1">
        <v>9.9999999999999999E+306</v>
      </c>
      <c r="DHJ1781" s="1">
        <v>9.9999999999999999E+306</v>
      </c>
      <c r="DHK1781" s="1">
        <v>9.9999999999999999E+306</v>
      </c>
      <c r="DHL1781" s="1">
        <v>9.9999999999999999E+306</v>
      </c>
      <c r="DHM1781" s="1">
        <v>9.9999999999999999E+306</v>
      </c>
      <c r="DHN1781" s="1">
        <v>9.9999999999999999E+306</v>
      </c>
      <c r="DHO1781" s="1">
        <v>9.9999999999999999E+306</v>
      </c>
      <c r="DHP1781" s="1">
        <v>9.9999999999999999E+306</v>
      </c>
      <c r="DHQ1781" s="1">
        <v>9.9999999999999999E+306</v>
      </c>
      <c r="DHR1781" s="1">
        <v>9.9999999999999999E+306</v>
      </c>
      <c r="DHS1781" s="1">
        <v>9.9999999999999999E+306</v>
      </c>
      <c r="DHT1781" s="1">
        <v>9.9999999999999999E+306</v>
      </c>
      <c r="DHU1781" s="1">
        <v>9.9999999999999999E+306</v>
      </c>
      <c r="DHV1781" s="1">
        <v>9.9999999999999999E+306</v>
      </c>
      <c r="DHW1781" s="1">
        <v>9.9999999999999999E+306</v>
      </c>
      <c r="DHX1781" s="1">
        <v>9.9999999999999999E+306</v>
      </c>
      <c r="DHY1781" s="1">
        <v>9.9999999999999999E+306</v>
      </c>
      <c r="DHZ1781" s="1">
        <v>9.9999999999999999E+306</v>
      </c>
      <c r="DIA1781" s="1">
        <v>9.9999999999999999E+306</v>
      </c>
      <c r="DIB1781" s="1">
        <v>9.9999999999999999E+306</v>
      </c>
      <c r="DIC1781" s="1">
        <v>9.9999999999999999E+306</v>
      </c>
      <c r="DID1781" s="1">
        <v>9.9999999999999999E+306</v>
      </c>
      <c r="DIE1781" s="1">
        <v>9.9999999999999999E+306</v>
      </c>
      <c r="DIF1781" s="1">
        <v>9.9999999999999999E+306</v>
      </c>
      <c r="DIG1781" s="1">
        <v>9.9999999999999999E+306</v>
      </c>
      <c r="DIH1781" s="1">
        <v>9.9999999999999999E+306</v>
      </c>
      <c r="DII1781" s="1">
        <v>9.9999999999999999E+306</v>
      </c>
      <c r="DIJ1781" s="1">
        <v>9.9999999999999999E+306</v>
      </c>
      <c r="DIK1781" s="1">
        <v>9.9999999999999999E+306</v>
      </c>
      <c r="DIL1781" s="1">
        <v>9.9999999999999999E+306</v>
      </c>
      <c r="DIM1781" s="1">
        <v>9.9999999999999999E+306</v>
      </c>
      <c r="DIN1781" s="1">
        <v>9.9999999999999999E+306</v>
      </c>
      <c r="DIO1781" s="1">
        <v>9.9999999999999999E+306</v>
      </c>
      <c r="DIP1781" s="1">
        <v>9.9999999999999999E+306</v>
      </c>
      <c r="DIQ1781" s="1">
        <v>9.9999999999999999E+306</v>
      </c>
      <c r="DIR1781" s="1">
        <v>9.9999999999999999E+306</v>
      </c>
      <c r="DIS1781" s="1">
        <v>9.9999999999999999E+306</v>
      </c>
      <c r="DIT1781" s="1">
        <v>9.9999999999999999E+306</v>
      </c>
      <c r="DIU1781" s="1">
        <v>9.9999999999999999E+306</v>
      </c>
      <c r="DIV1781" s="1">
        <v>9.9999999999999999E+306</v>
      </c>
      <c r="DIW1781" s="1">
        <v>9.9999999999999999E+306</v>
      </c>
      <c r="DIX1781" s="1">
        <v>9.9999999999999999E+306</v>
      </c>
      <c r="DIY1781" s="1">
        <v>9.9999999999999999E+306</v>
      </c>
      <c r="DIZ1781" s="1">
        <v>9.9999999999999999E+306</v>
      </c>
      <c r="DJA1781" s="1">
        <v>9.9999999999999999E+306</v>
      </c>
      <c r="DJB1781" s="1">
        <v>9.9999999999999999E+306</v>
      </c>
      <c r="DJC1781" s="1">
        <v>9.9999999999999999E+306</v>
      </c>
      <c r="DJD1781" s="1">
        <v>9.9999999999999999E+306</v>
      </c>
      <c r="DJE1781" s="1">
        <v>9.9999999999999999E+306</v>
      </c>
      <c r="DJF1781" s="1">
        <v>9.9999999999999999E+306</v>
      </c>
      <c r="DJG1781" s="1">
        <v>9.9999999999999999E+306</v>
      </c>
      <c r="DJH1781" s="1">
        <v>9.9999999999999999E+306</v>
      </c>
      <c r="DJI1781" s="1">
        <v>9.9999999999999999E+306</v>
      </c>
      <c r="DJJ1781" s="1">
        <v>9.9999999999999999E+306</v>
      </c>
      <c r="DJK1781" s="1">
        <v>9.9999999999999999E+306</v>
      </c>
      <c r="DJL1781" s="1">
        <v>9.9999999999999999E+306</v>
      </c>
      <c r="DJM1781" s="1">
        <v>9.9999999999999999E+306</v>
      </c>
      <c r="DJN1781" s="1">
        <v>9.9999999999999999E+306</v>
      </c>
      <c r="DJO1781" s="1">
        <v>9.9999999999999999E+306</v>
      </c>
      <c r="DJP1781" s="1">
        <v>9.9999999999999999E+306</v>
      </c>
      <c r="DJQ1781" s="1">
        <v>9.9999999999999999E+306</v>
      </c>
      <c r="DJR1781" s="1">
        <v>9.9999999999999999E+306</v>
      </c>
      <c r="DJS1781" s="1">
        <v>9.9999999999999999E+306</v>
      </c>
      <c r="DJT1781" s="1">
        <v>9.9999999999999999E+306</v>
      </c>
      <c r="DJU1781" s="1">
        <v>9.9999999999999999E+306</v>
      </c>
      <c r="DJV1781" s="1">
        <v>9.9999999999999999E+306</v>
      </c>
      <c r="DJW1781" s="1">
        <v>9.9999999999999999E+306</v>
      </c>
      <c r="DJX1781" s="1">
        <v>9.9999999999999999E+306</v>
      </c>
      <c r="DJY1781" s="1">
        <v>9.9999999999999999E+306</v>
      </c>
      <c r="DJZ1781" s="1">
        <v>9.9999999999999999E+306</v>
      </c>
      <c r="DKA1781" s="1">
        <v>9.9999999999999999E+306</v>
      </c>
      <c r="DKB1781" s="1">
        <v>9.9999999999999999E+306</v>
      </c>
      <c r="DKC1781" s="1">
        <v>9.9999999999999999E+306</v>
      </c>
      <c r="DKD1781" s="1">
        <v>9.9999999999999999E+306</v>
      </c>
      <c r="DKE1781" s="1">
        <v>9.9999999999999999E+306</v>
      </c>
      <c r="DKF1781" s="1">
        <v>9.9999999999999999E+306</v>
      </c>
      <c r="DKG1781" s="1">
        <v>9.9999999999999999E+306</v>
      </c>
      <c r="DKH1781" s="1">
        <v>9.9999999999999999E+306</v>
      </c>
      <c r="DKI1781" s="1">
        <v>9.9999999999999999E+306</v>
      </c>
      <c r="DKJ1781" s="1">
        <v>9.9999999999999999E+306</v>
      </c>
      <c r="DKK1781" s="1">
        <v>9.9999999999999999E+306</v>
      </c>
      <c r="DKL1781" s="1">
        <v>9.9999999999999999E+306</v>
      </c>
      <c r="DKM1781" s="1">
        <v>9.9999999999999999E+306</v>
      </c>
      <c r="DKN1781" s="1">
        <v>9.9999999999999999E+306</v>
      </c>
      <c r="DKO1781" s="1">
        <v>9.9999999999999999E+306</v>
      </c>
      <c r="DKP1781" s="1">
        <v>9.9999999999999999E+306</v>
      </c>
      <c r="DKQ1781" s="1">
        <v>9.9999999999999999E+306</v>
      </c>
      <c r="DKR1781" s="1">
        <v>9.9999999999999999E+306</v>
      </c>
      <c r="DKS1781" s="1">
        <v>9.9999999999999999E+306</v>
      </c>
      <c r="DKT1781" s="1">
        <v>9.9999999999999999E+306</v>
      </c>
      <c r="DKU1781" s="1">
        <v>9.9999999999999999E+306</v>
      </c>
      <c r="DKV1781" s="1">
        <v>9.9999999999999999E+306</v>
      </c>
      <c r="DKW1781" s="1">
        <v>9.9999999999999999E+306</v>
      </c>
      <c r="DKX1781" s="1">
        <v>9.9999999999999999E+306</v>
      </c>
      <c r="DKY1781" s="1">
        <v>9.9999999999999999E+306</v>
      </c>
      <c r="DKZ1781" s="1">
        <v>9.9999999999999999E+306</v>
      </c>
      <c r="DLA1781" s="1">
        <v>9.9999999999999999E+306</v>
      </c>
      <c r="DLB1781" s="1">
        <v>9.9999999999999999E+306</v>
      </c>
      <c r="DLC1781" s="1">
        <v>9.9999999999999999E+306</v>
      </c>
      <c r="DLD1781" s="1">
        <v>9.9999999999999999E+306</v>
      </c>
      <c r="DLE1781" s="1">
        <v>9.9999999999999999E+306</v>
      </c>
      <c r="DLF1781" s="1">
        <v>9.9999999999999999E+306</v>
      </c>
      <c r="DLG1781" s="1">
        <v>9.9999999999999999E+306</v>
      </c>
      <c r="DLH1781" s="1">
        <v>9.9999999999999999E+306</v>
      </c>
      <c r="DLI1781" s="1">
        <v>9.9999999999999999E+306</v>
      </c>
      <c r="DLJ1781" s="1">
        <v>9.9999999999999999E+306</v>
      </c>
      <c r="DLK1781" s="1">
        <v>9.9999999999999999E+306</v>
      </c>
      <c r="DLL1781" s="1">
        <v>9.9999999999999999E+306</v>
      </c>
      <c r="DLM1781" s="1">
        <v>9.9999999999999999E+306</v>
      </c>
      <c r="DLN1781" s="1">
        <v>9.9999999999999999E+306</v>
      </c>
      <c r="DLO1781" s="1">
        <v>9.9999999999999999E+306</v>
      </c>
      <c r="DLP1781" s="1">
        <v>9.9999999999999999E+306</v>
      </c>
      <c r="DLQ1781" s="1">
        <v>9.9999999999999999E+306</v>
      </c>
      <c r="DLR1781" s="1">
        <v>9.9999999999999999E+306</v>
      </c>
      <c r="DLS1781" s="1">
        <v>9.9999999999999999E+306</v>
      </c>
      <c r="DLT1781" s="1">
        <v>9.9999999999999999E+306</v>
      </c>
      <c r="DLU1781" s="1">
        <v>9.9999999999999999E+306</v>
      </c>
      <c r="DLV1781" s="1">
        <v>9.9999999999999999E+306</v>
      </c>
      <c r="DLW1781" s="1">
        <v>9.9999999999999999E+306</v>
      </c>
      <c r="DLX1781" s="1">
        <v>9.9999999999999999E+306</v>
      </c>
      <c r="DLY1781" s="1">
        <v>9.9999999999999999E+306</v>
      </c>
      <c r="DLZ1781" s="1">
        <v>9.9999999999999999E+306</v>
      </c>
      <c r="DMA1781" s="1">
        <v>9.9999999999999999E+306</v>
      </c>
      <c r="DMB1781" s="1">
        <v>9.9999999999999999E+306</v>
      </c>
      <c r="DMC1781" s="1">
        <v>9.9999999999999999E+306</v>
      </c>
      <c r="DMD1781" s="1">
        <v>9.9999999999999999E+306</v>
      </c>
      <c r="DME1781" s="1">
        <v>9.9999999999999999E+306</v>
      </c>
      <c r="DMF1781" s="1">
        <v>9.9999999999999999E+306</v>
      </c>
      <c r="DMG1781" s="1">
        <v>9.9999999999999999E+306</v>
      </c>
      <c r="DMH1781" s="1">
        <v>9.9999999999999999E+306</v>
      </c>
      <c r="DMI1781" s="1">
        <v>9.9999999999999999E+306</v>
      </c>
      <c r="DMJ1781" s="1">
        <v>9.9999999999999999E+306</v>
      </c>
      <c r="DMK1781" s="1">
        <v>9.9999999999999999E+306</v>
      </c>
      <c r="DML1781" s="1">
        <v>9.9999999999999999E+306</v>
      </c>
      <c r="DMM1781" s="1">
        <v>9.9999999999999999E+306</v>
      </c>
      <c r="DMN1781" s="1">
        <v>9.9999999999999999E+306</v>
      </c>
      <c r="DMO1781" s="1">
        <v>9.9999999999999999E+306</v>
      </c>
      <c r="DMP1781" s="1">
        <v>9.9999999999999999E+306</v>
      </c>
      <c r="DMQ1781" s="1">
        <v>9.9999999999999999E+306</v>
      </c>
      <c r="DMR1781" s="1">
        <v>9.9999999999999999E+306</v>
      </c>
      <c r="DMS1781" s="1">
        <v>9.9999999999999999E+306</v>
      </c>
      <c r="DMT1781" s="1">
        <v>9.9999999999999999E+306</v>
      </c>
      <c r="DMU1781" s="1">
        <v>9.9999999999999999E+306</v>
      </c>
      <c r="DMV1781" s="1">
        <v>9.9999999999999999E+306</v>
      </c>
      <c r="DMW1781" s="1">
        <v>9.9999999999999999E+306</v>
      </c>
      <c r="DMX1781" s="1">
        <v>9.9999999999999999E+306</v>
      </c>
      <c r="DMY1781" s="1">
        <v>9.9999999999999999E+306</v>
      </c>
      <c r="DMZ1781" s="1">
        <v>9.9999999999999999E+306</v>
      </c>
      <c r="DNA1781" s="1">
        <v>9.9999999999999999E+306</v>
      </c>
      <c r="DNB1781" s="1">
        <v>9.9999999999999999E+306</v>
      </c>
      <c r="DNC1781" s="1">
        <v>9.9999999999999999E+306</v>
      </c>
      <c r="DND1781" s="1">
        <v>9.9999999999999999E+306</v>
      </c>
      <c r="DNE1781" s="1">
        <v>9.9999999999999999E+306</v>
      </c>
      <c r="DNF1781" s="1">
        <v>9.9999999999999999E+306</v>
      </c>
      <c r="DNG1781" s="1">
        <v>9.9999999999999999E+306</v>
      </c>
      <c r="DNH1781" s="1">
        <v>9.9999999999999999E+306</v>
      </c>
      <c r="DNI1781" s="1">
        <v>9.9999999999999999E+306</v>
      </c>
      <c r="DNJ1781" s="1">
        <v>9.9999999999999999E+306</v>
      </c>
      <c r="DNK1781" s="1">
        <v>9.9999999999999999E+306</v>
      </c>
      <c r="DNL1781" s="1">
        <v>9.9999999999999999E+306</v>
      </c>
      <c r="DNM1781" s="1">
        <v>9.9999999999999999E+306</v>
      </c>
      <c r="DNN1781" s="1">
        <v>9.9999999999999999E+306</v>
      </c>
      <c r="DNO1781" s="1">
        <v>9.9999999999999999E+306</v>
      </c>
      <c r="DNP1781" s="1">
        <v>9.9999999999999999E+306</v>
      </c>
      <c r="DNQ1781" s="1">
        <v>9.9999999999999999E+306</v>
      </c>
      <c r="DNR1781" s="1">
        <v>9.9999999999999999E+306</v>
      </c>
      <c r="DNS1781" s="1">
        <v>9.9999999999999999E+306</v>
      </c>
      <c r="DNT1781" s="1">
        <v>9.9999999999999999E+306</v>
      </c>
      <c r="DNU1781" s="1">
        <v>9.9999999999999999E+306</v>
      </c>
      <c r="DNV1781" s="1">
        <v>9.9999999999999999E+306</v>
      </c>
      <c r="DNW1781" s="1">
        <v>9.9999999999999999E+306</v>
      </c>
      <c r="DNX1781" s="1">
        <v>9.9999999999999999E+306</v>
      </c>
      <c r="DNY1781" s="1">
        <v>9.9999999999999999E+306</v>
      </c>
      <c r="DNZ1781" s="1">
        <v>9.9999999999999999E+306</v>
      </c>
      <c r="DOA1781" s="1">
        <v>9.9999999999999999E+306</v>
      </c>
      <c r="DOB1781" s="1">
        <v>9.9999999999999999E+306</v>
      </c>
      <c r="DOC1781" s="1">
        <v>9.9999999999999999E+306</v>
      </c>
      <c r="DOD1781" s="1">
        <v>9.9999999999999999E+306</v>
      </c>
      <c r="DOE1781" s="1">
        <v>9.9999999999999999E+306</v>
      </c>
      <c r="DOF1781" s="1">
        <v>9.9999999999999999E+306</v>
      </c>
      <c r="DOG1781" s="1">
        <v>9.9999999999999999E+306</v>
      </c>
      <c r="DOH1781" s="1">
        <v>9.9999999999999999E+306</v>
      </c>
      <c r="DOI1781" s="1">
        <v>9.9999999999999999E+306</v>
      </c>
      <c r="DOJ1781" s="1">
        <v>9.9999999999999999E+306</v>
      </c>
      <c r="DOK1781" s="1">
        <v>9.9999999999999999E+306</v>
      </c>
      <c r="DOL1781" s="1">
        <v>9.9999999999999999E+306</v>
      </c>
      <c r="DOM1781" s="1">
        <v>9.9999999999999999E+306</v>
      </c>
      <c r="DON1781" s="1">
        <v>9.9999999999999999E+306</v>
      </c>
      <c r="DOO1781" s="1">
        <v>9.9999999999999999E+306</v>
      </c>
      <c r="DOP1781" s="1">
        <v>9.9999999999999999E+306</v>
      </c>
      <c r="DOQ1781" s="1">
        <v>9.9999999999999999E+306</v>
      </c>
      <c r="DOR1781" s="1">
        <v>9.9999999999999999E+306</v>
      </c>
      <c r="DOS1781" s="1">
        <v>9.9999999999999999E+306</v>
      </c>
      <c r="DOT1781" s="1">
        <v>9.9999999999999999E+306</v>
      </c>
      <c r="DOU1781" s="1">
        <v>9.9999999999999999E+306</v>
      </c>
      <c r="DOV1781" s="1">
        <v>9.9999999999999999E+306</v>
      </c>
      <c r="DOW1781" s="1">
        <v>9.9999999999999999E+306</v>
      </c>
      <c r="DOX1781" s="1">
        <v>9.9999999999999999E+306</v>
      </c>
      <c r="DOY1781" s="1">
        <v>9.9999999999999999E+306</v>
      </c>
      <c r="DOZ1781" s="1">
        <v>9.9999999999999999E+306</v>
      </c>
      <c r="DPA1781" s="1">
        <v>9.9999999999999999E+306</v>
      </c>
      <c r="DPB1781" s="1">
        <v>9.9999999999999999E+306</v>
      </c>
      <c r="DPC1781" s="1">
        <v>9.9999999999999999E+306</v>
      </c>
      <c r="DPD1781" s="1">
        <v>9.9999999999999999E+306</v>
      </c>
      <c r="DPE1781" s="1">
        <v>9.9999999999999999E+306</v>
      </c>
      <c r="DPF1781" s="1">
        <v>9.9999999999999999E+306</v>
      </c>
      <c r="DPG1781" s="1">
        <v>9.9999999999999999E+306</v>
      </c>
      <c r="DPH1781" s="1">
        <v>9.9999999999999999E+306</v>
      </c>
      <c r="DPI1781" s="1">
        <v>9.9999999999999999E+306</v>
      </c>
      <c r="DPJ1781" s="1">
        <v>9.9999999999999999E+306</v>
      </c>
      <c r="DPK1781" s="1">
        <v>9.9999999999999999E+306</v>
      </c>
      <c r="DPL1781" s="1">
        <v>9.9999999999999999E+306</v>
      </c>
      <c r="DPM1781" s="1">
        <v>9.9999999999999999E+306</v>
      </c>
      <c r="DPN1781" s="1">
        <v>9.9999999999999999E+306</v>
      </c>
      <c r="DPO1781" s="1">
        <v>9.9999999999999999E+306</v>
      </c>
      <c r="DPP1781" s="1">
        <v>9.9999999999999999E+306</v>
      </c>
      <c r="DPQ1781" s="1">
        <v>9.9999999999999999E+306</v>
      </c>
      <c r="DPR1781" s="1">
        <v>9.9999999999999999E+306</v>
      </c>
      <c r="DPS1781" s="1">
        <v>9.9999999999999999E+306</v>
      </c>
      <c r="DPT1781" s="1">
        <v>9.9999999999999999E+306</v>
      </c>
      <c r="DPU1781" s="1">
        <v>9.9999999999999999E+306</v>
      </c>
      <c r="DPV1781" s="1">
        <v>9.9999999999999999E+306</v>
      </c>
      <c r="DPW1781" s="1">
        <v>9.9999999999999999E+306</v>
      </c>
      <c r="DPX1781" s="1">
        <v>9.9999999999999999E+306</v>
      </c>
      <c r="DPY1781" s="1">
        <v>9.9999999999999999E+306</v>
      </c>
      <c r="DPZ1781" s="1">
        <v>9.9999999999999999E+306</v>
      </c>
      <c r="DQA1781" s="1">
        <v>9.9999999999999999E+306</v>
      </c>
      <c r="DQB1781" s="1">
        <v>9.9999999999999999E+306</v>
      </c>
      <c r="DQC1781" s="1">
        <v>9.9999999999999999E+306</v>
      </c>
      <c r="DQD1781" s="1">
        <v>9.9999999999999999E+306</v>
      </c>
      <c r="DQE1781" s="1">
        <v>9.9999999999999999E+306</v>
      </c>
      <c r="DQF1781" s="1">
        <v>9.9999999999999999E+306</v>
      </c>
      <c r="DQG1781" s="1">
        <v>9.9999999999999999E+306</v>
      </c>
      <c r="DQH1781" s="1">
        <v>9.9999999999999999E+306</v>
      </c>
      <c r="DQI1781" s="1">
        <v>9.9999999999999999E+306</v>
      </c>
      <c r="DQJ1781" s="1">
        <v>9.9999999999999999E+306</v>
      </c>
      <c r="DQK1781" s="1">
        <v>9.9999999999999999E+306</v>
      </c>
      <c r="DQL1781" s="1">
        <v>9.9999999999999999E+306</v>
      </c>
      <c r="DQM1781" s="1">
        <v>9.9999999999999999E+306</v>
      </c>
      <c r="DQN1781" s="1">
        <v>9.9999999999999999E+306</v>
      </c>
      <c r="DQO1781" s="1">
        <v>9.9999999999999999E+306</v>
      </c>
      <c r="DQP1781" s="1">
        <v>9.9999999999999999E+306</v>
      </c>
      <c r="DQQ1781" s="1">
        <v>9.9999999999999999E+306</v>
      </c>
      <c r="DQR1781" s="1">
        <v>9.9999999999999999E+306</v>
      </c>
      <c r="DQS1781" s="1">
        <v>9.9999999999999999E+306</v>
      </c>
      <c r="DQT1781" s="1">
        <v>9.9999999999999999E+306</v>
      </c>
      <c r="DQU1781" s="1">
        <v>9.9999999999999999E+306</v>
      </c>
      <c r="DQV1781" s="1">
        <v>9.9999999999999999E+306</v>
      </c>
      <c r="DQW1781" s="1">
        <v>9.9999999999999999E+306</v>
      </c>
      <c r="DQX1781" s="1">
        <v>9.9999999999999999E+306</v>
      </c>
      <c r="DQY1781" s="1">
        <v>9.9999999999999999E+306</v>
      </c>
      <c r="DQZ1781" s="1">
        <v>9.9999999999999999E+306</v>
      </c>
      <c r="DRA1781" s="1">
        <v>9.9999999999999999E+306</v>
      </c>
      <c r="DRB1781" s="1">
        <v>9.9999999999999999E+306</v>
      </c>
      <c r="DRC1781" s="1">
        <v>9.9999999999999999E+306</v>
      </c>
      <c r="DRD1781" s="1">
        <v>9.9999999999999999E+306</v>
      </c>
      <c r="DRE1781" s="1">
        <v>9.9999999999999999E+306</v>
      </c>
      <c r="DRF1781" s="1">
        <v>9.9999999999999999E+306</v>
      </c>
      <c r="DRG1781" s="1">
        <v>9.9999999999999999E+306</v>
      </c>
      <c r="DRH1781" s="1">
        <v>9.9999999999999999E+306</v>
      </c>
      <c r="DRI1781" s="1">
        <v>9.9999999999999999E+306</v>
      </c>
      <c r="DRJ1781" s="1">
        <v>9.9999999999999999E+306</v>
      </c>
      <c r="DRK1781" s="1">
        <v>9.9999999999999999E+306</v>
      </c>
      <c r="DRL1781" s="1">
        <v>9.9999999999999999E+306</v>
      </c>
      <c r="DRM1781" s="1">
        <v>9.9999999999999999E+306</v>
      </c>
      <c r="DRN1781" s="1">
        <v>9.9999999999999999E+306</v>
      </c>
      <c r="DRO1781" s="1">
        <v>9.9999999999999999E+306</v>
      </c>
      <c r="DRP1781" s="1">
        <v>9.9999999999999999E+306</v>
      </c>
      <c r="DRQ1781" s="1">
        <v>9.9999999999999999E+306</v>
      </c>
      <c r="DRR1781" s="1">
        <v>9.9999999999999999E+306</v>
      </c>
      <c r="DRS1781" s="1">
        <v>9.9999999999999999E+306</v>
      </c>
      <c r="DRT1781" s="1">
        <v>9.9999999999999999E+306</v>
      </c>
      <c r="DRU1781" s="1">
        <v>9.9999999999999999E+306</v>
      </c>
      <c r="DRV1781" s="1">
        <v>9.9999999999999999E+306</v>
      </c>
      <c r="DRW1781" s="1">
        <v>9.9999999999999999E+306</v>
      </c>
      <c r="DRX1781" s="1">
        <v>9.9999999999999999E+306</v>
      </c>
      <c r="DRY1781" s="1">
        <v>9.9999999999999999E+306</v>
      </c>
      <c r="DRZ1781" s="1">
        <v>9.9999999999999999E+306</v>
      </c>
      <c r="DSA1781" s="1">
        <v>9.9999999999999999E+306</v>
      </c>
      <c r="DSB1781" s="1">
        <v>9.9999999999999999E+306</v>
      </c>
      <c r="DSC1781" s="1">
        <v>9.9999999999999999E+306</v>
      </c>
      <c r="DSD1781" s="1">
        <v>9.9999999999999999E+306</v>
      </c>
      <c r="DSE1781" s="1">
        <v>9.9999999999999999E+306</v>
      </c>
      <c r="DSF1781" s="1">
        <v>9.9999999999999999E+306</v>
      </c>
      <c r="DSG1781" s="1">
        <v>9.9999999999999999E+306</v>
      </c>
      <c r="DSH1781" s="1">
        <v>9.9999999999999999E+306</v>
      </c>
      <c r="DSI1781" s="1">
        <v>9.9999999999999999E+306</v>
      </c>
      <c r="DSJ1781" s="1">
        <v>9.9999999999999999E+306</v>
      </c>
      <c r="DSK1781" s="1">
        <v>9.9999999999999999E+306</v>
      </c>
      <c r="DSL1781" s="1">
        <v>9.9999999999999999E+306</v>
      </c>
      <c r="DSM1781" s="1">
        <v>9.9999999999999999E+306</v>
      </c>
      <c r="DSN1781" s="1">
        <v>9.9999999999999999E+306</v>
      </c>
      <c r="DSO1781" s="1">
        <v>9.9999999999999999E+306</v>
      </c>
      <c r="DSP1781" s="1">
        <v>9.9999999999999999E+306</v>
      </c>
      <c r="DSQ1781" s="1">
        <v>9.9999999999999999E+306</v>
      </c>
      <c r="DSR1781" s="1">
        <v>9.9999999999999999E+306</v>
      </c>
      <c r="DSS1781" s="1">
        <v>9.9999999999999999E+306</v>
      </c>
      <c r="DST1781" s="1">
        <v>9.9999999999999999E+306</v>
      </c>
      <c r="DSU1781" s="1">
        <v>9.9999999999999999E+306</v>
      </c>
      <c r="DSV1781" s="1">
        <v>9.9999999999999999E+306</v>
      </c>
      <c r="DSW1781" s="1">
        <v>9.9999999999999999E+306</v>
      </c>
      <c r="DSX1781" s="1">
        <v>9.9999999999999999E+306</v>
      </c>
      <c r="DSY1781" s="1">
        <v>9.9999999999999999E+306</v>
      </c>
      <c r="DSZ1781" s="1">
        <v>9.9999999999999999E+306</v>
      </c>
      <c r="DTA1781" s="1">
        <v>9.9999999999999999E+306</v>
      </c>
      <c r="DTB1781" s="1">
        <v>9.9999999999999999E+306</v>
      </c>
      <c r="DTC1781" s="1">
        <v>9.9999999999999999E+306</v>
      </c>
      <c r="DTD1781" s="1">
        <v>9.9999999999999999E+306</v>
      </c>
      <c r="DTE1781" s="1">
        <v>9.9999999999999999E+306</v>
      </c>
      <c r="DTF1781" s="1">
        <v>9.9999999999999999E+306</v>
      </c>
      <c r="DTG1781" s="1">
        <v>9.9999999999999999E+306</v>
      </c>
      <c r="DTH1781" s="1">
        <v>9.9999999999999999E+306</v>
      </c>
      <c r="DTI1781" s="1">
        <v>9.9999999999999999E+306</v>
      </c>
      <c r="DTJ1781" s="1">
        <v>9.9999999999999999E+306</v>
      </c>
      <c r="DTK1781" s="1">
        <v>9.9999999999999999E+306</v>
      </c>
      <c r="DTL1781" s="1">
        <v>9.9999999999999999E+306</v>
      </c>
      <c r="DTM1781" s="1">
        <v>9.9999999999999999E+306</v>
      </c>
      <c r="DTN1781" s="1">
        <v>9.9999999999999999E+306</v>
      </c>
      <c r="DTO1781" s="1">
        <v>9.9999999999999999E+306</v>
      </c>
      <c r="DTP1781" s="1">
        <v>9.9999999999999999E+306</v>
      </c>
      <c r="DTQ1781" s="1">
        <v>9.9999999999999999E+306</v>
      </c>
      <c r="DTR1781" s="1">
        <v>9.9999999999999999E+306</v>
      </c>
      <c r="DTS1781" s="1">
        <v>9.9999999999999999E+306</v>
      </c>
      <c r="DTT1781" s="1">
        <v>9.9999999999999999E+306</v>
      </c>
      <c r="DTU1781" s="1">
        <v>9.9999999999999999E+306</v>
      </c>
      <c r="DTV1781" s="1">
        <v>9.9999999999999999E+306</v>
      </c>
      <c r="DTW1781" s="1">
        <v>9.9999999999999999E+306</v>
      </c>
      <c r="DTX1781" s="1">
        <v>9.9999999999999999E+306</v>
      </c>
      <c r="DTY1781" s="1">
        <v>9.9999999999999999E+306</v>
      </c>
      <c r="DTZ1781" s="1">
        <v>9.9999999999999999E+306</v>
      </c>
      <c r="DUA1781" s="1">
        <v>9.9999999999999999E+306</v>
      </c>
      <c r="DUB1781" s="1">
        <v>9.9999999999999999E+306</v>
      </c>
      <c r="DUC1781" s="1">
        <v>9.9999999999999999E+306</v>
      </c>
      <c r="DUD1781" s="1">
        <v>9.9999999999999999E+306</v>
      </c>
      <c r="DUE1781" s="1">
        <v>9.9999999999999999E+306</v>
      </c>
      <c r="DUF1781" s="1">
        <v>9.9999999999999999E+306</v>
      </c>
      <c r="DUG1781" s="1">
        <v>9.9999999999999999E+306</v>
      </c>
      <c r="DUH1781" s="1">
        <v>9.9999999999999999E+306</v>
      </c>
      <c r="DUI1781" s="1">
        <v>9.9999999999999999E+306</v>
      </c>
      <c r="DUJ1781" s="1">
        <v>9.9999999999999999E+306</v>
      </c>
      <c r="DUK1781" s="1">
        <v>9.9999999999999999E+306</v>
      </c>
      <c r="DUL1781" s="1">
        <v>9.9999999999999999E+306</v>
      </c>
      <c r="DUM1781" s="1">
        <v>9.9999999999999999E+306</v>
      </c>
      <c r="DUN1781" s="1">
        <v>9.9999999999999999E+306</v>
      </c>
      <c r="DUO1781" s="1">
        <v>9.9999999999999999E+306</v>
      </c>
      <c r="DUP1781" s="1">
        <v>9.9999999999999999E+306</v>
      </c>
      <c r="DUQ1781" s="1">
        <v>9.9999999999999999E+306</v>
      </c>
      <c r="DUR1781" s="1">
        <v>9.9999999999999999E+306</v>
      </c>
      <c r="DUS1781" s="1">
        <v>9.9999999999999999E+306</v>
      </c>
      <c r="DUT1781" s="1">
        <v>9.9999999999999999E+306</v>
      </c>
      <c r="DUU1781" s="1">
        <v>9.9999999999999999E+306</v>
      </c>
      <c r="DUV1781" s="1">
        <v>9.9999999999999999E+306</v>
      </c>
      <c r="DUW1781" s="1">
        <v>9.9999999999999999E+306</v>
      </c>
      <c r="DUX1781" s="1">
        <v>9.9999999999999999E+306</v>
      </c>
      <c r="DUY1781" s="1">
        <v>9.9999999999999999E+306</v>
      </c>
      <c r="DUZ1781" s="1">
        <v>9.9999999999999999E+306</v>
      </c>
      <c r="DVA1781" s="1">
        <v>9.9999999999999999E+306</v>
      </c>
      <c r="DVB1781" s="1">
        <v>9.9999999999999999E+306</v>
      </c>
      <c r="DVC1781" s="1">
        <v>9.9999999999999999E+306</v>
      </c>
      <c r="DVD1781" s="1">
        <v>9.9999999999999999E+306</v>
      </c>
      <c r="DVE1781" s="1">
        <v>9.9999999999999999E+306</v>
      </c>
      <c r="DVF1781" s="1">
        <v>9.9999999999999999E+306</v>
      </c>
      <c r="DVG1781" s="1">
        <v>9.9999999999999999E+306</v>
      </c>
      <c r="DVH1781" s="1">
        <v>9.9999999999999999E+306</v>
      </c>
      <c r="DVI1781" s="1">
        <v>9.9999999999999999E+306</v>
      </c>
      <c r="DVJ1781" s="1">
        <v>9.9999999999999999E+306</v>
      </c>
      <c r="DVK1781" s="1">
        <v>9.9999999999999999E+306</v>
      </c>
      <c r="DVL1781" s="1">
        <v>9.9999999999999999E+306</v>
      </c>
      <c r="DVM1781" s="1">
        <v>9.9999999999999999E+306</v>
      </c>
      <c r="DVN1781" s="1">
        <v>9.9999999999999999E+306</v>
      </c>
      <c r="DVO1781" s="1">
        <v>9.9999999999999999E+306</v>
      </c>
      <c r="DVP1781" s="1">
        <v>9.9999999999999999E+306</v>
      </c>
      <c r="DVQ1781" s="1">
        <v>9.9999999999999999E+306</v>
      </c>
      <c r="DVR1781" s="1">
        <v>9.9999999999999999E+306</v>
      </c>
      <c r="DVS1781" s="1">
        <v>9.9999999999999999E+306</v>
      </c>
      <c r="DVT1781" s="1">
        <v>9.9999999999999999E+306</v>
      </c>
      <c r="DVU1781" s="1">
        <v>9.9999999999999999E+306</v>
      </c>
      <c r="DVV1781" s="1">
        <v>9.9999999999999999E+306</v>
      </c>
      <c r="DVW1781" s="1">
        <v>9.9999999999999999E+306</v>
      </c>
      <c r="DVX1781" s="1">
        <v>9.9999999999999999E+306</v>
      </c>
      <c r="DVY1781" s="1">
        <v>9.9999999999999999E+306</v>
      </c>
      <c r="DVZ1781" s="1">
        <v>9.9999999999999999E+306</v>
      </c>
      <c r="DWA1781" s="1">
        <v>9.9999999999999999E+306</v>
      </c>
      <c r="DWB1781" s="1">
        <v>9.9999999999999999E+306</v>
      </c>
      <c r="DWC1781" s="1">
        <v>9.9999999999999999E+306</v>
      </c>
      <c r="DWD1781" s="1">
        <v>9.9999999999999999E+306</v>
      </c>
      <c r="DWE1781" s="1">
        <v>9.9999999999999999E+306</v>
      </c>
      <c r="DWF1781" s="1">
        <v>9.9999999999999999E+306</v>
      </c>
      <c r="DWG1781" s="1">
        <v>9.9999999999999999E+306</v>
      </c>
      <c r="DWH1781" s="1">
        <v>9.9999999999999999E+306</v>
      </c>
      <c r="DWI1781" s="1">
        <v>9.9999999999999999E+306</v>
      </c>
      <c r="DWJ1781" s="1">
        <v>9.9999999999999999E+306</v>
      </c>
      <c r="DWK1781" s="1">
        <v>9.9999999999999999E+306</v>
      </c>
      <c r="DWL1781" s="1">
        <v>9.9999999999999999E+306</v>
      </c>
      <c r="DWM1781" s="1">
        <v>9.9999999999999999E+306</v>
      </c>
      <c r="DWN1781" s="1">
        <v>9.9999999999999999E+306</v>
      </c>
      <c r="DWO1781" s="1">
        <v>9.9999999999999999E+306</v>
      </c>
      <c r="DWP1781" s="1">
        <v>9.9999999999999999E+306</v>
      </c>
      <c r="DWQ1781" s="1">
        <v>9.9999999999999999E+306</v>
      </c>
      <c r="DWR1781" s="1">
        <v>9.9999999999999999E+306</v>
      </c>
      <c r="DWS1781" s="1">
        <v>9.9999999999999999E+306</v>
      </c>
      <c r="DWT1781" s="1">
        <v>9.9999999999999999E+306</v>
      </c>
      <c r="DWU1781" s="1">
        <v>9.9999999999999999E+306</v>
      </c>
      <c r="DWV1781" s="1">
        <v>9.9999999999999999E+306</v>
      </c>
      <c r="DWW1781" s="1">
        <v>9.9999999999999999E+306</v>
      </c>
      <c r="DWX1781" s="1">
        <v>9.9999999999999999E+306</v>
      </c>
      <c r="DWY1781" s="1">
        <v>9.9999999999999999E+306</v>
      </c>
      <c r="DWZ1781" s="1">
        <v>9.9999999999999999E+306</v>
      </c>
      <c r="DXA1781" s="1">
        <v>9.9999999999999999E+306</v>
      </c>
      <c r="DXB1781" s="1">
        <v>9.9999999999999999E+306</v>
      </c>
      <c r="DXC1781" s="1">
        <v>9.9999999999999999E+306</v>
      </c>
      <c r="DXD1781" s="1">
        <v>9.9999999999999999E+306</v>
      </c>
      <c r="DXE1781" s="1">
        <v>9.9999999999999999E+306</v>
      </c>
      <c r="DXF1781" s="1">
        <v>9.9999999999999999E+306</v>
      </c>
      <c r="DXG1781" s="1">
        <v>9.9999999999999999E+306</v>
      </c>
      <c r="DXH1781" s="1">
        <v>9.9999999999999999E+306</v>
      </c>
      <c r="DXI1781" s="1">
        <v>9.9999999999999999E+306</v>
      </c>
      <c r="DXJ1781" s="1">
        <v>9.9999999999999999E+306</v>
      </c>
      <c r="DXK1781" s="1">
        <v>9.9999999999999999E+306</v>
      </c>
      <c r="DXL1781" s="1">
        <v>9.9999999999999999E+306</v>
      </c>
      <c r="DXM1781" s="1">
        <v>9.9999999999999999E+306</v>
      </c>
      <c r="DXN1781" s="1">
        <v>9.9999999999999999E+306</v>
      </c>
      <c r="DXO1781" s="1">
        <v>9.9999999999999999E+306</v>
      </c>
      <c r="DXP1781" s="1">
        <v>9.9999999999999999E+306</v>
      </c>
      <c r="DXQ1781" s="1">
        <v>9.9999999999999999E+306</v>
      </c>
      <c r="DXR1781" s="1">
        <v>9.9999999999999999E+306</v>
      </c>
      <c r="DXS1781" s="1">
        <v>9.9999999999999999E+306</v>
      </c>
      <c r="DXT1781" s="1">
        <v>9.9999999999999999E+306</v>
      </c>
      <c r="DXU1781" s="1">
        <v>9.9999999999999999E+306</v>
      </c>
      <c r="DXV1781" s="1">
        <v>9.9999999999999999E+306</v>
      </c>
      <c r="DXW1781" s="1">
        <v>9.9999999999999999E+306</v>
      </c>
      <c r="DXX1781" s="1">
        <v>9.9999999999999999E+306</v>
      </c>
      <c r="DXY1781" s="1">
        <v>9.9999999999999999E+306</v>
      </c>
      <c r="DXZ1781" s="1">
        <v>9.9999999999999999E+306</v>
      </c>
      <c r="DYA1781" s="1">
        <v>9.9999999999999999E+306</v>
      </c>
      <c r="DYB1781" s="1">
        <v>9.9999999999999999E+306</v>
      </c>
      <c r="DYC1781" s="1">
        <v>9.9999999999999999E+306</v>
      </c>
      <c r="DYD1781" s="1">
        <v>9.9999999999999999E+306</v>
      </c>
      <c r="DYE1781" s="1">
        <v>9.9999999999999999E+306</v>
      </c>
      <c r="DYF1781" s="1">
        <v>9.9999999999999999E+306</v>
      </c>
      <c r="DYG1781" s="1">
        <v>9.9999999999999999E+306</v>
      </c>
      <c r="DYH1781" s="1">
        <v>9.9999999999999999E+306</v>
      </c>
      <c r="DYI1781" s="1">
        <v>9.9999999999999999E+306</v>
      </c>
      <c r="DYJ1781" s="1">
        <v>9.9999999999999999E+306</v>
      </c>
      <c r="DYK1781" s="1">
        <v>9.9999999999999999E+306</v>
      </c>
      <c r="DYL1781" s="1">
        <v>9.9999999999999999E+306</v>
      </c>
      <c r="DYM1781" s="1">
        <v>9.9999999999999999E+306</v>
      </c>
      <c r="DYN1781" s="1">
        <v>9.9999999999999999E+306</v>
      </c>
      <c r="DYO1781" s="1">
        <v>9.9999999999999999E+306</v>
      </c>
      <c r="DYP1781" s="1">
        <v>9.9999999999999999E+306</v>
      </c>
      <c r="DYQ1781" s="1">
        <v>9.9999999999999999E+306</v>
      </c>
      <c r="DYR1781" s="1">
        <v>9.9999999999999999E+306</v>
      </c>
      <c r="DYS1781" s="1">
        <v>9.9999999999999999E+306</v>
      </c>
      <c r="DYT1781" s="1">
        <v>9.9999999999999999E+306</v>
      </c>
      <c r="DYU1781" s="1">
        <v>9.9999999999999999E+306</v>
      </c>
      <c r="DYV1781" s="1">
        <v>9.9999999999999999E+306</v>
      </c>
      <c r="DYW1781" s="1">
        <v>9.9999999999999999E+306</v>
      </c>
      <c r="DYX1781" s="1">
        <v>9.9999999999999999E+306</v>
      </c>
      <c r="DYY1781" s="1">
        <v>9.9999999999999999E+306</v>
      </c>
      <c r="DYZ1781" s="1">
        <v>9.9999999999999999E+306</v>
      </c>
      <c r="DZA1781" s="1">
        <v>9.9999999999999999E+306</v>
      </c>
      <c r="DZB1781" s="1">
        <v>9.9999999999999999E+306</v>
      </c>
      <c r="DZC1781" s="1">
        <v>9.9999999999999999E+306</v>
      </c>
      <c r="DZD1781" s="1">
        <v>9.9999999999999999E+306</v>
      </c>
      <c r="DZE1781" s="1">
        <v>9.9999999999999999E+306</v>
      </c>
      <c r="DZF1781" s="1">
        <v>9.9999999999999999E+306</v>
      </c>
      <c r="DZG1781" s="1">
        <v>9.9999999999999999E+306</v>
      </c>
      <c r="DZH1781" s="1">
        <v>9.9999999999999999E+306</v>
      </c>
      <c r="DZI1781" s="1">
        <v>9.9999999999999999E+306</v>
      </c>
      <c r="DZJ1781" s="1">
        <v>9.9999999999999999E+306</v>
      </c>
      <c r="DZK1781" s="1">
        <v>9.9999999999999999E+306</v>
      </c>
      <c r="DZL1781" s="1">
        <v>9.9999999999999999E+306</v>
      </c>
      <c r="DZM1781" s="1">
        <v>9.9999999999999999E+306</v>
      </c>
      <c r="DZN1781" s="1">
        <v>9.9999999999999999E+306</v>
      </c>
      <c r="DZO1781" s="1">
        <v>9.9999999999999999E+306</v>
      </c>
      <c r="DZP1781" s="1">
        <v>9.9999999999999999E+306</v>
      </c>
      <c r="DZQ1781" s="1">
        <v>9.9999999999999999E+306</v>
      </c>
      <c r="DZR1781" s="1">
        <v>9.9999999999999999E+306</v>
      </c>
      <c r="DZS1781" s="1">
        <v>9.9999999999999999E+306</v>
      </c>
      <c r="DZT1781" s="1">
        <v>9.9999999999999999E+306</v>
      </c>
      <c r="DZU1781" s="1">
        <v>9.9999999999999999E+306</v>
      </c>
      <c r="DZV1781" s="1">
        <v>9.9999999999999999E+306</v>
      </c>
      <c r="DZW1781" s="1">
        <v>9.9999999999999999E+306</v>
      </c>
      <c r="DZX1781" s="1">
        <v>9.9999999999999999E+306</v>
      </c>
      <c r="DZY1781" s="1">
        <v>9.9999999999999999E+306</v>
      </c>
      <c r="DZZ1781" s="1">
        <v>9.9999999999999999E+306</v>
      </c>
      <c r="EAA1781" s="1">
        <v>9.9999999999999999E+306</v>
      </c>
      <c r="EAB1781" s="1">
        <v>9.9999999999999999E+306</v>
      </c>
      <c r="EAC1781" s="1">
        <v>9.9999999999999999E+306</v>
      </c>
      <c r="EAD1781" s="1">
        <v>9.9999999999999999E+306</v>
      </c>
      <c r="EAE1781" s="1">
        <v>9.9999999999999999E+306</v>
      </c>
      <c r="EAF1781" s="1">
        <v>9.9999999999999999E+306</v>
      </c>
      <c r="EAG1781" s="1">
        <v>9.9999999999999999E+306</v>
      </c>
      <c r="EAH1781" s="1">
        <v>9.9999999999999999E+306</v>
      </c>
      <c r="EAI1781" s="1">
        <v>9.9999999999999999E+306</v>
      </c>
      <c r="EAJ1781" s="1">
        <v>9.9999999999999999E+306</v>
      </c>
      <c r="EAK1781" s="1">
        <v>9.9999999999999999E+306</v>
      </c>
      <c r="EAL1781" s="1">
        <v>9.9999999999999999E+306</v>
      </c>
      <c r="EAM1781" s="1">
        <v>9.9999999999999999E+306</v>
      </c>
      <c r="EAN1781" s="1">
        <v>9.9999999999999999E+306</v>
      </c>
      <c r="EAO1781" s="1">
        <v>9.9999999999999999E+306</v>
      </c>
      <c r="EAP1781" s="1">
        <v>9.9999999999999999E+306</v>
      </c>
      <c r="EAQ1781" s="1">
        <v>9.9999999999999999E+306</v>
      </c>
      <c r="EAR1781" s="1">
        <v>9.9999999999999999E+306</v>
      </c>
      <c r="EAS1781" s="1">
        <v>9.9999999999999999E+306</v>
      </c>
      <c r="EAT1781" s="1">
        <v>9.9999999999999999E+306</v>
      </c>
      <c r="EAU1781" s="1">
        <v>9.9999999999999999E+306</v>
      </c>
      <c r="EAV1781" s="1">
        <v>9.9999999999999999E+306</v>
      </c>
      <c r="EAW1781" s="1">
        <v>9.9999999999999999E+306</v>
      </c>
      <c r="EAX1781" s="1">
        <v>9.9999999999999999E+306</v>
      </c>
      <c r="EAY1781" s="1">
        <v>9.9999999999999999E+306</v>
      </c>
      <c r="EAZ1781" s="1">
        <v>9.9999999999999999E+306</v>
      </c>
      <c r="EBA1781" s="1">
        <v>9.9999999999999999E+306</v>
      </c>
      <c r="EBB1781" s="1">
        <v>9.9999999999999999E+306</v>
      </c>
      <c r="EBC1781" s="1">
        <v>9.9999999999999999E+306</v>
      </c>
      <c r="EBD1781" s="1">
        <v>9.9999999999999999E+306</v>
      </c>
      <c r="EBE1781" s="1">
        <v>9.9999999999999999E+306</v>
      </c>
      <c r="EBF1781" s="1">
        <v>9.9999999999999999E+306</v>
      </c>
      <c r="EBG1781" s="1">
        <v>9.9999999999999999E+306</v>
      </c>
      <c r="EBH1781" s="1">
        <v>9.9999999999999999E+306</v>
      </c>
      <c r="EBI1781" s="1">
        <v>9.9999999999999999E+306</v>
      </c>
      <c r="EBJ1781" s="1">
        <v>9.9999999999999999E+306</v>
      </c>
      <c r="EBK1781" s="1">
        <v>9.9999999999999999E+306</v>
      </c>
      <c r="EBL1781" s="1">
        <v>9.9999999999999999E+306</v>
      </c>
      <c r="EBM1781" s="1">
        <v>9.9999999999999999E+306</v>
      </c>
      <c r="EBN1781" s="1">
        <v>9.9999999999999999E+306</v>
      </c>
      <c r="EBO1781" s="1">
        <v>9.9999999999999999E+306</v>
      </c>
      <c r="EBP1781" s="1">
        <v>9.9999999999999999E+306</v>
      </c>
      <c r="EBQ1781" s="1">
        <v>9.9999999999999999E+306</v>
      </c>
      <c r="EBR1781" s="1">
        <v>9.9999999999999999E+306</v>
      </c>
      <c r="EBS1781" s="1">
        <v>9.9999999999999999E+306</v>
      </c>
      <c r="EBT1781" s="1">
        <v>9.9999999999999999E+306</v>
      </c>
      <c r="EBU1781" s="1">
        <v>9.9999999999999999E+306</v>
      </c>
      <c r="EBV1781" s="1">
        <v>9.9999999999999999E+306</v>
      </c>
      <c r="EBW1781" s="1">
        <v>9.9999999999999999E+306</v>
      </c>
      <c r="EBX1781" s="1">
        <v>9.9999999999999999E+306</v>
      </c>
      <c r="EBY1781" s="1">
        <v>9.9999999999999999E+306</v>
      </c>
      <c r="EBZ1781" s="1">
        <v>9.9999999999999999E+306</v>
      </c>
      <c r="ECA1781" s="1">
        <v>9.9999999999999999E+306</v>
      </c>
      <c r="ECB1781" s="1">
        <v>9.9999999999999999E+306</v>
      </c>
      <c r="ECC1781" s="1">
        <v>9.9999999999999999E+306</v>
      </c>
      <c r="ECD1781" s="1">
        <v>9.9999999999999999E+306</v>
      </c>
      <c r="ECE1781" s="1">
        <v>9.9999999999999999E+306</v>
      </c>
      <c r="ECF1781" s="1">
        <v>9.9999999999999999E+306</v>
      </c>
      <c r="ECG1781" s="1">
        <v>9.9999999999999999E+306</v>
      </c>
      <c r="ECH1781" s="1">
        <v>9.9999999999999999E+306</v>
      </c>
      <c r="ECI1781" s="1">
        <v>9.9999999999999999E+306</v>
      </c>
      <c r="ECJ1781" s="1">
        <v>9.9999999999999999E+306</v>
      </c>
      <c r="ECK1781" s="1">
        <v>9.9999999999999999E+306</v>
      </c>
      <c r="ECL1781" s="1">
        <v>9.9999999999999999E+306</v>
      </c>
      <c r="ECM1781" s="1">
        <v>9.9999999999999999E+306</v>
      </c>
      <c r="ECN1781" s="1">
        <v>9.9999999999999999E+306</v>
      </c>
      <c r="ECO1781" s="1">
        <v>9.9999999999999999E+306</v>
      </c>
      <c r="ECP1781" s="1">
        <v>9.9999999999999999E+306</v>
      </c>
      <c r="ECQ1781" s="1">
        <v>9.9999999999999999E+306</v>
      </c>
      <c r="ECR1781" s="1">
        <v>9.9999999999999999E+306</v>
      </c>
      <c r="ECS1781" s="1">
        <v>9.9999999999999999E+306</v>
      </c>
      <c r="ECT1781" s="1">
        <v>9.9999999999999999E+306</v>
      </c>
      <c r="ECU1781" s="1">
        <v>9.9999999999999999E+306</v>
      </c>
      <c r="ECV1781" s="1">
        <v>9.9999999999999999E+306</v>
      </c>
      <c r="ECW1781" s="1">
        <v>9.9999999999999999E+306</v>
      </c>
      <c r="ECX1781" s="1">
        <v>9.9999999999999999E+306</v>
      </c>
      <c r="ECY1781" s="1">
        <v>9.9999999999999999E+306</v>
      </c>
      <c r="ECZ1781" s="1">
        <v>9.9999999999999999E+306</v>
      </c>
      <c r="EDA1781" s="1">
        <v>9.9999999999999999E+306</v>
      </c>
      <c r="EDB1781" s="1">
        <v>9.9999999999999999E+306</v>
      </c>
      <c r="EDC1781" s="1">
        <v>9.9999999999999999E+306</v>
      </c>
      <c r="EDD1781" s="1">
        <v>9.9999999999999999E+306</v>
      </c>
      <c r="EDE1781" s="1">
        <v>9.9999999999999999E+306</v>
      </c>
    </row>
    <row r="1782" spans="1:3493" x14ac:dyDescent="0.3">
      <c r="A1782" s="2" t="s">
        <v>5271</v>
      </c>
      <c r="C1782" t="s">
        <v>3490</v>
      </c>
      <c r="D1782" t="s">
        <v>3490</v>
      </c>
      <c r="E1782" t="s">
        <v>3490</v>
      </c>
      <c r="F1782" t="s">
        <v>3490</v>
      </c>
      <c r="G1782" t="s">
        <v>3490</v>
      </c>
      <c r="H1782" t="s">
        <v>3490</v>
      </c>
      <c r="I1782" t="s">
        <v>3490</v>
      </c>
      <c r="J1782" t="s">
        <v>3490</v>
      </c>
      <c r="K1782" t="s">
        <v>3490</v>
      </c>
      <c r="L1782" t="s">
        <v>3490</v>
      </c>
      <c r="M1782" t="s">
        <v>3490</v>
      </c>
      <c r="N1782" t="s">
        <v>3490</v>
      </c>
      <c r="O1782" t="s">
        <v>3490</v>
      </c>
      <c r="P1782" t="s">
        <v>3490</v>
      </c>
      <c r="Q1782" t="s">
        <v>3490</v>
      </c>
      <c r="R1782" t="s">
        <v>3490</v>
      </c>
      <c r="S1782" t="s">
        <v>3490</v>
      </c>
      <c r="T1782" t="s">
        <v>3490</v>
      </c>
      <c r="U1782" t="s">
        <v>3490</v>
      </c>
      <c r="V1782" t="s">
        <v>3490</v>
      </c>
      <c r="W1782" t="s">
        <v>3490</v>
      </c>
      <c r="X1782" t="s">
        <v>3490</v>
      </c>
      <c r="Y1782" t="s">
        <v>3490</v>
      </c>
      <c r="Z1782" t="s">
        <v>3490</v>
      </c>
      <c r="AA1782" t="s">
        <v>3490</v>
      </c>
      <c r="AB1782" t="s">
        <v>3490</v>
      </c>
      <c r="AC1782" t="s">
        <v>3490</v>
      </c>
      <c r="AD1782" t="s">
        <v>3490</v>
      </c>
      <c r="AE1782" t="s">
        <v>3490</v>
      </c>
      <c r="AF1782" t="s">
        <v>3490</v>
      </c>
      <c r="AG1782" t="s">
        <v>3490</v>
      </c>
      <c r="AH1782" t="s">
        <v>3490</v>
      </c>
      <c r="AI1782" t="s">
        <v>3490</v>
      </c>
      <c r="AJ1782" t="s">
        <v>3490</v>
      </c>
      <c r="AK1782" t="s">
        <v>3490</v>
      </c>
      <c r="AL1782" t="s">
        <v>3490</v>
      </c>
      <c r="AM1782" t="s">
        <v>3490</v>
      </c>
      <c r="AN1782" t="s">
        <v>3490</v>
      </c>
      <c r="AO1782" t="s">
        <v>3490</v>
      </c>
      <c r="AP1782" t="s">
        <v>3490</v>
      </c>
      <c r="AQ1782" t="s">
        <v>3490</v>
      </c>
      <c r="AR1782" t="s">
        <v>3490</v>
      </c>
      <c r="AS1782" t="s">
        <v>3490</v>
      </c>
      <c r="AT1782" t="s">
        <v>3490</v>
      </c>
      <c r="AU1782" t="s">
        <v>3490</v>
      </c>
      <c r="AV1782" t="s">
        <v>3490</v>
      </c>
      <c r="AW1782" t="s">
        <v>3490</v>
      </c>
      <c r="AX1782" t="s">
        <v>3490</v>
      </c>
      <c r="AY1782" t="s">
        <v>3490</v>
      </c>
      <c r="AZ1782" t="s">
        <v>3490</v>
      </c>
      <c r="BA1782" t="s">
        <v>3490</v>
      </c>
      <c r="BB1782" t="s">
        <v>3490</v>
      </c>
      <c r="BC1782" t="s">
        <v>3490</v>
      </c>
      <c r="BD1782" t="s">
        <v>3490</v>
      </c>
      <c r="BE1782" t="s">
        <v>3490</v>
      </c>
      <c r="BF1782" t="s">
        <v>3490</v>
      </c>
      <c r="BG1782" t="s">
        <v>3490</v>
      </c>
      <c r="BH1782" t="s">
        <v>3490</v>
      </c>
      <c r="BI1782" t="s">
        <v>3490</v>
      </c>
      <c r="BJ1782" t="s">
        <v>3490</v>
      </c>
      <c r="BK1782" t="s">
        <v>3490</v>
      </c>
      <c r="BL1782" t="s">
        <v>3490</v>
      </c>
      <c r="BM1782" t="s">
        <v>3490</v>
      </c>
      <c r="BN1782" t="s">
        <v>3490</v>
      </c>
      <c r="BO1782" t="s">
        <v>3490</v>
      </c>
      <c r="BP1782" t="s">
        <v>3490</v>
      </c>
      <c r="BQ1782" t="s">
        <v>3490</v>
      </c>
      <c r="BR1782" t="s">
        <v>3490</v>
      </c>
      <c r="BS1782" t="s">
        <v>3490</v>
      </c>
      <c r="BT1782" t="s">
        <v>3490</v>
      </c>
      <c r="BU1782" t="s">
        <v>3490</v>
      </c>
      <c r="BV1782" t="s">
        <v>3490</v>
      </c>
      <c r="BW1782" t="s">
        <v>3490</v>
      </c>
      <c r="BX1782" t="s">
        <v>3490</v>
      </c>
      <c r="BY1782" t="s">
        <v>3490</v>
      </c>
      <c r="BZ1782" t="s">
        <v>3490</v>
      </c>
      <c r="CA1782" t="s">
        <v>3490</v>
      </c>
      <c r="CB1782" t="s">
        <v>3490</v>
      </c>
      <c r="CC1782" t="s">
        <v>3490</v>
      </c>
      <c r="CD1782" t="s">
        <v>3490</v>
      </c>
      <c r="CE1782" t="s">
        <v>3490</v>
      </c>
      <c r="CF1782" t="s">
        <v>3490</v>
      </c>
      <c r="CG1782" t="s">
        <v>3490</v>
      </c>
      <c r="CH1782" t="s">
        <v>3490</v>
      </c>
      <c r="CI1782" t="s">
        <v>3490</v>
      </c>
      <c r="CJ1782" t="s">
        <v>3490</v>
      </c>
      <c r="CK1782" t="s">
        <v>3490</v>
      </c>
      <c r="CL1782" t="s">
        <v>3490</v>
      </c>
      <c r="CM1782" t="s">
        <v>3490</v>
      </c>
      <c r="CN1782" t="s">
        <v>3490</v>
      </c>
      <c r="CO1782" t="s">
        <v>3490</v>
      </c>
      <c r="CP1782" t="s">
        <v>3490</v>
      </c>
      <c r="CQ1782" t="s">
        <v>3490</v>
      </c>
      <c r="CR1782" t="s">
        <v>3490</v>
      </c>
      <c r="CS1782" t="s">
        <v>3490</v>
      </c>
      <c r="CT1782" t="s">
        <v>3490</v>
      </c>
      <c r="CU1782" t="s">
        <v>3490</v>
      </c>
      <c r="CV1782" t="s">
        <v>3490</v>
      </c>
      <c r="CW1782" t="s">
        <v>3490</v>
      </c>
      <c r="CX1782" t="s">
        <v>3490</v>
      </c>
      <c r="CY1782" t="s">
        <v>3490</v>
      </c>
      <c r="CZ1782" t="s">
        <v>3490</v>
      </c>
      <c r="DA1782" t="s">
        <v>3490</v>
      </c>
      <c r="DB1782" t="s">
        <v>3490</v>
      </c>
      <c r="DC1782" t="s">
        <v>3490</v>
      </c>
      <c r="DD1782" t="s">
        <v>3490</v>
      </c>
      <c r="DE1782" t="s">
        <v>3490</v>
      </c>
      <c r="DF1782" t="s">
        <v>3490</v>
      </c>
      <c r="DG1782" t="s">
        <v>3490</v>
      </c>
      <c r="DH1782" t="s">
        <v>3490</v>
      </c>
      <c r="DI1782" t="s">
        <v>3490</v>
      </c>
      <c r="DJ1782" t="s">
        <v>3490</v>
      </c>
      <c r="DK1782" t="s">
        <v>3490</v>
      </c>
      <c r="DL1782" t="s">
        <v>3490</v>
      </c>
      <c r="DM1782" t="s">
        <v>3490</v>
      </c>
      <c r="DN1782" t="s">
        <v>3490</v>
      </c>
      <c r="DO1782" t="s">
        <v>3490</v>
      </c>
      <c r="DP1782" t="s">
        <v>3490</v>
      </c>
      <c r="DQ1782" t="s">
        <v>3490</v>
      </c>
      <c r="DR1782" t="s">
        <v>3490</v>
      </c>
      <c r="DS1782" t="s">
        <v>3490</v>
      </c>
      <c r="DT1782" t="s">
        <v>3490</v>
      </c>
      <c r="DU1782" t="s">
        <v>3490</v>
      </c>
      <c r="DV1782" t="s">
        <v>3490</v>
      </c>
      <c r="DW1782" t="s">
        <v>3490</v>
      </c>
      <c r="DX1782" t="s">
        <v>3490</v>
      </c>
      <c r="DY1782" t="s">
        <v>3490</v>
      </c>
      <c r="DZ1782" t="s">
        <v>3490</v>
      </c>
      <c r="EA1782" t="s">
        <v>3490</v>
      </c>
      <c r="EB1782" t="s">
        <v>3490</v>
      </c>
      <c r="EC1782" t="s">
        <v>3490</v>
      </c>
      <c r="ED1782" t="s">
        <v>3490</v>
      </c>
      <c r="EE1782" t="s">
        <v>3490</v>
      </c>
      <c r="EF1782" t="s">
        <v>3490</v>
      </c>
      <c r="EG1782" t="s">
        <v>3490</v>
      </c>
      <c r="EH1782" t="s">
        <v>3490</v>
      </c>
      <c r="EI1782" t="s">
        <v>3490</v>
      </c>
      <c r="EJ1782" t="s">
        <v>3490</v>
      </c>
      <c r="EK1782" t="s">
        <v>3490</v>
      </c>
      <c r="EL1782" t="s">
        <v>3490</v>
      </c>
      <c r="EM1782" t="s">
        <v>3490</v>
      </c>
      <c r="EN1782" t="s">
        <v>3490</v>
      </c>
      <c r="EO1782" t="s">
        <v>3490</v>
      </c>
      <c r="EP1782" t="s">
        <v>3490</v>
      </c>
      <c r="EQ1782" t="s">
        <v>3490</v>
      </c>
      <c r="ER1782" t="s">
        <v>3490</v>
      </c>
      <c r="ES1782" t="s">
        <v>3490</v>
      </c>
      <c r="ET1782" t="s">
        <v>3490</v>
      </c>
      <c r="EU1782" t="s">
        <v>3490</v>
      </c>
      <c r="EV1782" t="s">
        <v>3490</v>
      </c>
      <c r="EW1782" t="s">
        <v>3490</v>
      </c>
      <c r="EX1782" t="s">
        <v>3490</v>
      </c>
      <c r="EY1782" t="s">
        <v>3490</v>
      </c>
      <c r="EZ1782" t="s">
        <v>3490</v>
      </c>
      <c r="FA1782" t="s">
        <v>3490</v>
      </c>
      <c r="FB1782" t="s">
        <v>3490</v>
      </c>
      <c r="FC1782" t="s">
        <v>3490</v>
      </c>
      <c r="FD1782" t="s">
        <v>3490</v>
      </c>
      <c r="FE1782" t="s">
        <v>3490</v>
      </c>
      <c r="FF1782" t="s">
        <v>3490</v>
      </c>
      <c r="FG1782" t="s">
        <v>3490</v>
      </c>
      <c r="FH1782" t="s">
        <v>3490</v>
      </c>
      <c r="FI1782" t="s">
        <v>3490</v>
      </c>
      <c r="FJ1782" t="s">
        <v>3490</v>
      </c>
      <c r="FK1782" t="s">
        <v>3490</v>
      </c>
      <c r="FL1782" t="s">
        <v>3490</v>
      </c>
      <c r="FM1782" t="s">
        <v>3490</v>
      </c>
      <c r="FN1782" t="s">
        <v>3490</v>
      </c>
      <c r="FO1782" t="s">
        <v>3490</v>
      </c>
      <c r="FP1782" t="s">
        <v>3490</v>
      </c>
      <c r="FQ1782" t="s">
        <v>3490</v>
      </c>
      <c r="FR1782" t="s">
        <v>3490</v>
      </c>
      <c r="FS1782" t="s">
        <v>3490</v>
      </c>
      <c r="FT1782" t="s">
        <v>3490</v>
      </c>
      <c r="FU1782" t="s">
        <v>3490</v>
      </c>
      <c r="FV1782" t="s">
        <v>3490</v>
      </c>
      <c r="FW1782" t="s">
        <v>3490</v>
      </c>
      <c r="FX1782" t="s">
        <v>3490</v>
      </c>
      <c r="FY1782" t="s">
        <v>3490</v>
      </c>
      <c r="FZ1782" t="s">
        <v>3490</v>
      </c>
      <c r="GA1782" t="s">
        <v>3490</v>
      </c>
      <c r="GB1782" t="s">
        <v>3490</v>
      </c>
      <c r="GC1782" t="s">
        <v>3490</v>
      </c>
      <c r="GD1782" t="s">
        <v>3490</v>
      </c>
      <c r="GE1782" t="s">
        <v>3490</v>
      </c>
      <c r="GF1782" t="s">
        <v>3490</v>
      </c>
      <c r="GG1782" t="s">
        <v>3490</v>
      </c>
      <c r="GH1782" t="s">
        <v>3490</v>
      </c>
      <c r="GI1782" t="s">
        <v>3490</v>
      </c>
      <c r="GJ1782" t="s">
        <v>3490</v>
      </c>
      <c r="GK1782" t="s">
        <v>3490</v>
      </c>
      <c r="GL1782" t="s">
        <v>3490</v>
      </c>
      <c r="GM1782" t="s">
        <v>3490</v>
      </c>
      <c r="GN1782" t="s">
        <v>3490</v>
      </c>
      <c r="GO1782" t="s">
        <v>3490</v>
      </c>
      <c r="GP1782" t="s">
        <v>3490</v>
      </c>
      <c r="GQ1782" t="s">
        <v>3490</v>
      </c>
      <c r="GR1782" t="s">
        <v>3490</v>
      </c>
      <c r="GS1782" t="s">
        <v>3490</v>
      </c>
      <c r="GT1782" t="s">
        <v>3490</v>
      </c>
      <c r="GU1782" t="s">
        <v>3490</v>
      </c>
      <c r="GV1782" t="s">
        <v>3490</v>
      </c>
      <c r="GW1782" t="s">
        <v>3490</v>
      </c>
      <c r="GX1782" t="s">
        <v>3490</v>
      </c>
      <c r="GY1782" t="s">
        <v>3490</v>
      </c>
      <c r="GZ1782" t="s">
        <v>3490</v>
      </c>
      <c r="HA1782" t="s">
        <v>3490</v>
      </c>
      <c r="HB1782" t="s">
        <v>3490</v>
      </c>
      <c r="HC1782" t="s">
        <v>3490</v>
      </c>
      <c r="HD1782" t="s">
        <v>3490</v>
      </c>
      <c r="HE1782" t="s">
        <v>3490</v>
      </c>
      <c r="HF1782" t="s">
        <v>3490</v>
      </c>
      <c r="HG1782" t="s">
        <v>3490</v>
      </c>
      <c r="HH1782" t="s">
        <v>3490</v>
      </c>
      <c r="HI1782" t="s">
        <v>3490</v>
      </c>
      <c r="HJ1782" t="s">
        <v>3490</v>
      </c>
      <c r="HK1782" t="s">
        <v>3490</v>
      </c>
      <c r="HL1782" t="s">
        <v>3490</v>
      </c>
      <c r="HM1782" t="s">
        <v>3490</v>
      </c>
      <c r="HN1782" t="s">
        <v>3490</v>
      </c>
      <c r="HO1782" t="s">
        <v>3490</v>
      </c>
      <c r="HP1782" t="s">
        <v>3490</v>
      </c>
      <c r="HQ1782" t="s">
        <v>3490</v>
      </c>
      <c r="HR1782" t="s">
        <v>3490</v>
      </c>
      <c r="HS1782" t="s">
        <v>3490</v>
      </c>
      <c r="HT1782" t="s">
        <v>3490</v>
      </c>
      <c r="HU1782" t="s">
        <v>3490</v>
      </c>
      <c r="HV1782" t="s">
        <v>3490</v>
      </c>
      <c r="HW1782" t="s">
        <v>3490</v>
      </c>
      <c r="HX1782" t="s">
        <v>3490</v>
      </c>
      <c r="HY1782" t="s">
        <v>3490</v>
      </c>
      <c r="HZ1782" t="s">
        <v>3490</v>
      </c>
      <c r="IA1782" t="s">
        <v>3490</v>
      </c>
      <c r="IB1782" t="s">
        <v>3490</v>
      </c>
      <c r="IC1782" t="s">
        <v>3490</v>
      </c>
      <c r="ID1782" t="s">
        <v>3490</v>
      </c>
      <c r="IE1782" t="s">
        <v>3490</v>
      </c>
      <c r="IF1782" t="s">
        <v>3490</v>
      </c>
      <c r="IG1782" t="s">
        <v>3490</v>
      </c>
      <c r="IH1782" t="s">
        <v>3490</v>
      </c>
      <c r="II1782" t="s">
        <v>3490</v>
      </c>
      <c r="IJ1782" t="s">
        <v>3490</v>
      </c>
      <c r="IK1782" t="s">
        <v>3490</v>
      </c>
      <c r="IL1782" t="s">
        <v>3490</v>
      </c>
      <c r="IM1782" t="s">
        <v>3490</v>
      </c>
      <c r="IN1782" t="s">
        <v>3490</v>
      </c>
      <c r="IO1782" t="s">
        <v>3490</v>
      </c>
      <c r="IP1782" t="s">
        <v>3490</v>
      </c>
      <c r="IQ1782" t="s">
        <v>3490</v>
      </c>
      <c r="IR1782" t="s">
        <v>3490</v>
      </c>
      <c r="IS1782" t="s">
        <v>3490</v>
      </c>
      <c r="IT1782" t="s">
        <v>3490</v>
      </c>
      <c r="IU1782" t="s">
        <v>3490</v>
      </c>
      <c r="IV1782" t="s">
        <v>3490</v>
      </c>
      <c r="IW1782" t="s">
        <v>3490</v>
      </c>
      <c r="IX1782" t="s">
        <v>3490</v>
      </c>
      <c r="IY1782" t="s">
        <v>3490</v>
      </c>
      <c r="IZ1782" t="s">
        <v>3490</v>
      </c>
      <c r="JA1782" t="s">
        <v>3490</v>
      </c>
      <c r="JB1782" t="s">
        <v>3490</v>
      </c>
      <c r="JC1782" t="s">
        <v>3490</v>
      </c>
      <c r="JD1782" t="s">
        <v>3490</v>
      </c>
      <c r="JE1782" t="s">
        <v>3490</v>
      </c>
      <c r="JF1782" t="s">
        <v>3490</v>
      </c>
      <c r="JG1782" t="s">
        <v>3490</v>
      </c>
      <c r="JH1782" t="s">
        <v>3490</v>
      </c>
      <c r="JI1782" t="s">
        <v>3490</v>
      </c>
      <c r="JJ1782" t="s">
        <v>3490</v>
      </c>
      <c r="JK1782" t="s">
        <v>3490</v>
      </c>
      <c r="JL1782" t="s">
        <v>3490</v>
      </c>
      <c r="JM1782" t="s">
        <v>3490</v>
      </c>
      <c r="JN1782" t="s">
        <v>3490</v>
      </c>
      <c r="JO1782" t="s">
        <v>3490</v>
      </c>
      <c r="JP1782" t="s">
        <v>3490</v>
      </c>
      <c r="JQ1782" t="s">
        <v>3490</v>
      </c>
      <c r="JR1782" t="s">
        <v>3490</v>
      </c>
      <c r="JS1782" t="s">
        <v>3490</v>
      </c>
      <c r="JT1782" t="s">
        <v>3490</v>
      </c>
      <c r="JU1782" t="s">
        <v>3490</v>
      </c>
      <c r="JV1782" t="s">
        <v>3490</v>
      </c>
      <c r="JW1782" t="s">
        <v>3490</v>
      </c>
      <c r="JX1782" t="s">
        <v>3490</v>
      </c>
      <c r="JY1782" t="s">
        <v>3490</v>
      </c>
      <c r="JZ1782" t="s">
        <v>3490</v>
      </c>
      <c r="KA1782" t="s">
        <v>3490</v>
      </c>
      <c r="KB1782" t="s">
        <v>3490</v>
      </c>
      <c r="KC1782" t="s">
        <v>3490</v>
      </c>
      <c r="KD1782" t="s">
        <v>3490</v>
      </c>
      <c r="KE1782" t="s">
        <v>3490</v>
      </c>
      <c r="KF1782" t="s">
        <v>3490</v>
      </c>
      <c r="KG1782" t="s">
        <v>3490</v>
      </c>
      <c r="KH1782" t="s">
        <v>3490</v>
      </c>
      <c r="KI1782" t="s">
        <v>3490</v>
      </c>
      <c r="KJ1782" t="s">
        <v>3490</v>
      </c>
      <c r="KK1782" t="s">
        <v>3490</v>
      </c>
      <c r="KL1782" t="s">
        <v>3490</v>
      </c>
      <c r="KM1782" t="s">
        <v>3490</v>
      </c>
      <c r="KN1782" t="s">
        <v>3490</v>
      </c>
      <c r="KO1782" t="s">
        <v>3490</v>
      </c>
      <c r="KP1782" t="s">
        <v>3490</v>
      </c>
      <c r="KQ1782" t="s">
        <v>3490</v>
      </c>
      <c r="KR1782" t="s">
        <v>3490</v>
      </c>
      <c r="KS1782" t="s">
        <v>3490</v>
      </c>
      <c r="KT1782" t="s">
        <v>3490</v>
      </c>
      <c r="KU1782" t="s">
        <v>3490</v>
      </c>
      <c r="KV1782" t="s">
        <v>3490</v>
      </c>
      <c r="KW1782" t="s">
        <v>3490</v>
      </c>
      <c r="KX1782" t="s">
        <v>3490</v>
      </c>
      <c r="KY1782" t="s">
        <v>3490</v>
      </c>
      <c r="KZ1782" t="s">
        <v>3490</v>
      </c>
      <c r="LA1782" t="s">
        <v>3490</v>
      </c>
      <c r="LB1782" t="s">
        <v>3490</v>
      </c>
      <c r="LC1782" t="s">
        <v>3490</v>
      </c>
      <c r="LD1782" t="s">
        <v>3490</v>
      </c>
      <c r="LE1782" t="s">
        <v>3490</v>
      </c>
      <c r="LF1782" t="s">
        <v>3490</v>
      </c>
      <c r="LG1782" t="s">
        <v>3490</v>
      </c>
      <c r="LH1782" t="s">
        <v>3490</v>
      </c>
      <c r="LI1782" t="s">
        <v>3490</v>
      </c>
      <c r="LJ1782" t="s">
        <v>3490</v>
      </c>
      <c r="LK1782" t="s">
        <v>3490</v>
      </c>
      <c r="LL1782" t="s">
        <v>3490</v>
      </c>
      <c r="LM1782" t="s">
        <v>3490</v>
      </c>
      <c r="LN1782" t="s">
        <v>3490</v>
      </c>
      <c r="LO1782" t="s">
        <v>3490</v>
      </c>
      <c r="LP1782" t="s">
        <v>3490</v>
      </c>
      <c r="LQ1782" t="s">
        <v>3490</v>
      </c>
      <c r="LR1782" t="s">
        <v>3490</v>
      </c>
      <c r="LS1782" t="s">
        <v>3490</v>
      </c>
      <c r="LT1782" t="s">
        <v>3490</v>
      </c>
      <c r="LU1782" t="s">
        <v>3490</v>
      </c>
      <c r="LV1782" t="s">
        <v>3490</v>
      </c>
      <c r="LW1782" t="s">
        <v>3490</v>
      </c>
      <c r="LX1782" t="s">
        <v>3490</v>
      </c>
      <c r="LY1782" t="s">
        <v>3490</v>
      </c>
      <c r="LZ1782" t="s">
        <v>3490</v>
      </c>
      <c r="MA1782" t="s">
        <v>3490</v>
      </c>
      <c r="MB1782" t="s">
        <v>3490</v>
      </c>
      <c r="MC1782" t="s">
        <v>3490</v>
      </c>
      <c r="MD1782" t="s">
        <v>3490</v>
      </c>
      <c r="ME1782" t="s">
        <v>3490</v>
      </c>
      <c r="MF1782" t="s">
        <v>3490</v>
      </c>
      <c r="MG1782" t="s">
        <v>3490</v>
      </c>
      <c r="MH1782" t="s">
        <v>3490</v>
      </c>
      <c r="MI1782" t="s">
        <v>3490</v>
      </c>
      <c r="MJ1782" t="s">
        <v>3490</v>
      </c>
      <c r="MK1782" t="s">
        <v>3490</v>
      </c>
      <c r="ML1782" t="s">
        <v>3490</v>
      </c>
      <c r="MM1782" t="s">
        <v>3490</v>
      </c>
      <c r="MN1782" t="s">
        <v>3490</v>
      </c>
      <c r="MO1782" t="s">
        <v>3490</v>
      </c>
      <c r="MP1782" t="s">
        <v>3490</v>
      </c>
      <c r="MQ1782" t="s">
        <v>3490</v>
      </c>
      <c r="MR1782" t="s">
        <v>3490</v>
      </c>
      <c r="MS1782" t="s">
        <v>3490</v>
      </c>
      <c r="MT1782" t="s">
        <v>3490</v>
      </c>
      <c r="MU1782" t="s">
        <v>3490</v>
      </c>
      <c r="MV1782" t="s">
        <v>3490</v>
      </c>
      <c r="MW1782" t="s">
        <v>3490</v>
      </c>
      <c r="MX1782" t="s">
        <v>3490</v>
      </c>
      <c r="MY1782" t="s">
        <v>3490</v>
      </c>
      <c r="MZ1782" t="s">
        <v>3490</v>
      </c>
      <c r="NA1782" t="s">
        <v>3490</v>
      </c>
      <c r="NB1782" t="s">
        <v>3490</v>
      </c>
      <c r="NC1782" t="s">
        <v>3490</v>
      </c>
      <c r="ND1782" t="s">
        <v>3490</v>
      </c>
      <c r="NE1782" t="s">
        <v>3490</v>
      </c>
      <c r="NF1782" t="s">
        <v>3490</v>
      </c>
      <c r="NG1782" t="s">
        <v>3490</v>
      </c>
      <c r="NH1782" t="s">
        <v>3490</v>
      </c>
      <c r="NI1782" t="s">
        <v>3490</v>
      </c>
      <c r="NJ1782" t="s">
        <v>3490</v>
      </c>
      <c r="NK1782" t="s">
        <v>3490</v>
      </c>
      <c r="NL1782" t="s">
        <v>3490</v>
      </c>
      <c r="NM1782" t="s">
        <v>3490</v>
      </c>
      <c r="NN1782" t="s">
        <v>3490</v>
      </c>
      <c r="NO1782" t="s">
        <v>3490</v>
      </c>
      <c r="NP1782" t="s">
        <v>3490</v>
      </c>
      <c r="NQ1782" t="s">
        <v>3490</v>
      </c>
      <c r="NR1782" t="s">
        <v>3490</v>
      </c>
      <c r="NS1782" t="s">
        <v>3490</v>
      </c>
      <c r="NT1782" t="s">
        <v>3490</v>
      </c>
      <c r="NU1782" t="s">
        <v>3490</v>
      </c>
      <c r="NV1782" t="s">
        <v>3490</v>
      </c>
      <c r="NW1782" t="s">
        <v>3490</v>
      </c>
      <c r="NX1782" t="s">
        <v>3490</v>
      </c>
      <c r="NY1782" t="s">
        <v>3490</v>
      </c>
      <c r="NZ1782" t="s">
        <v>3490</v>
      </c>
      <c r="OA1782" t="s">
        <v>3490</v>
      </c>
      <c r="OB1782" t="s">
        <v>3490</v>
      </c>
      <c r="OC1782" t="s">
        <v>3490</v>
      </c>
      <c r="OD1782" t="s">
        <v>3490</v>
      </c>
      <c r="OE1782" t="s">
        <v>3490</v>
      </c>
      <c r="OF1782" t="s">
        <v>3490</v>
      </c>
      <c r="OG1782" t="s">
        <v>3490</v>
      </c>
      <c r="OH1782" t="s">
        <v>3490</v>
      </c>
      <c r="OI1782" t="s">
        <v>3490</v>
      </c>
      <c r="OJ1782" t="s">
        <v>3490</v>
      </c>
      <c r="OK1782" t="s">
        <v>3490</v>
      </c>
      <c r="OL1782" t="s">
        <v>3490</v>
      </c>
      <c r="OM1782" t="s">
        <v>3490</v>
      </c>
      <c r="ON1782" t="s">
        <v>3490</v>
      </c>
      <c r="OO1782" t="s">
        <v>3490</v>
      </c>
      <c r="OP1782" t="s">
        <v>3490</v>
      </c>
      <c r="OQ1782" t="s">
        <v>3490</v>
      </c>
      <c r="OR1782" t="s">
        <v>3490</v>
      </c>
      <c r="OS1782" t="s">
        <v>3490</v>
      </c>
      <c r="OT1782" t="s">
        <v>3490</v>
      </c>
      <c r="OU1782" t="s">
        <v>3490</v>
      </c>
      <c r="OV1782" t="s">
        <v>3490</v>
      </c>
      <c r="OW1782" t="s">
        <v>3490</v>
      </c>
      <c r="OX1782" t="s">
        <v>3490</v>
      </c>
      <c r="OY1782" t="s">
        <v>3490</v>
      </c>
      <c r="OZ1782" t="s">
        <v>3490</v>
      </c>
      <c r="PA1782" t="s">
        <v>3490</v>
      </c>
      <c r="PB1782" t="s">
        <v>3490</v>
      </c>
      <c r="PC1782" t="s">
        <v>3490</v>
      </c>
      <c r="PD1782" t="s">
        <v>3490</v>
      </c>
      <c r="PE1782" t="s">
        <v>3490</v>
      </c>
      <c r="PF1782" t="s">
        <v>3490</v>
      </c>
      <c r="PG1782" t="s">
        <v>3490</v>
      </c>
      <c r="PH1782" t="s">
        <v>3490</v>
      </c>
      <c r="PI1782" t="s">
        <v>3490</v>
      </c>
      <c r="PJ1782" t="s">
        <v>3490</v>
      </c>
      <c r="PK1782" t="s">
        <v>3490</v>
      </c>
      <c r="PL1782" t="s">
        <v>3490</v>
      </c>
      <c r="PM1782" t="s">
        <v>3490</v>
      </c>
      <c r="PN1782" t="s">
        <v>3490</v>
      </c>
      <c r="PO1782" t="s">
        <v>3490</v>
      </c>
      <c r="PP1782" t="s">
        <v>3490</v>
      </c>
      <c r="PQ1782" t="s">
        <v>3490</v>
      </c>
      <c r="PR1782" t="s">
        <v>3490</v>
      </c>
      <c r="PS1782" t="s">
        <v>3490</v>
      </c>
      <c r="PT1782" t="s">
        <v>3490</v>
      </c>
      <c r="PU1782" t="s">
        <v>3490</v>
      </c>
      <c r="PV1782" t="s">
        <v>3490</v>
      </c>
      <c r="PW1782" t="s">
        <v>3490</v>
      </c>
      <c r="PX1782" t="s">
        <v>3490</v>
      </c>
      <c r="PY1782" t="s">
        <v>3490</v>
      </c>
      <c r="PZ1782" t="s">
        <v>3490</v>
      </c>
      <c r="QA1782" t="s">
        <v>3490</v>
      </c>
      <c r="QB1782" t="s">
        <v>3490</v>
      </c>
      <c r="QC1782" t="s">
        <v>3490</v>
      </c>
      <c r="QD1782" t="s">
        <v>3490</v>
      </c>
      <c r="QE1782" t="s">
        <v>3490</v>
      </c>
      <c r="QF1782" t="s">
        <v>3490</v>
      </c>
      <c r="QG1782" t="s">
        <v>3490</v>
      </c>
      <c r="QH1782" t="s">
        <v>3490</v>
      </c>
      <c r="QI1782" t="s">
        <v>3490</v>
      </c>
      <c r="QJ1782" t="s">
        <v>3490</v>
      </c>
      <c r="QK1782" t="s">
        <v>3490</v>
      </c>
      <c r="QL1782" t="s">
        <v>3490</v>
      </c>
      <c r="QM1782" t="s">
        <v>3490</v>
      </c>
      <c r="QN1782" t="s">
        <v>3490</v>
      </c>
      <c r="QO1782" t="s">
        <v>3490</v>
      </c>
      <c r="QP1782" t="s">
        <v>3490</v>
      </c>
      <c r="QQ1782" t="s">
        <v>3490</v>
      </c>
      <c r="QR1782" t="s">
        <v>3490</v>
      </c>
      <c r="QS1782" t="s">
        <v>3490</v>
      </c>
      <c r="QT1782" t="s">
        <v>3490</v>
      </c>
      <c r="QU1782" t="s">
        <v>3490</v>
      </c>
      <c r="QV1782" t="s">
        <v>3490</v>
      </c>
      <c r="QW1782" t="s">
        <v>3490</v>
      </c>
      <c r="QX1782" t="s">
        <v>3490</v>
      </c>
      <c r="QY1782" t="s">
        <v>3490</v>
      </c>
      <c r="QZ1782" t="s">
        <v>3490</v>
      </c>
      <c r="RA1782" t="s">
        <v>3490</v>
      </c>
      <c r="RB1782" t="s">
        <v>3490</v>
      </c>
      <c r="RC1782" t="s">
        <v>3490</v>
      </c>
      <c r="RD1782" t="s">
        <v>3490</v>
      </c>
      <c r="RE1782" t="s">
        <v>3490</v>
      </c>
      <c r="RF1782" t="s">
        <v>3490</v>
      </c>
      <c r="RG1782" t="s">
        <v>3490</v>
      </c>
      <c r="RH1782" t="s">
        <v>3490</v>
      </c>
      <c r="RI1782" t="s">
        <v>3490</v>
      </c>
      <c r="RJ1782" t="s">
        <v>3490</v>
      </c>
      <c r="RK1782" t="s">
        <v>3490</v>
      </c>
      <c r="RL1782" t="s">
        <v>3490</v>
      </c>
      <c r="RM1782" t="s">
        <v>3490</v>
      </c>
      <c r="RN1782" t="s">
        <v>3490</v>
      </c>
      <c r="RO1782" t="s">
        <v>3490</v>
      </c>
      <c r="RP1782" t="s">
        <v>3490</v>
      </c>
      <c r="RQ1782" t="s">
        <v>3490</v>
      </c>
      <c r="RR1782" t="s">
        <v>3490</v>
      </c>
      <c r="RS1782" t="s">
        <v>3490</v>
      </c>
      <c r="RT1782" t="s">
        <v>3490</v>
      </c>
      <c r="RU1782" t="s">
        <v>3490</v>
      </c>
      <c r="RV1782" t="s">
        <v>3490</v>
      </c>
      <c r="RW1782" t="s">
        <v>3490</v>
      </c>
      <c r="RX1782" t="s">
        <v>3490</v>
      </c>
      <c r="RY1782" t="s">
        <v>3490</v>
      </c>
      <c r="RZ1782" t="s">
        <v>3490</v>
      </c>
      <c r="SA1782" t="s">
        <v>3490</v>
      </c>
      <c r="SB1782" t="s">
        <v>3490</v>
      </c>
      <c r="SC1782" t="s">
        <v>3490</v>
      </c>
      <c r="SD1782" t="s">
        <v>3490</v>
      </c>
      <c r="SE1782" t="s">
        <v>3490</v>
      </c>
      <c r="SF1782" t="s">
        <v>3490</v>
      </c>
      <c r="SG1782" t="s">
        <v>3490</v>
      </c>
      <c r="SH1782" t="s">
        <v>3490</v>
      </c>
      <c r="SI1782" t="s">
        <v>3490</v>
      </c>
      <c r="SJ1782" t="s">
        <v>3490</v>
      </c>
      <c r="SK1782" t="s">
        <v>3490</v>
      </c>
      <c r="SL1782" t="s">
        <v>3490</v>
      </c>
      <c r="SM1782" t="s">
        <v>3490</v>
      </c>
      <c r="SN1782" t="s">
        <v>3490</v>
      </c>
      <c r="SO1782" t="s">
        <v>3490</v>
      </c>
      <c r="SP1782" t="s">
        <v>3490</v>
      </c>
      <c r="SQ1782" t="s">
        <v>3490</v>
      </c>
      <c r="SR1782" t="s">
        <v>3490</v>
      </c>
      <c r="SS1782" t="s">
        <v>3490</v>
      </c>
      <c r="ST1782" t="s">
        <v>3490</v>
      </c>
      <c r="SU1782" t="s">
        <v>3490</v>
      </c>
      <c r="SV1782" t="s">
        <v>3490</v>
      </c>
      <c r="SW1782" t="s">
        <v>3490</v>
      </c>
      <c r="SX1782" t="s">
        <v>3490</v>
      </c>
      <c r="SY1782" t="s">
        <v>3490</v>
      </c>
      <c r="SZ1782" t="s">
        <v>3490</v>
      </c>
      <c r="TA1782" t="s">
        <v>3490</v>
      </c>
      <c r="TB1782" t="s">
        <v>3490</v>
      </c>
      <c r="TC1782" t="s">
        <v>3490</v>
      </c>
      <c r="TD1782" t="s">
        <v>3490</v>
      </c>
      <c r="TE1782" t="s">
        <v>3490</v>
      </c>
      <c r="TF1782" t="s">
        <v>3490</v>
      </c>
      <c r="TG1782" t="s">
        <v>3490</v>
      </c>
      <c r="TH1782" t="s">
        <v>3490</v>
      </c>
      <c r="TI1782" t="s">
        <v>3490</v>
      </c>
      <c r="TJ1782" t="s">
        <v>3490</v>
      </c>
      <c r="TK1782" t="s">
        <v>3490</v>
      </c>
      <c r="TL1782" t="s">
        <v>3490</v>
      </c>
      <c r="TM1782" t="s">
        <v>3490</v>
      </c>
      <c r="TN1782" t="s">
        <v>3490</v>
      </c>
      <c r="TO1782" t="s">
        <v>3490</v>
      </c>
      <c r="TP1782" t="s">
        <v>3490</v>
      </c>
      <c r="TQ1782" t="s">
        <v>3490</v>
      </c>
      <c r="TR1782" t="s">
        <v>3490</v>
      </c>
      <c r="TS1782" t="s">
        <v>3490</v>
      </c>
      <c r="TT1782" t="s">
        <v>3490</v>
      </c>
      <c r="TU1782" t="s">
        <v>3490</v>
      </c>
      <c r="TV1782" t="s">
        <v>3490</v>
      </c>
      <c r="TW1782" t="s">
        <v>3490</v>
      </c>
      <c r="TX1782" t="s">
        <v>3490</v>
      </c>
      <c r="TY1782" t="s">
        <v>3490</v>
      </c>
      <c r="TZ1782" t="s">
        <v>3490</v>
      </c>
      <c r="UA1782" t="s">
        <v>3490</v>
      </c>
      <c r="UB1782" t="s">
        <v>3490</v>
      </c>
      <c r="UC1782" t="s">
        <v>3490</v>
      </c>
      <c r="UD1782" t="s">
        <v>3490</v>
      </c>
      <c r="UE1782" t="s">
        <v>3490</v>
      </c>
      <c r="UF1782" t="s">
        <v>3490</v>
      </c>
      <c r="UG1782" t="s">
        <v>3490</v>
      </c>
      <c r="UH1782" t="s">
        <v>3490</v>
      </c>
      <c r="UI1782" t="s">
        <v>3490</v>
      </c>
      <c r="UJ1782" t="s">
        <v>3490</v>
      </c>
      <c r="UK1782" t="s">
        <v>3490</v>
      </c>
      <c r="UL1782" t="s">
        <v>3490</v>
      </c>
      <c r="UM1782" t="s">
        <v>3490</v>
      </c>
      <c r="UN1782" t="s">
        <v>3490</v>
      </c>
      <c r="UO1782" t="s">
        <v>3490</v>
      </c>
      <c r="UP1782" t="s">
        <v>3490</v>
      </c>
      <c r="UQ1782" t="s">
        <v>3490</v>
      </c>
      <c r="UR1782" t="s">
        <v>3490</v>
      </c>
      <c r="US1782" t="s">
        <v>3490</v>
      </c>
      <c r="UT1782" t="s">
        <v>3490</v>
      </c>
      <c r="UU1782" t="s">
        <v>3490</v>
      </c>
      <c r="UV1782" t="s">
        <v>3490</v>
      </c>
      <c r="UW1782" t="s">
        <v>3490</v>
      </c>
      <c r="UX1782" t="s">
        <v>3490</v>
      </c>
      <c r="UY1782" t="s">
        <v>3490</v>
      </c>
      <c r="UZ1782" t="s">
        <v>3490</v>
      </c>
      <c r="VA1782" t="s">
        <v>3490</v>
      </c>
      <c r="VB1782" t="s">
        <v>3490</v>
      </c>
      <c r="VC1782" t="s">
        <v>3490</v>
      </c>
      <c r="VD1782" t="s">
        <v>3490</v>
      </c>
      <c r="VE1782" t="s">
        <v>3490</v>
      </c>
      <c r="VF1782" t="s">
        <v>3490</v>
      </c>
      <c r="VG1782" t="s">
        <v>3490</v>
      </c>
      <c r="VH1782" t="s">
        <v>3490</v>
      </c>
      <c r="VI1782" t="s">
        <v>3490</v>
      </c>
      <c r="VJ1782" t="s">
        <v>3490</v>
      </c>
      <c r="VK1782" t="s">
        <v>3490</v>
      </c>
      <c r="VL1782" t="s">
        <v>3490</v>
      </c>
      <c r="VM1782" t="s">
        <v>3490</v>
      </c>
      <c r="VN1782" t="s">
        <v>3490</v>
      </c>
      <c r="VO1782" t="s">
        <v>3490</v>
      </c>
      <c r="VP1782" t="s">
        <v>3490</v>
      </c>
      <c r="VQ1782" t="s">
        <v>3490</v>
      </c>
      <c r="VR1782" t="s">
        <v>3490</v>
      </c>
      <c r="VS1782" t="s">
        <v>3490</v>
      </c>
      <c r="VT1782" t="s">
        <v>3490</v>
      </c>
      <c r="VU1782" t="s">
        <v>3490</v>
      </c>
      <c r="VV1782" t="s">
        <v>3490</v>
      </c>
      <c r="VW1782" t="s">
        <v>3490</v>
      </c>
      <c r="VX1782" t="s">
        <v>3490</v>
      </c>
      <c r="VY1782" t="s">
        <v>3490</v>
      </c>
      <c r="VZ1782" t="s">
        <v>3490</v>
      </c>
      <c r="WA1782" t="s">
        <v>3490</v>
      </c>
      <c r="WB1782" t="s">
        <v>3490</v>
      </c>
      <c r="WC1782" t="s">
        <v>3490</v>
      </c>
      <c r="WD1782" t="s">
        <v>3490</v>
      </c>
      <c r="WE1782" t="s">
        <v>3490</v>
      </c>
      <c r="WF1782" t="s">
        <v>3490</v>
      </c>
      <c r="WG1782" t="s">
        <v>3490</v>
      </c>
      <c r="WH1782" t="s">
        <v>3490</v>
      </c>
      <c r="WI1782" t="s">
        <v>3490</v>
      </c>
      <c r="WJ1782" t="s">
        <v>3490</v>
      </c>
      <c r="WK1782" t="s">
        <v>3490</v>
      </c>
      <c r="WL1782" t="s">
        <v>3490</v>
      </c>
      <c r="WM1782" t="s">
        <v>3490</v>
      </c>
      <c r="WN1782" t="s">
        <v>3490</v>
      </c>
      <c r="WO1782" t="s">
        <v>3490</v>
      </c>
      <c r="WP1782" t="s">
        <v>3490</v>
      </c>
      <c r="WQ1782" t="s">
        <v>3490</v>
      </c>
      <c r="WR1782" t="s">
        <v>3490</v>
      </c>
      <c r="WS1782" t="s">
        <v>3490</v>
      </c>
      <c r="WT1782" t="s">
        <v>3490</v>
      </c>
      <c r="WU1782" t="s">
        <v>3490</v>
      </c>
      <c r="WV1782" t="s">
        <v>3490</v>
      </c>
      <c r="WW1782" t="s">
        <v>3490</v>
      </c>
      <c r="WX1782" t="s">
        <v>3490</v>
      </c>
      <c r="WY1782" t="s">
        <v>3490</v>
      </c>
      <c r="WZ1782" t="s">
        <v>3490</v>
      </c>
      <c r="XA1782" t="s">
        <v>3490</v>
      </c>
      <c r="XB1782" t="s">
        <v>3490</v>
      </c>
      <c r="XC1782" t="s">
        <v>3490</v>
      </c>
      <c r="XD1782" t="s">
        <v>3490</v>
      </c>
      <c r="XE1782" t="s">
        <v>3490</v>
      </c>
      <c r="XF1782" t="s">
        <v>3490</v>
      </c>
      <c r="XG1782" t="s">
        <v>3490</v>
      </c>
      <c r="XH1782" t="s">
        <v>3490</v>
      </c>
      <c r="XI1782" t="s">
        <v>3490</v>
      </c>
      <c r="XJ1782" t="s">
        <v>3490</v>
      </c>
      <c r="XK1782" t="s">
        <v>3490</v>
      </c>
      <c r="XL1782" t="s">
        <v>3490</v>
      </c>
      <c r="XM1782" t="s">
        <v>3490</v>
      </c>
      <c r="XN1782" t="s">
        <v>3490</v>
      </c>
      <c r="XO1782" t="s">
        <v>3490</v>
      </c>
      <c r="XP1782" t="s">
        <v>3490</v>
      </c>
      <c r="XQ1782" t="s">
        <v>3490</v>
      </c>
      <c r="XR1782" t="s">
        <v>3490</v>
      </c>
      <c r="XS1782" t="s">
        <v>3490</v>
      </c>
      <c r="XT1782" t="s">
        <v>3490</v>
      </c>
      <c r="XU1782" t="s">
        <v>3490</v>
      </c>
      <c r="XV1782" t="s">
        <v>3490</v>
      </c>
      <c r="XW1782" t="s">
        <v>3490</v>
      </c>
      <c r="XX1782" t="s">
        <v>3490</v>
      </c>
      <c r="XY1782" t="s">
        <v>3490</v>
      </c>
      <c r="XZ1782" t="s">
        <v>3490</v>
      </c>
      <c r="YA1782" t="s">
        <v>3490</v>
      </c>
      <c r="YB1782" t="s">
        <v>3490</v>
      </c>
      <c r="YC1782" t="s">
        <v>3490</v>
      </c>
      <c r="YD1782" t="s">
        <v>3490</v>
      </c>
      <c r="YE1782" t="s">
        <v>3490</v>
      </c>
      <c r="YF1782" t="s">
        <v>3490</v>
      </c>
      <c r="YG1782" t="s">
        <v>3490</v>
      </c>
      <c r="YH1782" t="s">
        <v>3490</v>
      </c>
      <c r="YI1782" t="s">
        <v>3490</v>
      </c>
      <c r="YJ1782" t="s">
        <v>3490</v>
      </c>
      <c r="YK1782" t="s">
        <v>3490</v>
      </c>
      <c r="YL1782" t="s">
        <v>3490</v>
      </c>
      <c r="YM1782" t="s">
        <v>3490</v>
      </c>
      <c r="YN1782" t="s">
        <v>3490</v>
      </c>
      <c r="YO1782" t="s">
        <v>3490</v>
      </c>
      <c r="YP1782" t="s">
        <v>3490</v>
      </c>
      <c r="YQ1782" t="s">
        <v>3490</v>
      </c>
      <c r="YR1782" t="s">
        <v>3490</v>
      </c>
      <c r="YS1782" t="s">
        <v>3490</v>
      </c>
      <c r="YT1782" t="s">
        <v>3490</v>
      </c>
      <c r="YU1782" t="s">
        <v>3490</v>
      </c>
      <c r="YV1782" t="s">
        <v>3490</v>
      </c>
      <c r="YW1782" t="s">
        <v>3490</v>
      </c>
      <c r="YX1782" t="s">
        <v>3490</v>
      </c>
      <c r="YY1782" t="s">
        <v>3490</v>
      </c>
      <c r="YZ1782" t="s">
        <v>3490</v>
      </c>
      <c r="ZA1782" t="s">
        <v>3490</v>
      </c>
      <c r="ZB1782" t="s">
        <v>3490</v>
      </c>
      <c r="ZC1782" t="s">
        <v>3490</v>
      </c>
      <c r="ZD1782" t="s">
        <v>3490</v>
      </c>
      <c r="ZE1782" t="s">
        <v>3490</v>
      </c>
      <c r="ZF1782" t="s">
        <v>3490</v>
      </c>
      <c r="ZG1782" t="s">
        <v>3490</v>
      </c>
      <c r="ZH1782" t="s">
        <v>3490</v>
      </c>
      <c r="ZI1782" t="s">
        <v>3490</v>
      </c>
      <c r="ZJ1782" t="s">
        <v>3490</v>
      </c>
      <c r="ZK1782" t="s">
        <v>3490</v>
      </c>
      <c r="ZL1782" t="s">
        <v>3490</v>
      </c>
      <c r="ZM1782" t="s">
        <v>3490</v>
      </c>
      <c r="ZN1782" t="s">
        <v>3490</v>
      </c>
      <c r="ZO1782" t="s">
        <v>3490</v>
      </c>
      <c r="ZP1782" t="s">
        <v>3490</v>
      </c>
      <c r="ZQ1782" t="s">
        <v>3490</v>
      </c>
      <c r="ZR1782" t="s">
        <v>3490</v>
      </c>
      <c r="ZS1782" t="s">
        <v>3490</v>
      </c>
      <c r="ZT1782" t="s">
        <v>3490</v>
      </c>
      <c r="ZU1782" t="s">
        <v>3490</v>
      </c>
      <c r="ZV1782" t="s">
        <v>3490</v>
      </c>
      <c r="ZW1782" t="s">
        <v>3490</v>
      </c>
      <c r="ZX1782" t="s">
        <v>3490</v>
      </c>
      <c r="ZY1782" t="s">
        <v>3490</v>
      </c>
      <c r="ZZ1782" t="s">
        <v>3490</v>
      </c>
      <c r="AAA1782" t="s">
        <v>3490</v>
      </c>
      <c r="AAB1782" t="s">
        <v>3490</v>
      </c>
      <c r="AAC1782" t="s">
        <v>3490</v>
      </c>
      <c r="AAD1782" t="s">
        <v>3490</v>
      </c>
      <c r="AAE1782" t="s">
        <v>3490</v>
      </c>
      <c r="AAF1782" t="s">
        <v>3490</v>
      </c>
      <c r="AAG1782" t="s">
        <v>3490</v>
      </c>
      <c r="AAH1782" t="s">
        <v>3490</v>
      </c>
      <c r="AAI1782" t="s">
        <v>3490</v>
      </c>
      <c r="AAJ1782" t="s">
        <v>3490</v>
      </c>
      <c r="AAK1782" t="s">
        <v>3490</v>
      </c>
      <c r="AAL1782" t="s">
        <v>3490</v>
      </c>
      <c r="AAM1782" t="s">
        <v>3490</v>
      </c>
      <c r="AAN1782" t="s">
        <v>3490</v>
      </c>
      <c r="AAO1782" t="s">
        <v>3490</v>
      </c>
      <c r="AAP1782" t="s">
        <v>3490</v>
      </c>
      <c r="AAQ1782" t="s">
        <v>3490</v>
      </c>
      <c r="AAR1782" t="s">
        <v>3490</v>
      </c>
      <c r="AAS1782" t="s">
        <v>3490</v>
      </c>
      <c r="AAT1782" t="s">
        <v>3490</v>
      </c>
      <c r="AAU1782" t="s">
        <v>3490</v>
      </c>
      <c r="AAV1782" t="s">
        <v>3490</v>
      </c>
      <c r="AAW1782" t="s">
        <v>3490</v>
      </c>
      <c r="AAX1782" t="s">
        <v>3490</v>
      </c>
      <c r="AAY1782" t="s">
        <v>3490</v>
      </c>
      <c r="AAZ1782" t="s">
        <v>3490</v>
      </c>
      <c r="ABA1782" t="s">
        <v>3490</v>
      </c>
      <c r="ABB1782" t="s">
        <v>3490</v>
      </c>
      <c r="ABC1782" t="s">
        <v>3490</v>
      </c>
      <c r="ABD1782" t="s">
        <v>3490</v>
      </c>
      <c r="ABE1782" t="s">
        <v>3490</v>
      </c>
      <c r="ABF1782" t="s">
        <v>3490</v>
      </c>
      <c r="ABG1782" t="s">
        <v>3490</v>
      </c>
      <c r="ABH1782" t="s">
        <v>3490</v>
      </c>
      <c r="ABI1782" t="s">
        <v>3490</v>
      </c>
      <c r="ABJ1782" t="s">
        <v>3490</v>
      </c>
      <c r="ABK1782" t="s">
        <v>3490</v>
      </c>
      <c r="ABL1782" t="s">
        <v>3490</v>
      </c>
      <c r="ABM1782" t="s">
        <v>3490</v>
      </c>
      <c r="ABN1782" t="s">
        <v>3490</v>
      </c>
      <c r="ABO1782" t="s">
        <v>3490</v>
      </c>
      <c r="ABP1782" t="s">
        <v>3490</v>
      </c>
      <c r="ABQ1782" t="s">
        <v>3490</v>
      </c>
      <c r="ABR1782" t="s">
        <v>3490</v>
      </c>
      <c r="ABS1782" t="s">
        <v>3490</v>
      </c>
      <c r="ABT1782" t="s">
        <v>3490</v>
      </c>
      <c r="ABU1782" t="s">
        <v>3490</v>
      </c>
      <c r="ABV1782" t="s">
        <v>3490</v>
      </c>
      <c r="ABW1782" t="s">
        <v>3490</v>
      </c>
      <c r="ABX1782" t="s">
        <v>3490</v>
      </c>
      <c r="ABY1782" t="s">
        <v>3490</v>
      </c>
      <c r="ABZ1782" t="s">
        <v>3490</v>
      </c>
      <c r="ACA1782" t="s">
        <v>3490</v>
      </c>
      <c r="ACB1782" t="s">
        <v>3490</v>
      </c>
      <c r="ACC1782" t="s">
        <v>3490</v>
      </c>
      <c r="ACD1782" t="s">
        <v>3490</v>
      </c>
      <c r="ACE1782" t="s">
        <v>3490</v>
      </c>
      <c r="ACF1782" t="s">
        <v>3490</v>
      </c>
      <c r="ACG1782" t="s">
        <v>3490</v>
      </c>
      <c r="ACH1782" t="s">
        <v>3490</v>
      </c>
      <c r="ACI1782" t="s">
        <v>3490</v>
      </c>
      <c r="ACJ1782" t="s">
        <v>3490</v>
      </c>
      <c r="ACK1782" t="s">
        <v>3490</v>
      </c>
      <c r="ACL1782" t="s">
        <v>3490</v>
      </c>
      <c r="ACM1782" t="s">
        <v>3490</v>
      </c>
      <c r="ACN1782" t="s">
        <v>3490</v>
      </c>
      <c r="ACO1782" t="s">
        <v>3490</v>
      </c>
      <c r="ACP1782" t="s">
        <v>3490</v>
      </c>
      <c r="ACQ1782" t="s">
        <v>3490</v>
      </c>
      <c r="ACR1782" t="s">
        <v>3490</v>
      </c>
      <c r="ACS1782" t="s">
        <v>3490</v>
      </c>
      <c r="ACT1782" t="s">
        <v>3490</v>
      </c>
      <c r="ACU1782" t="s">
        <v>3490</v>
      </c>
      <c r="ACV1782" t="s">
        <v>3490</v>
      </c>
      <c r="ACW1782" t="s">
        <v>3490</v>
      </c>
      <c r="ACX1782" t="s">
        <v>3490</v>
      </c>
      <c r="ACY1782" t="s">
        <v>3490</v>
      </c>
      <c r="ACZ1782" t="s">
        <v>3490</v>
      </c>
      <c r="ADA1782" t="s">
        <v>3490</v>
      </c>
      <c r="ADB1782" t="s">
        <v>3490</v>
      </c>
      <c r="ADC1782" t="s">
        <v>3490</v>
      </c>
      <c r="ADD1782" t="s">
        <v>3490</v>
      </c>
      <c r="ADE1782" t="s">
        <v>3490</v>
      </c>
      <c r="ADF1782" t="s">
        <v>3490</v>
      </c>
      <c r="ADG1782" t="s">
        <v>3490</v>
      </c>
      <c r="ADH1782" t="s">
        <v>3490</v>
      </c>
      <c r="ADI1782" t="s">
        <v>3490</v>
      </c>
      <c r="ADJ1782" t="s">
        <v>3490</v>
      </c>
      <c r="ADK1782" t="s">
        <v>3490</v>
      </c>
      <c r="ADL1782" t="s">
        <v>3490</v>
      </c>
      <c r="ADM1782" t="s">
        <v>3490</v>
      </c>
      <c r="ADN1782" t="s">
        <v>3490</v>
      </c>
      <c r="ADO1782" t="s">
        <v>3490</v>
      </c>
      <c r="ADP1782" t="s">
        <v>3490</v>
      </c>
      <c r="ADQ1782" t="s">
        <v>3490</v>
      </c>
      <c r="ADR1782" t="s">
        <v>3490</v>
      </c>
      <c r="ADS1782" t="s">
        <v>3490</v>
      </c>
      <c r="ADT1782" t="s">
        <v>3490</v>
      </c>
      <c r="ADU1782" t="s">
        <v>3490</v>
      </c>
      <c r="ADV1782" t="s">
        <v>3490</v>
      </c>
      <c r="ADW1782" t="s">
        <v>3490</v>
      </c>
      <c r="ADX1782" t="s">
        <v>3490</v>
      </c>
      <c r="ADY1782" t="s">
        <v>3490</v>
      </c>
      <c r="ADZ1782" t="s">
        <v>3490</v>
      </c>
      <c r="AEA1782" t="s">
        <v>3490</v>
      </c>
      <c r="AEB1782" t="s">
        <v>3490</v>
      </c>
      <c r="AEC1782" t="s">
        <v>3490</v>
      </c>
      <c r="AED1782" t="s">
        <v>3490</v>
      </c>
      <c r="AEE1782" t="s">
        <v>3490</v>
      </c>
      <c r="AEF1782" t="s">
        <v>3490</v>
      </c>
      <c r="AEG1782" t="s">
        <v>3490</v>
      </c>
      <c r="AEH1782" t="s">
        <v>3490</v>
      </c>
      <c r="AEI1782" t="s">
        <v>3490</v>
      </c>
      <c r="AEJ1782" t="s">
        <v>3490</v>
      </c>
      <c r="AEK1782" t="s">
        <v>3490</v>
      </c>
      <c r="AEL1782" t="s">
        <v>3490</v>
      </c>
      <c r="AEM1782" t="s">
        <v>3490</v>
      </c>
      <c r="AEN1782" t="s">
        <v>3490</v>
      </c>
      <c r="AEO1782" t="s">
        <v>3490</v>
      </c>
      <c r="AEP1782" t="s">
        <v>3490</v>
      </c>
      <c r="AEQ1782" t="s">
        <v>3490</v>
      </c>
      <c r="AER1782" t="s">
        <v>3490</v>
      </c>
      <c r="AES1782" t="s">
        <v>3490</v>
      </c>
      <c r="AET1782" t="s">
        <v>3490</v>
      </c>
      <c r="AEU1782" t="s">
        <v>3490</v>
      </c>
      <c r="AEV1782" t="s">
        <v>3490</v>
      </c>
      <c r="AEW1782" t="s">
        <v>3490</v>
      </c>
      <c r="AEX1782" t="s">
        <v>3490</v>
      </c>
      <c r="AEY1782" t="s">
        <v>3490</v>
      </c>
      <c r="AEZ1782" t="s">
        <v>3490</v>
      </c>
      <c r="AFA1782" t="s">
        <v>3490</v>
      </c>
      <c r="AFB1782" t="s">
        <v>3490</v>
      </c>
      <c r="AFC1782" t="s">
        <v>3490</v>
      </c>
      <c r="AFD1782" t="s">
        <v>3490</v>
      </c>
      <c r="AFE1782" t="s">
        <v>3490</v>
      </c>
      <c r="AFF1782" t="s">
        <v>3490</v>
      </c>
      <c r="AFG1782" t="s">
        <v>3490</v>
      </c>
      <c r="AFH1782" t="s">
        <v>3490</v>
      </c>
      <c r="AFI1782" t="s">
        <v>3490</v>
      </c>
      <c r="AFJ1782" t="s">
        <v>3490</v>
      </c>
      <c r="AFK1782" t="s">
        <v>3490</v>
      </c>
      <c r="AFL1782" t="s">
        <v>3490</v>
      </c>
      <c r="AFM1782" t="s">
        <v>3490</v>
      </c>
      <c r="AFN1782" t="s">
        <v>3490</v>
      </c>
      <c r="AFO1782" t="s">
        <v>3490</v>
      </c>
      <c r="AFP1782" t="s">
        <v>3490</v>
      </c>
      <c r="AFQ1782" t="s">
        <v>3490</v>
      </c>
      <c r="AFR1782" t="s">
        <v>3490</v>
      </c>
      <c r="AFS1782" t="s">
        <v>3490</v>
      </c>
      <c r="AFT1782" t="s">
        <v>3490</v>
      </c>
      <c r="AFU1782" t="s">
        <v>3490</v>
      </c>
      <c r="AFV1782" t="s">
        <v>3490</v>
      </c>
      <c r="AFW1782" t="s">
        <v>3490</v>
      </c>
      <c r="AFX1782" t="s">
        <v>3490</v>
      </c>
      <c r="AFY1782" t="s">
        <v>3490</v>
      </c>
      <c r="AFZ1782" t="s">
        <v>3490</v>
      </c>
      <c r="AGA1782" t="s">
        <v>3490</v>
      </c>
      <c r="AGB1782" t="s">
        <v>3490</v>
      </c>
      <c r="AGC1782" t="s">
        <v>3490</v>
      </c>
      <c r="AGD1782" t="s">
        <v>3490</v>
      </c>
      <c r="AGE1782" t="s">
        <v>3490</v>
      </c>
      <c r="AGF1782" t="s">
        <v>3490</v>
      </c>
      <c r="AGG1782" t="s">
        <v>3490</v>
      </c>
      <c r="AGH1782" t="s">
        <v>3490</v>
      </c>
      <c r="AGI1782" t="s">
        <v>3490</v>
      </c>
      <c r="AGJ1782" t="s">
        <v>3490</v>
      </c>
      <c r="AGK1782" t="s">
        <v>3490</v>
      </c>
      <c r="AGL1782" t="s">
        <v>3490</v>
      </c>
      <c r="AGM1782" t="s">
        <v>3490</v>
      </c>
      <c r="AGN1782" t="s">
        <v>3490</v>
      </c>
      <c r="AGO1782" t="s">
        <v>3490</v>
      </c>
      <c r="AGP1782" t="s">
        <v>3490</v>
      </c>
      <c r="AGQ1782" t="s">
        <v>3490</v>
      </c>
      <c r="AGR1782" t="s">
        <v>3490</v>
      </c>
      <c r="AGS1782" t="s">
        <v>3490</v>
      </c>
      <c r="AGT1782" t="s">
        <v>3490</v>
      </c>
      <c r="AGU1782" t="s">
        <v>3490</v>
      </c>
      <c r="AGV1782" t="s">
        <v>3490</v>
      </c>
      <c r="AGW1782" t="s">
        <v>3490</v>
      </c>
      <c r="AGX1782" t="s">
        <v>3490</v>
      </c>
      <c r="AGY1782" t="s">
        <v>3490</v>
      </c>
      <c r="AGZ1782" t="s">
        <v>3490</v>
      </c>
      <c r="AHA1782" t="s">
        <v>3490</v>
      </c>
      <c r="AHB1782" t="s">
        <v>3490</v>
      </c>
      <c r="AHC1782" t="s">
        <v>3490</v>
      </c>
      <c r="AHD1782" t="s">
        <v>3490</v>
      </c>
      <c r="AHE1782" t="s">
        <v>3490</v>
      </c>
      <c r="AHF1782" t="s">
        <v>3490</v>
      </c>
      <c r="AHG1782" t="s">
        <v>3490</v>
      </c>
      <c r="AHH1782" t="s">
        <v>3490</v>
      </c>
      <c r="AHI1782" t="s">
        <v>3490</v>
      </c>
      <c r="AHJ1782" t="s">
        <v>3490</v>
      </c>
      <c r="AHK1782" t="s">
        <v>3490</v>
      </c>
      <c r="AHL1782" t="s">
        <v>3490</v>
      </c>
      <c r="AHM1782" t="s">
        <v>3490</v>
      </c>
      <c r="AHN1782" t="s">
        <v>3490</v>
      </c>
      <c r="AHO1782" t="s">
        <v>3490</v>
      </c>
      <c r="AHP1782" t="s">
        <v>3490</v>
      </c>
      <c r="AHQ1782" t="s">
        <v>3490</v>
      </c>
      <c r="AHR1782" t="s">
        <v>3490</v>
      </c>
      <c r="AHS1782" t="s">
        <v>3490</v>
      </c>
      <c r="AHT1782" t="s">
        <v>3490</v>
      </c>
      <c r="AHU1782" t="s">
        <v>3490</v>
      </c>
      <c r="AHV1782" t="s">
        <v>3490</v>
      </c>
      <c r="AHW1782" t="s">
        <v>3490</v>
      </c>
      <c r="AHX1782" t="s">
        <v>3490</v>
      </c>
      <c r="AHY1782" t="s">
        <v>3490</v>
      </c>
      <c r="AHZ1782" t="s">
        <v>3490</v>
      </c>
      <c r="AIA1782" t="s">
        <v>3490</v>
      </c>
      <c r="AIB1782" t="s">
        <v>3490</v>
      </c>
      <c r="AIC1782" t="s">
        <v>3490</v>
      </c>
      <c r="AID1782" t="s">
        <v>3490</v>
      </c>
      <c r="AIE1782" t="s">
        <v>3490</v>
      </c>
      <c r="AIF1782" t="s">
        <v>3490</v>
      </c>
      <c r="AIG1782" t="s">
        <v>3490</v>
      </c>
      <c r="AIH1782" t="s">
        <v>3490</v>
      </c>
      <c r="AII1782" t="s">
        <v>3490</v>
      </c>
      <c r="AIJ1782" t="s">
        <v>3490</v>
      </c>
      <c r="AIK1782" t="s">
        <v>3490</v>
      </c>
      <c r="AIL1782" t="s">
        <v>3490</v>
      </c>
      <c r="AIM1782" t="s">
        <v>3490</v>
      </c>
      <c r="AIN1782" t="s">
        <v>3490</v>
      </c>
      <c r="AIO1782" t="s">
        <v>3490</v>
      </c>
      <c r="AIP1782" t="s">
        <v>3490</v>
      </c>
      <c r="AIQ1782" t="s">
        <v>3490</v>
      </c>
      <c r="AIR1782" t="s">
        <v>3490</v>
      </c>
      <c r="AIS1782" t="s">
        <v>3490</v>
      </c>
      <c r="AIT1782" t="s">
        <v>3490</v>
      </c>
      <c r="AIU1782" t="s">
        <v>3490</v>
      </c>
      <c r="AIV1782" t="s">
        <v>3490</v>
      </c>
      <c r="AIW1782" t="s">
        <v>3490</v>
      </c>
      <c r="AIX1782" t="s">
        <v>3490</v>
      </c>
      <c r="AIY1782" t="s">
        <v>3490</v>
      </c>
      <c r="AIZ1782" t="s">
        <v>3490</v>
      </c>
      <c r="AJA1782" t="s">
        <v>3490</v>
      </c>
      <c r="AJB1782" t="s">
        <v>3490</v>
      </c>
      <c r="AJC1782" t="s">
        <v>3490</v>
      </c>
      <c r="AJD1782" t="s">
        <v>3490</v>
      </c>
      <c r="AJE1782" t="s">
        <v>3490</v>
      </c>
      <c r="AJF1782" t="s">
        <v>3490</v>
      </c>
      <c r="AJG1782" t="s">
        <v>3490</v>
      </c>
      <c r="AJH1782" t="s">
        <v>3490</v>
      </c>
      <c r="AJI1782" t="s">
        <v>3490</v>
      </c>
      <c r="AJJ1782" t="s">
        <v>3490</v>
      </c>
      <c r="AJK1782" t="s">
        <v>3490</v>
      </c>
      <c r="AJL1782" t="s">
        <v>3490</v>
      </c>
      <c r="AJM1782" t="s">
        <v>3490</v>
      </c>
      <c r="AJN1782" t="s">
        <v>3490</v>
      </c>
      <c r="AJO1782" t="s">
        <v>3490</v>
      </c>
      <c r="AJP1782" t="s">
        <v>3490</v>
      </c>
      <c r="AJQ1782" t="s">
        <v>3490</v>
      </c>
      <c r="AJR1782" t="s">
        <v>3490</v>
      </c>
      <c r="AJS1782" t="s">
        <v>3490</v>
      </c>
      <c r="AJT1782" t="s">
        <v>3490</v>
      </c>
      <c r="AJU1782" t="s">
        <v>3490</v>
      </c>
      <c r="AJV1782" t="s">
        <v>3490</v>
      </c>
      <c r="AJW1782" t="s">
        <v>3490</v>
      </c>
      <c r="AJX1782" t="s">
        <v>3490</v>
      </c>
      <c r="AJY1782" t="s">
        <v>3490</v>
      </c>
      <c r="AJZ1782" t="s">
        <v>3490</v>
      </c>
      <c r="AKA1782" t="s">
        <v>3490</v>
      </c>
      <c r="AKB1782" t="s">
        <v>3490</v>
      </c>
      <c r="AKC1782" t="s">
        <v>3490</v>
      </c>
      <c r="AKD1782" t="s">
        <v>3490</v>
      </c>
      <c r="AKE1782" t="s">
        <v>3490</v>
      </c>
      <c r="AKF1782" t="s">
        <v>3490</v>
      </c>
      <c r="AKG1782" t="s">
        <v>3490</v>
      </c>
      <c r="AKH1782" t="s">
        <v>3490</v>
      </c>
      <c r="AKI1782" t="s">
        <v>3490</v>
      </c>
      <c r="AKJ1782" t="s">
        <v>3490</v>
      </c>
      <c r="AKK1782" t="s">
        <v>3490</v>
      </c>
      <c r="AKL1782" t="s">
        <v>3490</v>
      </c>
      <c r="AKM1782" t="s">
        <v>3490</v>
      </c>
      <c r="AKN1782" t="s">
        <v>3490</v>
      </c>
      <c r="AKO1782" t="s">
        <v>3490</v>
      </c>
      <c r="AKP1782" t="s">
        <v>3490</v>
      </c>
      <c r="AKQ1782" t="s">
        <v>3490</v>
      </c>
      <c r="AKR1782" t="s">
        <v>3490</v>
      </c>
      <c r="AKS1782" t="s">
        <v>3490</v>
      </c>
      <c r="AKT1782" t="s">
        <v>3490</v>
      </c>
      <c r="AKU1782" t="s">
        <v>3490</v>
      </c>
      <c r="AKV1782" t="s">
        <v>3490</v>
      </c>
      <c r="AKW1782" t="s">
        <v>3490</v>
      </c>
      <c r="AKX1782" t="s">
        <v>3490</v>
      </c>
      <c r="AKY1782" t="s">
        <v>3490</v>
      </c>
      <c r="AKZ1782" t="s">
        <v>3490</v>
      </c>
      <c r="ALA1782" t="s">
        <v>3490</v>
      </c>
      <c r="ALB1782" t="s">
        <v>3490</v>
      </c>
      <c r="ALC1782" t="s">
        <v>3490</v>
      </c>
      <c r="ALD1782" t="s">
        <v>3490</v>
      </c>
      <c r="ALE1782" t="s">
        <v>3490</v>
      </c>
      <c r="ALF1782" t="s">
        <v>3490</v>
      </c>
      <c r="ALG1782" t="s">
        <v>3490</v>
      </c>
      <c r="ALH1782" t="s">
        <v>3490</v>
      </c>
      <c r="ALI1782" t="s">
        <v>3490</v>
      </c>
      <c r="ALJ1782" t="s">
        <v>3490</v>
      </c>
      <c r="ALK1782" t="s">
        <v>3490</v>
      </c>
      <c r="ALL1782" t="s">
        <v>3490</v>
      </c>
      <c r="ALM1782" t="s">
        <v>3490</v>
      </c>
      <c r="ALN1782" t="s">
        <v>3490</v>
      </c>
      <c r="ALO1782" t="s">
        <v>3490</v>
      </c>
      <c r="ALP1782" t="s">
        <v>3490</v>
      </c>
      <c r="ALQ1782" t="s">
        <v>3490</v>
      </c>
      <c r="ALR1782" t="s">
        <v>3490</v>
      </c>
      <c r="ALS1782" t="s">
        <v>3490</v>
      </c>
      <c r="ALT1782" t="s">
        <v>3490</v>
      </c>
      <c r="ALU1782" t="s">
        <v>3490</v>
      </c>
      <c r="ALV1782" t="s">
        <v>3490</v>
      </c>
      <c r="ALW1782" t="s">
        <v>3490</v>
      </c>
      <c r="ALX1782" t="s">
        <v>3490</v>
      </c>
      <c r="ALY1782" t="s">
        <v>3490</v>
      </c>
      <c r="ALZ1782" t="s">
        <v>3490</v>
      </c>
      <c r="AMA1782" t="s">
        <v>3490</v>
      </c>
      <c r="AMB1782" t="s">
        <v>3490</v>
      </c>
      <c r="AMC1782" t="s">
        <v>3490</v>
      </c>
      <c r="AMD1782" t="s">
        <v>3490</v>
      </c>
      <c r="AME1782" t="s">
        <v>3490</v>
      </c>
      <c r="AMF1782" t="s">
        <v>3490</v>
      </c>
      <c r="AMG1782" t="s">
        <v>3490</v>
      </c>
      <c r="AMH1782" t="s">
        <v>3490</v>
      </c>
      <c r="AMI1782" t="s">
        <v>3490</v>
      </c>
      <c r="AMJ1782" t="s">
        <v>3490</v>
      </c>
      <c r="AMK1782" t="s">
        <v>3490</v>
      </c>
      <c r="AML1782" t="s">
        <v>3490</v>
      </c>
      <c r="AMM1782" t="s">
        <v>3490</v>
      </c>
      <c r="AMN1782" t="s">
        <v>3490</v>
      </c>
      <c r="AMO1782" t="s">
        <v>3490</v>
      </c>
      <c r="AMP1782" t="s">
        <v>3490</v>
      </c>
      <c r="AMQ1782" t="s">
        <v>3490</v>
      </c>
      <c r="AMR1782" t="s">
        <v>3490</v>
      </c>
      <c r="AMS1782" t="s">
        <v>3490</v>
      </c>
      <c r="AMT1782" t="s">
        <v>3490</v>
      </c>
      <c r="AMU1782" t="s">
        <v>3490</v>
      </c>
      <c r="AMV1782" t="s">
        <v>3490</v>
      </c>
      <c r="AMW1782" t="s">
        <v>3490</v>
      </c>
      <c r="AMX1782" t="s">
        <v>3490</v>
      </c>
      <c r="AMY1782" t="s">
        <v>3490</v>
      </c>
      <c r="AMZ1782" t="s">
        <v>3490</v>
      </c>
      <c r="ANA1782" t="s">
        <v>3490</v>
      </c>
      <c r="ANB1782" t="s">
        <v>3490</v>
      </c>
      <c r="ANC1782" t="s">
        <v>3490</v>
      </c>
      <c r="AND1782" t="s">
        <v>3490</v>
      </c>
      <c r="ANE1782" t="s">
        <v>3490</v>
      </c>
      <c r="ANF1782" t="s">
        <v>3490</v>
      </c>
      <c r="ANG1782" t="s">
        <v>3490</v>
      </c>
      <c r="ANH1782" t="s">
        <v>3490</v>
      </c>
      <c r="ANI1782" t="s">
        <v>3490</v>
      </c>
      <c r="ANJ1782" t="s">
        <v>3490</v>
      </c>
      <c r="ANK1782" t="s">
        <v>3490</v>
      </c>
      <c r="ANL1782" t="s">
        <v>3490</v>
      </c>
      <c r="ANM1782" t="s">
        <v>3490</v>
      </c>
      <c r="ANN1782" t="s">
        <v>3490</v>
      </c>
      <c r="ANO1782" t="s">
        <v>3490</v>
      </c>
      <c r="ANP1782" t="s">
        <v>3490</v>
      </c>
      <c r="ANQ1782" t="s">
        <v>3490</v>
      </c>
      <c r="ANR1782" t="s">
        <v>3490</v>
      </c>
      <c r="ANS1782" t="s">
        <v>3490</v>
      </c>
      <c r="ANT1782" t="s">
        <v>3490</v>
      </c>
      <c r="ANU1782" t="s">
        <v>3490</v>
      </c>
      <c r="ANV1782" t="s">
        <v>3490</v>
      </c>
      <c r="ANW1782" t="s">
        <v>3490</v>
      </c>
      <c r="ANX1782" t="s">
        <v>3490</v>
      </c>
      <c r="ANY1782" t="s">
        <v>3490</v>
      </c>
      <c r="ANZ1782" t="s">
        <v>3490</v>
      </c>
      <c r="AOA1782" t="s">
        <v>3490</v>
      </c>
      <c r="AOB1782" t="s">
        <v>3490</v>
      </c>
      <c r="AOC1782" t="s">
        <v>3490</v>
      </c>
      <c r="AOD1782" t="s">
        <v>3490</v>
      </c>
      <c r="AOE1782" t="s">
        <v>3490</v>
      </c>
      <c r="AOF1782" t="s">
        <v>3490</v>
      </c>
      <c r="AOG1782" t="s">
        <v>3490</v>
      </c>
      <c r="AOH1782" t="s">
        <v>3490</v>
      </c>
      <c r="AOI1782" t="s">
        <v>3490</v>
      </c>
      <c r="AOJ1782" t="s">
        <v>3490</v>
      </c>
      <c r="AOK1782" t="s">
        <v>3490</v>
      </c>
      <c r="AOL1782" t="s">
        <v>3490</v>
      </c>
      <c r="AOM1782" t="s">
        <v>3490</v>
      </c>
      <c r="AON1782" t="s">
        <v>3490</v>
      </c>
      <c r="AOO1782" t="s">
        <v>3490</v>
      </c>
      <c r="AOP1782" t="s">
        <v>3490</v>
      </c>
      <c r="AOQ1782" t="s">
        <v>3490</v>
      </c>
      <c r="AOR1782" t="s">
        <v>3490</v>
      </c>
      <c r="AOS1782" t="s">
        <v>3490</v>
      </c>
      <c r="AOT1782" t="s">
        <v>3490</v>
      </c>
      <c r="AOU1782" t="s">
        <v>3490</v>
      </c>
      <c r="AOV1782" t="s">
        <v>3490</v>
      </c>
      <c r="AOW1782" t="s">
        <v>3490</v>
      </c>
      <c r="AOX1782" t="s">
        <v>3490</v>
      </c>
      <c r="AOY1782" t="s">
        <v>3490</v>
      </c>
      <c r="AOZ1782" t="s">
        <v>3490</v>
      </c>
      <c r="APA1782" t="s">
        <v>3490</v>
      </c>
      <c r="APB1782" t="s">
        <v>3490</v>
      </c>
      <c r="APC1782" t="s">
        <v>3490</v>
      </c>
      <c r="APD1782" t="s">
        <v>3490</v>
      </c>
      <c r="APE1782" t="s">
        <v>3490</v>
      </c>
      <c r="APF1782" t="s">
        <v>3490</v>
      </c>
      <c r="APG1782" t="s">
        <v>3490</v>
      </c>
      <c r="APH1782" t="s">
        <v>3490</v>
      </c>
      <c r="API1782" t="s">
        <v>3490</v>
      </c>
      <c r="APJ1782" t="s">
        <v>3490</v>
      </c>
      <c r="APK1782" t="s">
        <v>3490</v>
      </c>
      <c r="APL1782" t="s">
        <v>3490</v>
      </c>
      <c r="APM1782" t="s">
        <v>3490</v>
      </c>
      <c r="APN1782" t="s">
        <v>3490</v>
      </c>
      <c r="APO1782" t="s">
        <v>3490</v>
      </c>
      <c r="APP1782" t="s">
        <v>3490</v>
      </c>
      <c r="APQ1782" t="s">
        <v>3490</v>
      </c>
      <c r="APR1782" t="s">
        <v>3490</v>
      </c>
      <c r="APS1782" t="s">
        <v>3490</v>
      </c>
      <c r="APT1782" t="s">
        <v>3490</v>
      </c>
      <c r="APU1782" t="s">
        <v>3490</v>
      </c>
      <c r="APV1782" t="s">
        <v>3490</v>
      </c>
      <c r="APW1782" t="s">
        <v>3490</v>
      </c>
      <c r="APX1782" t="s">
        <v>3490</v>
      </c>
      <c r="APY1782" t="s">
        <v>3490</v>
      </c>
      <c r="APZ1782" t="s">
        <v>3490</v>
      </c>
      <c r="AQA1782" t="s">
        <v>3490</v>
      </c>
      <c r="AQB1782" t="s">
        <v>3490</v>
      </c>
      <c r="AQC1782" t="s">
        <v>3490</v>
      </c>
      <c r="AQD1782" t="s">
        <v>3490</v>
      </c>
      <c r="AQE1782" t="s">
        <v>3490</v>
      </c>
      <c r="AQF1782" t="s">
        <v>3490</v>
      </c>
      <c r="AQG1782" t="s">
        <v>3490</v>
      </c>
      <c r="AQH1782" t="s">
        <v>3490</v>
      </c>
      <c r="AQI1782" t="s">
        <v>3490</v>
      </c>
      <c r="AQJ1782" t="s">
        <v>3490</v>
      </c>
      <c r="AQK1782" t="s">
        <v>3490</v>
      </c>
      <c r="AQL1782" t="s">
        <v>3490</v>
      </c>
      <c r="AQM1782" t="s">
        <v>3490</v>
      </c>
      <c r="AQN1782" t="s">
        <v>3490</v>
      </c>
      <c r="AQO1782" t="s">
        <v>3490</v>
      </c>
      <c r="AQP1782" t="s">
        <v>3490</v>
      </c>
      <c r="AQQ1782" t="s">
        <v>3490</v>
      </c>
      <c r="AQR1782" t="s">
        <v>3490</v>
      </c>
      <c r="AQS1782" t="s">
        <v>3490</v>
      </c>
      <c r="AQT1782" t="s">
        <v>3490</v>
      </c>
      <c r="AQU1782" t="s">
        <v>3490</v>
      </c>
      <c r="AQV1782" t="s">
        <v>3490</v>
      </c>
      <c r="AQW1782" t="s">
        <v>3490</v>
      </c>
      <c r="AQX1782" t="s">
        <v>3490</v>
      </c>
      <c r="AQY1782" t="s">
        <v>3490</v>
      </c>
      <c r="AQZ1782" t="s">
        <v>3490</v>
      </c>
      <c r="ARA1782" t="s">
        <v>3490</v>
      </c>
      <c r="ARB1782" t="s">
        <v>3490</v>
      </c>
      <c r="ARC1782" t="s">
        <v>3490</v>
      </c>
      <c r="ARD1782" t="s">
        <v>3490</v>
      </c>
      <c r="ARE1782" t="s">
        <v>3490</v>
      </c>
      <c r="ARF1782" t="s">
        <v>3490</v>
      </c>
      <c r="ARG1782" t="s">
        <v>3490</v>
      </c>
      <c r="ARH1782" t="s">
        <v>3490</v>
      </c>
      <c r="ARI1782" t="s">
        <v>3490</v>
      </c>
      <c r="ARJ1782" t="s">
        <v>3490</v>
      </c>
      <c r="ARK1782" t="s">
        <v>3490</v>
      </c>
      <c r="ARL1782" t="s">
        <v>3490</v>
      </c>
      <c r="ARM1782" t="s">
        <v>3490</v>
      </c>
      <c r="ARN1782" t="s">
        <v>3490</v>
      </c>
      <c r="ARO1782" t="s">
        <v>3490</v>
      </c>
      <c r="ARP1782" t="s">
        <v>3490</v>
      </c>
      <c r="ARQ1782" t="s">
        <v>3490</v>
      </c>
      <c r="ARR1782" t="s">
        <v>3490</v>
      </c>
      <c r="ARS1782" t="s">
        <v>3490</v>
      </c>
      <c r="ART1782" t="s">
        <v>3490</v>
      </c>
      <c r="ARU1782" t="s">
        <v>3490</v>
      </c>
      <c r="ARV1782" t="s">
        <v>3490</v>
      </c>
      <c r="ARW1782" t="s">
        <v>3490</v>
      </c>
      <c r="ARX1782" t="s">
        <v>3490</v>
      </c>
      <c r="ARY1782" t="s">
        <v>3490</v>
      </c>
      <c r="ARZ1782" t="s">
        <v>3490</v>
      </c>
      <c r="ASA1782" t="s">
        <v>3490</v>
      </c>
      <c r="ASB1782" t="s">
        <v>3490</v>
      </c>
      <c r="ASC1782" t="s">
        <v>3490</v>
      </c>
      <c r="ASD1782" t="s">
        <v>3490</v>
      </c>
      <c r="ASE1782" t="s">
        <v>3490</v>
      </c>
      <c r="ASF1782" t="s">
        <v>3490</v>
      </c>
      <c r="ASG1782" t="s">
        <v>3490</v>
      </c>
      <c r="ASH1782" t="s">
        <v>3490</v>
      </c>
      <c r="ASI1782" t="s">
        <v>3490</v>
      </c>
      <c r="ASJ1782" t="s">
        <v>3490</v>
      </c>
      <c r="ASK1782" t="s">
        <v>3490</v>
      </c>
      <c r="ASL1782" t="s">
        <v>3490</v>
      </c>
      <c r="ASM1782" t="s">
        <v>3490</v>
      </c>
      <c r="ASN1782" t="s">
        <v>3490</v>
      </c>
      <c r="ASO1782" t="s">
        <v>3490</v>
      </c>
      <c r="ASP1782" t="s">
        <v>3490</v>
      </c>
      <c r="ASQ1782" t="s">
        <v>3490</v>
      </c>
      <c r="ASR1782" t="s">
        <v>3490</v>
      </c>
      <c r="ASS1782" t="s">
        <v>3490</v>
      </c>
      <c r="AST1782" t="s">
        <v>3490</v>
      </c>
      <c r="ASU1782" t="s">
        <v>3490</v>
      </c>
      <c r="ASV1782" t="s">
        <v>3490</v>
      </c>
      <c r="ASW1782" t="s">
        <v>3490</v>
      </c>
      <c r="ASX1782" t="s">
        <v>3490</v>
      </c>
      <c r="ASY1782" t="s">
        <v>3490</v>
      </c>
      <c r="ASZ1782" t="s">
        <v>3490</v>
      </c>
      <c r="ATA1782" t="s">
        <v>3490</v>
      </c>
      <c r="ATB1782" t="s">
        <v>3490</v>
      </c>
      <c r="ATC1782" t="s">
        <v>3490</v>
      </c>
      <c r="ATD1782" t="s">
        <v>3490</v>
      </c>
      <c r="ATE1782" t="s">
        <v>3490</v>
      </c>
      <c r="ATF1782" t="s">
        <v>3490</v>
      </c>
      <c r="ATG1782" t="s">
        <v>3490</v>
      </c>
      <c r="ATH1782" t="s">
        <v>3490</v>
      </c>
      <c r="ATI1782" t="s">
        <v>3490</v>
      </c>
      <c r="ATJ1782" t="s">
        <v>3490</v>
      </c>
      <c r="ATK1782" t="s">
        <v>3490</v>
      </c>
      <c r="ATL1782" t="s">
        <v>3490</v>
      </c>
      <c r="ATM1782" t="s">
        <v>3490</v>
      </c>
      <c r="ATN1782" t="s">
        <v>3490</v>
      </c>
      <c r="ATO1782" t="s">
        <v>3490</v>
      </c>
      <c r="ATP1782" t="s">
        <v>3490</v>
      </c>
      <c r="ATQ1782" t="s">
        <v>3490</v>
      </c>
      <c r="ATR1782" t="s">
        <v>3490</v>
      </c>
      <c r="ATS1782" t="s">
        <v>3490</v>
      </c>
      <c r="ATT1782" t="s">
        <v>3490</v>
      </c>
      <c r="ATU1782" t="s">
        <v>3490</v>
      </c>
      <c r="ATV1782" t="s">
        <v>3490</v>
      </c>
      <c r="ATW1782" t="s">
        <v>3490</v>
      </c>
      <c r="ATX1782" t="s">
        <v>3490</v>
      </c>
      <c r="ATY1782" t="s">
        <v>3490</v>
      </c>
      <c r="ATZ1782" t="s">
        <v>3490</v>
      </c>
      <c r="AUA1782" t="s">
        <v>3490</v>
      </c>
      <c r="AUB1782" t="s">
        <v>3490</v>
      </c>
      <c r="AUC1782" t="s">
        <v>3490</v>
      </c>
      <c r="AUD1782" t="s">
        <v>3490</v>
      </c>
      <c r="AUE1782" t="s">
        <v>3490</v>
      </c>
      <c r="AUF1782" t="s">
        <v>3490</v>
      </c>
      <c r="AUG1782" t="s">
        <v>3490</v>
      </c>
      <c r="AUH1782" t="s">
        <v>3490</v>
      </c>
      <c r="AUI1782" t="s">
        <v>3490</v>
      </c>
      <c r="AUJ1782" t="s">
        <v>3490</v>
      </c>
      <c r="AUK1782" t="s">
        <v>3490</v>
      </c>
      <c r="AUL1782" t="s">
        <v>3490</v>
      </c>
      <c r="AUM1782" t="s">
        <v>3490</v>
      </c>
      <c r="AUN1782" t="s">
        <v>3490</v>
      </c>
      <c r="AUO1782" t="s">
        <v>3490</v>
      </c>
      <c r="AUP1782" t="s">
        <v>3490</v>
      </c>
      <c r="AUQ1782" t="s">
        <v>3490</v>
      </c>
      <c r="AUR1782" t="s">
        <v>3490</v>
      </c>
      <c r="AUS1782" t="s">
        <v>3490</v>
      </c>
      <c r="AUT1782" t="s">
        <v>3490</v>
      </c>
      <c r="AUU1782" t="s">
        <v>3490</v>
      </c>
      <c r="AUV1782" t="s">
        <v>3490</v>
      </c>
      <c r="AUW1782" t="s">
        <v>3490</v>
      </c>
      <c r="AUX1782" t="s">
        <v>3490</v>
      </c>
      <c r="AUY1782" t="s">
        <v>3490</v>
      </c>
      <c r="AUZ1782" t="s">
        <v>3490</v>
      </c>
      <c r="AVA1782" t="s">
        <v>3490</v>
      </c>
      <c r="AVB1782" t="s">
        <v>3490</v>
      </c>
      <c r="AVC1782" t="s">
        <v>3490</v>
      </c>
      <c r="AVD1782" t="s">
        <v>3490</v>
      </c>
      <c r="AVE1782" t="s">
        <v>3490</v>
      </c>
      <c r="AVF1782" t="s">
        <v>3490</v>
      </c>
      <c r="AVG1782" t="s">
        <v>3490</v>
      </c>
      <c r="AVH1782" t="s">
        <v>3490</v>
      </c>
      <c r="AVI1782" t="s">
        <v>3490</v>
      </c>
      <c r="AVJ1782" t="s">
        <v>3490</v>
      </c>
      <c r="AVK1782" t="s">
        <v>3490</v>
      </c>
      <c r="AVL1782" t="s">
        <v>3490</v>
      </c>
      <c r="AVM1782" t="s">
        <v>3490</v>
      </c>
      <c r="AVN1782" t="s">
        <v>3490</v>
      </c>
      <c r="AVO1782" t="s">
        <v>3490</v>
      </c>
      <c r="AVP1782" t="s">
        <v>3490</v>
      </c>
      <c r="AVQ1782" t="s">
        <v>3490</v>
      </c>
      <c r="AVR1782" t="s">
        <v>3490</v>
      </c>
      <c r="AVS1782" t="s">
        <v>3490</v>
      </c>
      <c r="AVT1782" t="s">
        <v>3490</v>
      </c>
      <c r="AVU1782" t="s">
        <v>3490</v>
      </c>
      <c r="AVV1782" t="s">
        <v>3490</v>
      </c>
      <c r="AVW1782" t="s">
        <v>3490</v>
      </c>
      <c r="AVX1782" t="s">
        <v>3490</v>
      </c>
      <c r="AVY1782" t="s">
        <v>3490</v>
      </c>
      <c r="AVZ1782" t="s">
        <v>3490</v>
      </c>
      <c r="AWA1782" t="s">
        <v>3490</v>
      </c>
      <c r="AWB1782" t="s">
        <v>3490</v>
      </c>
      <c r="AWC1782" t="s">
        <v>3490</v>
      </c>
      <c r="AWD1782" t="s">
        <v>3490</v>
      </c>
      <c r="AWE1782" t="s">
        <v>3490</v>
      </c>
      <c r="AWF1782" t="s">
        <v>3490</v>
      </c>
      <c r="AWG1782" t="s">
        <v>3490</v>
      </c>
      <c r="AWH1782" t="s">
        <v>3490</v>
      </c>
      <c r="AWI1782" t="s">
        <v>3490</v>
      </c>
      <c r="AWJ1782" t="s">
        <v>3490</v>
      </c>
      <c r="AWK1782" t="s">
        <v>3490</v>
      </c>
      <c r="AWL1782" t="s">
        <v>3490</v>
      </c>
      <c r="AWM1782" t="s">
        <v>3490</v>
      </c>
      <c r="AWN1782" t="s">
        <v>3490</v>
      </c>
      <c r="AWO1782" t="s">
        <v>3490</v>
      </c>
      <c r="AWP1782" t="s">
        <v>3490</v>
      </c>
      <c r="AWQ1782" t="s">
        <v>3490</v>
      </c>
      <c r="AWR1782" t="s">
        <v>3490</v>
      </c>
      <c r="AWS1782" t="s">
        <v>3490</v>
      </c>
      <c r="AWT1782" t="s">
        <v>3490</v>
      </c>
      <c r="AWU1782" t="s">
        <v>3490</v>
      </c>
      <c r="AWV1782" t="s">
        <v>3490</v>
      </c>
      <c r="AWW1782" t="s">
        <v>3490</v>
      </c>
      <c r="AWX1782" t="s">
        <v>3490</v>
      </c>
      <c r="AWY1782" t="s">
        <v>3490</v>
      </c>
      <c r="AWZ1782" t="s">
        <v>3490</v>
      </c>
      <c r="AXA1782" t="s">
        <v>3490</v>
      </c>
      <c r="AXB1782" t="s">
        <v>3490</v>
      </c>
      <c r="AXC1782" t="s">
        <v>3490</v>
      </c>
      <c r="AXD1782" t="s">
        <v>3490</v>
      </c>
      <c r="AXE1782" t="s">
        <v>3490</v>
      </c>
      <c r="AXF1782" t="s">
        <v>3490</v>
      </c>
      <c r="AXG1782" t="s">
        <v>3490</v>
      </c>
      <c r="AXH1782" t="s">
        <v>3490</v>
      </c>
      <c r="AXI1782" t="s">
        <v>3490</v>
      </c>
      <c r="AXJ1782" t="s">
        <v>3490</v>
      </c>
      <c r="AXK1782" t="s">
        <v>3490</v>
      </c>
      <c r="AXL1782" t="s">
        <v>3490</v>
      </c>
      <c r="AXM1782" t="s">
        <v>3490</v>
      </c>
      <c r="AXN1782" t="s">
        <v>3490</v>
      </c>
      <c r="AXO1782" t="s">
        <v>3490</v>
      </c>
      <c r="AXP1782" t="s">
        <v>3490</v>
      </c>
      <c r="AXQ1782" t="s">
        <v>3490</v>
      </c>
      <c r="AXR1782" t="s">
        <v>3490</v>
      </c>
      <c r="AXS1782" t="s">
        <v>3490</v>
      </c>
      <c r="AXT1782" t="s">
        <v>3490</v>
      </c>
      <c r="AXU1782" t="s">
        <v>3490</v>
      </c>
      <c r="AXV1782" t="s">
        <v>3490</v>
      </c>
      <c r="AXW1782" t="s">
        <v>3490</v>
      </c>
      <c r="AXX1782" t="s">
        <v>3490</v>
      </c>
      <c r="AXY1782" t="s">
        <v>3490</v>
      </c>
      <c r="AXZ1782" t="s">
        <v>3490</v>
      </c>
      <c r="AYA1782" t="s">
        <v>3490</v>
      </c>
      <c r="AYB1782" t="s">
        <v>3490</v>
      </c>
      <c r="AYC1782" t="s">
        <v>3490</v>
      </c>
      <c r="AYD1782" t="s">
        <v>3490</v>
      </c>
      <c r="AYE1782" t="s">
        <v>3490</v>
      </c>
      <c r="AYF1782" t="s">
        <v>3490</v>
      </c>
      <c r="AYG1782" t="s">
        <v>3490</v>
      </c>
      <c r="AYH1782" t="s">
        <v>3490</v>
      </c>
      <c r="AYI1782" t="s">
        <v>3490</v>
      </c>
      <c r="AYJ1782" t="s">
        <v>3490</v>
      </c>
      <c r="AYK1782" t="s">
        <v>3490</v>
      </c>
      <c r="AYL1782" t="s">
        <v>3490</v>
      </c>
      <c r="AYM1782" t="s">
        <v>3490</v>
      </c>
      <c r="AYN1782" t="s">
        <v>3490</v>
      </c>
      <c r="AYO1782" t="s">
        <v>3490</v>
      </c>
      <c r="AYP1782" t="s">
        <v>3490</v>
      </c>
      <c r="AYQ1782" t="s">
        <v>3490</v>
      </c>
      <c r="AYR1782" t="s">
        <v>3490</v>
      </c>
      <c r="AYS1782" t="s">
        <v>3490</v>
      </c>
      <c r="AYT1782" t="s">
        <v>3490</v>
      </c>
      <c r="AYU1782" t="s">
        <v>3490</v>
      </c>
      <c r="AYV1782" t="s">
        <v>3490</v>
      </c>
      <c r="AYW1782" t="s">
        <v>3490</v>
      </c>
      <c r="AYX1782" t="s">
        <v>3490</v>
      </c>
      <c r="AYY1782" t="s">
        <v>3490</v>
      </c>
      <c r="AYZ1782" t="s">
        <v>3490</v>
      </c>
      <c r="AZA1782" t="s">
        <v>3490</v>
      </c>
      <c r="AZB1782" t="s">
        <v>3490</v>
      </c>
      <c r="AZC1782" t="s">
        <v>3490</v>
      </c>
      <c r="AZD1782" t="s">
        <v>3490</v>
      </c>
      <c r="AZE1782" t="s">
        <v>3490</v>
      </c>
      <c r="AZF1782" t="s">
        <v>3490</v>
      </c>
      <c r="AZG1782" t="s">
        <v>3490</v>
      </c>
      <c r="AZH1782" t="s">
        <v>3490</v>
      </c>
      <c r="AZI1782" t="s">
        <v>3490</v>
      </c>
      <c r="AZJ1782" t="s">
        <v>3490</v>
      </c>
      <c r="AZK1782" t="s">
        <v>3490</v>
      </c>
      <c r="AZL1782" t="s">
        <v>3490</v>
      </c>
      <c r="AZM1782" t="s">
        <v>3490</v>
      </c>
      <c r="AZN1782" t="s">
        <v>3490</v>
      </c>
      <c r="AZO1782" t="s">
        <v>3490</v>
      </c>
      <c r="AZP1782" t="s">
        <v>3490</v>
      </c>
      <c r="AZQ1782" t="s">
        <v>3490</v>
      </c>
      <c r="AZR1782" t="s">
        <v>3490</v>
      </c>
      <c r="AZS1782" t="s">
        <v>3490</v>
      </c>
      <c r="AZT1782" t="s">
        <v>3490</v>
      </c>
      <c r="AZU1782" t="s">
        <v>3490</v>
      </c>
      <c r="AZV1782" t="s">
        <v>3490</v>
      </c>
      <c r="AZW1782" t="s">
        <v>3490</v>
      </c>
      <c r="AZX1782" t="s">
        <v>3490</v>
      </c>
      <c r="AZY1782" t="s">
        <v>3490</v>
      </c>
      <c r="AZZ1782" t="s">
        <v>3490</v>
      </c>
      <c r="BAA1782" t="s">
        <v>3490</v>
      </c>
      <c r="BAB1782" t="s">
        <v>3490</v>
      </c>
      <c r="BAC1782" t="s">
        <v>3490</v>
      </c>
      <c r="BAD1782" t="s">
        <v>3490</v>
      </c>
      <c r="BAE1782" t="s">
        <v>3490</v>
      </c>
      <c r="BAF1782" t="s">
        <v>3490</v>
      </c>
      <c r="BAG1782" t="s">
        <v>3490</v>
      </c>
      <c r="BAH1782" t="s">
        <v>3490</v>
      </c>
      <c r="BAI1782" t="s">
        <v>3490</v>
      </c>
      <c r="BAJ1782" t="s">
        <v>3490</v>
      </c>
      <c r="BAK1782" t="s">
        <v>3490</v>
      </c>
      <c r="BAL1782" t="s">
        <v>3490</v>
      </c>
      <c r="BAM1782" t="s">
        <v>3490</v>
      </c>
      <c r="BAN1782" t="s">
        <v>3490</v>
      </c>
      <c r="BAO1782" t="s">
        <v>3490</v>
      </c>
      <c r="BAP1782" t="s">
        <v>3490</v>
      </c>
      <c r="BAQ1782" t="s">
        <v>3490</v>
      </c>
      <c r="BAR1782" t="s">
        <v>3490</v>
      </c>
      <c r="BAS1782" t="s">
        <v>3490</v>
      </c>
      <c r="BAT1782" t="s">
        <v>3490</v>
      </c>
      <c r="BAU1782" t="s">
        <v>3490</v>
      </c>
      <c r="BAV1782" t="s">
        <v>3490</v>
      </c>
      <c r="BAW1782" t="s">
        <v>3490</v>
      </c>
      <c r="BAX1782" t="s">
        <v>3490</v>
      </c>
      <c r="BAY1782" t="s">
        <v>3490</v>
      </c>
      <c r="BAZ1782" t="s">
        <v>3490</v>
      </c>
      <c r="BBA1782" t="s">
        <v>3490</v>
      </c>
      <c r="BBB1782" t="s">
        <v>3490</v>
      </c>
      <c r="BBC1782" t="s">
        <v>3490</v>
      </c>
      <c r="BBD1782" t="s">
        <v>3490</v>
      </c>
      <c r="BBE1782" t="s">
        <v>3490</v>
      </c>
      <c r="BBF1782" t="s">
        <v>3490</v>
      </c>
      <c r="BBG1782" t="s">
        <v>3490</v>
      </c>
      <c r="BBH1782" t="s">
        <v>3490</v>
      </c>
      <c r="BBI1782" t="s">
        <v>3490</v>
      </c>
      <c r="BBJ1782" t="s">
        <v>3490</v>
      </c>
      <c r="BBK1782" t="s">
        <v>3490</v>
      </c>
      <c r="BBL1782" t="s">
        <v>3490</v>
      </c>
      <c r="BBM1782" t="s">
        <v>3490</v>
      </c>
      <c r="BBN1782" t="s">
        <v>3490</v>
      </c>
      <c r="BBO1782" t="s">
        <v>3490</v>
      </c>
      <c r="BBP1782" t="s">
        <v>3490</v>
      </c>
      <c r="BBQ1782" t="s">
        <v>3490</v>
      </c>
      <c r="BBR1782" t="s">
        <v>3490</v>
      </c>
      <c r="BBS1782" t="s">
        <v>3490</v>
      </c>
      <c r="BBT1782" t="s">
        <v>3490</v>
      </c>
      <c r="BBU1782" t="s">
        <v>3490</v>
      </c>
      <c r="BBV1782" t="s">
        <v>3490</v>
      </c>
      <c r="BBW1782" t="s">
        <v>3490</v>
      </c>
      <c r="BBX1782" t="s">
        <v>3490</v>
      </c>
      <c r="BBY1782" t="s">
        <v>3490</v>
      </c>
      <c r="BBZ1782" t="s">
        <v>3490</v>
      </c>
      <c r="BCA1782" t="s">
        <v>3490</v>
      </c>
      <c r="BCB1782" t="s">
        <v>3490</v>
      </c>
      <c r="BCC1782" t="s">
        <v>3490</v>
      </c>
      <c r="BCD1782" t="s">
        <v>3490</v>
      </c>
      <c r="BCE1782" t="s">
        <v>3490</v>
      </c>
      <c r="BCF1782" t="s">
        <v>3490</v>
      </c>
      <c r="BCG1782" t="s">
        <v>3490</v>
      </c>
      <c r="BCH1782" t="s">
        <v>3490</v>
      </c>
      <c r="BCI1782" t="s">
        <v>3490</v>
      </c>
      <c r="BCJ1782" t="s">
        <v>3490</v>
      </c>
      <c r="BCK1782" t="s">
        <v>3490</v>
      </c>
      <c r="BCL1782" t="s">
        <v>3490</v>
      </c>
      <c r="BCM1782" t="s">
        <v>3490</v>
      </c>
      <c r="BCN1782" t="s">
        <v>3490</v>
      </c>
      <c r="BCO1782" t="s">
        <v>3490</v>
      </c>
      <c r="BCP1782" t="s">
        <v>3490</v>
      </c>
      <c r="BCQ1782" t="s">
        <v>3490</v>
      </c>
      <c r="BCR1782" t="s">
        <v>3490</v>
      </c>
      <c r="BCS1782" t="s">
        <v>3490</v>
      </c>
      <c r="BCT1782" t="s">
        <v>3490</v>
      </c>
      <c r="BCU1782" t="s">
        <v>3490</v>
      </c>
      <c r="BCV1782" t="s">
        <v>3490</v>
      </c>
      <c r="BCW1782" t="s">
        <v>3490</v>
      </c>
      <c r="BCX1782" t="s">
        <v>3490</v>
      </c>
      <c r="BCY1782" t="s">
        <v>3490</v>
      </c>
      <c r="BCZ1782" t="s">
        <v>3490</v>
      </c>
      <c r="BDA1782" t="s">
        <v>3490</v>
      </c>
      <c r="BDB1782" t="s">
        <v>3490</v>
      </c>
      <c r="BDC1782" t="s">
        <v>3490</v>
      </c>
      <c r="BDD1782" t="s">
        <v>3490</v>
      </c>
      <c r="BDE1782" t="s">
        <v>3490</v>
      </c>
      <c r="BDF1782" t="s">
        <v>3490</v>
      </c>
      <c r="BDG1782" t="s">
        <v>3490</v>
      </c>
      <c r="BDH1782" t="s">
        <v>3490</v>
      </c>
      <c r="BDI1782" t="s">
        <v>3490</v>
      </c>
      <c r="BDJ1782" t="s">
        <v>3490</v>
      </c>
      <c r="BDK1782" t="s">
        <v>3490</v>
      </c>
      <c r="BDL1782" t="s">
        <v>3490</v>
      </c>
      <c r="BDM1782" t="s">
        <v>3490</v>
      </c>
      <c r="BDN1782" t="s">
        <v>3490</v>
      </c>
      <c r="BDO1782" t="s">
        <v>3490</v>
      </c>
      <c r="BDP1782" t="s">
        <v>3490</v>
      </c>
      <c r="BDQ1782" t="s">
        <v>3490</v>
      </c>
      <c r="BDR1782" t="s">
        <v>3490</v>
      </c>
      <c r="BDS1782" t="s">
        <v>3490</v>
      </c>
      <c r="BDT1782" t="s">
        <v>3490</v>
      </c>
      <c r="BDU1782" t="s">
        <v>3490</v>
      </c>
      <c r="BDV1782" t="s">
        <v>3490</v>
      </c>
      <c r="BDW1782" t="s">
        <v>3490</v>
      </c>
      <c r="BDX1782" t="s">
        <v>3490</v>
      </c>
      <c r="BDY1782" t="s">
        <v>3490</v>
      </c>
      <c r="BDZ1782" t="s">
        <v>3490</v>
      </c>
      <c r="BEA1782" t="s">
        <v>3490</v>
      </c>
      <c r="BEB1782" t="s">
        <v>3490</v>
      </c>
      <c r="BEC1782" t="s">
        <v>3490</v>
      </c>
      <c r="BED1782" t="s">
        <v>3490</v>
      </c>
      <c r="BEE1782" t="s">
        <v>3490</v>
      </c>
      <c r="BEF1782" t="s">
        <v>3490</v>
      </c>
      <c r="BEG1782" t="s">
        <v>3490</v>
      </c>
      <c r="BEH1782" t="s">
        <v>3490</v>
      </c>
      <c r="BEI1782" t="s">
        <v>3490</v>
      </c>
      <c r="BEJ1782" t="s">
        <v>3490</v>
      </c>
      <c r="BEK1782" t="s">
        <v>3490</v>
      </c>
      <c r="BEL1782" t="s">
        <v>3490</v>
      </c>
      <c r="BEM1782" t="s">
        <v>3490</v>
      </c>
      <c r="BEN1782" t="s">
        <v>3490</v>
      </c>
      <c r="BEO1782" t="s">
        <v>3490</v>
      </c>
      <c r="BEP1782" t="s">
        <v>3490</v>
      </c>
      <c r="BEQ1782" t="s">
        <v>3490</v>
      </c>
      <c r="BER1782" t="s">
        <v>3490</v>
      </c>
      <c r="BES1782" t="s">
        <v>3490</v>
      </c>
      <c r="BET1782" t="s">
        <v>3490</v>
      </c>
      <c r="BEU1782" t="s">
        <v>3490</v>
      </c>
      <c r="BEV1782" t="s">
        <v>3490</v>
      </c>
      <c r="BEW1782" t="s">
        <v>3490</v>
      </c>
      <c r="BEX1782" t="s">
        <v>3490</v>
      </c>
      <c r="BEY1782" t="s">
        <v>3490</v>
      </c>
      <c r="BEZ1782" t="s">
        <v>3490</v>
      </c>
      <c r="BFA1782" t="s">
        <v>3490</v>
      </c>
      <c r="BFB1782" t="s">
        <v>3490</v>
      </c>
      <c r="BFC1782" t="s">
        <v>3490</v>
      </c>
      <c r="BFD1782" t="s">
        <v>3490</v>
      </c>
      <c r="BFE1782" t="s">
        <v>3490</v>
      </c>
      <c r="BFF1782" t="s">
        <v>3490</v>
      </c>
      <c r="BFG1782" t="s">
        <v>3490</v>
      </c>
      <c r="BFH1782" t="s">
        <v>3490</v>
      </c>
      <c r="BFI1782" t="s">
        <v>3490</v>
      </c>
      <c r="BFJ1782" t="s">
        <v>3490</v>
      </c>
      <c r="BFK1782" t="s">
        <v>3490</v>
      </c>
      <c r="BFL1782" t="s">
        <v>3490</v>
      </c>
      <c r="BFM1782" t="s">
        <v>3490</v>
      </c>
      <c r="BFN1782" t="s">
        <v>3490</v>
      </c>
      <c r="BFO1782" t="s">
        <v>3490</v>
      </c>
      <c r="BFP1782" t="s">
        <v>3490</v>
      </c>
      <c r="BFQ1782" t="s">
        <v>3490</v>
      </c>
      <c r="BFR1782" t="s">
        <v>3490</v>
      </c>
      <c r="BFS1782" t="s">
        <v>3490</v>
      </c>
      <c r="BFT1782" t="s">
        <v>3490</v>
      </c>
      <c r="BFU1782" t="s">
        <v>3490</v>
      </c>
      <c r="BFV1782" t="s">
        <v>3490</v>
      </c>
      <c r="BFW1782" t="s">
        <v>3490</v>
      </c>
      <c r="BFX1782" t="s">
        <v>3490</v>
      </c>
      <c r="BFY1782" t="s">
        <v>3490</v>
      </c>
      <c r="BFZ1782" t="s">
        <v>3490</v>
      </c>
      <c r="BGA1782" t="s">
        <v>3490</v>
      </c>
      <c r="BGB1782" t="s">
        <v>3490</v>
      </c>
      <c r="BGC1782" t="s">
        <v>3490</v>
      </c>
      <c r="BGD1782" t="s">
        <v>3490</v>
      </c>
      <c r="BGE1782" t="s">
        <v>3490</v>
      </c>
      <c r="BGF1782" t="s">
        <v>3490</v>
      </c>
      <c r="BGG1782" t="s">
        <v>3490</v>
      </c>
      <c r="BGH1782" t="s">
        <v>3490</v>
      </c>
      <c r="BGI1782" t="s">
        <v>3490</v>
      </c>
      <c r="BGJ1782" t="s">
        <v>3490</v>
      </c>
      <c r="BGK1782" t="s">
        <v>3490</v>
      </c>
      <c r="BGL1782" t="s">
        <v>3490</v>
      </c>
      <c r="BGM1782" t="s">
        <v>3490</v>
      </c>
      <c r="BGN1782" t="s">
        <v>3490</v>
      </c>
      <c r="BGO1782" t="s">
        <v>3490</v>
      </c>
      <c r="BGP1782" t="s">
        <v>3490</v>
      </c>
      <c r="BGQ1782" t="s">
        <v>3490</v>
      </c>
      <c r="BGR1782" t="s">
        <v>3490</v>
      </c>
      <c r="BGS1782" t="s">
        <v>3490</v>
      </c>
      <c r="BGT1782" t="s">
        <v>3490</v>
      </c>
      <c r="BGU1782" t="s">
        <v>3490</v>
      </c>
      <c r="BGV1782" t="s">
        <v>3490</v>
      </c>
      <c r="BGW1782" t="s">
        <v>3490</v>
      </c>
      <c r="BGX1782" t="s">
        <v>3490</v>
      </c>
      <c r="BGY1782" t="s">
        <v>3490</v>
      </c>
      <c r="BGZ1782" t="s">
        <v>3490</v>
      </c>
      <c r="BHA1782" t="s">
        <v>3490</v>
      </c>
      <c r="BHB1782" t="s">
        <v>3490</v>
      </c>
      <c r="BHC1782" t="s">
        <v>3490</v>
      </c>
      <c r="BHD1782" t="s">
        <v>3490</v>
      </c>
      <c r="BHE1782" t="s">
        <v>3490</v>
      </c>
      <c r="BHF1782" t="s">
        <v>3490</v>
      </c>
      <c r="BHG1782" t="s">
        <v>3490</v>
      </c>
      <c r="BHH1782" t="s">
        <v>3490</v>
      </c>
      <c r="BHI1782" t="s">
        <v>3490</v>
      </c>
      <c r="BHJ1782" t="s">
        <v>3490</v>
      </c>
      <c r="BHK1782" t="s">
        <v>3490</v>
      </c>
      <c r="BHL1782" t="s">
        <v>3490</v>
      </c>
      <c r="BHM1782" t="s">
        <v>3490</v>
      </c>
      <c r="BHN1782" t="s">
        <v>3490</v>
      </c>
      <c r="BHO1782" t="s">
        <v>3490</v>
      </c>
      <c r="BHP1782" t="s">
        <v>3490</v>
      </c>
      <c r="BHQ1782" t="s">
        <v>3490</v>
      </c>
      <c r="BHR1782" t="s">
        <v>3490</v>
      </c>
      <c r="BHS1782" t="s">
        <v>3490</v>
      </c>
      <c r="BHT1782" t="s">
        <v>3490</v>
      </c>
      <c r="BHU1782" t="s">
        <v>3490</v>
      </c>
      <c r="BHV1782" t="s">
        <v>3490</v>
      </c>
      <c r="BHW1782" t="s">
        <v>3490</v>
      </c>
      <c r="BHX1782" t="s">
        <v>3490</v>
      </c>
      <c r="BHY1782" t="s">
        <v>3490</v>
      </c>
      <c r="BHZ1782" t="s">
        <v>3490</v>
      </c>
      <c r="BIA1782" t="s">
        <v>3490</v>
      </c>
      <c r="BIB1782" t="s">
        <v>3490</v>
      </c>
      <c r="BIC1782" t="s">
        <v>3490</v>
      </c>
      <c r="BID1782" t="s">
        <v>3490</v>
      </c>
      <c r="BIE1782" t="s">
        <v>3490</v>
      </c>
      <c r="BIF1782" t="s">
        <v>3490</v>
      </c>
      <c r="BIG1782" t="s">
        <v>3490</v>
      </c>
      <c r="BIH1782" t="s">
        <v>3490</v>
      </c>
      <c r="BII1782" t="s">
        <v>3490</v>
      </c>
      <c r="BIJ1782" t="s">
        <v>3490</v>
      </c>
      <c r="BIK1782" t="s">
        <v>3490</v>
      </c>
      <c r="BIL1782" t="s">
        <v>3490</v>
      </c>
      <c r="BIM1782" t="s">
        <v>3490</v>
      </c>
      <c r="BIN1782" t="s">
        <v>3490</v>
      </c>
      <c r="BIO1782" t="s">
        <v>3490</v>
      </c>
      <c r="BIP1782" t="s">
        <v>3490</v>
      </c>
      <c r="BIQ1782" t="s">
        <v>3490</v>
      </c>
      <c r="BIR1782" t="s">
        <v>3490</v>
      </c>
      <c r="BIS1782" t="s">
        <v>3490</v>
      </c>
      <c r="BIT1782" t="s">
        <v>3490</v>
      </c>
      <c r="BIU1782" t="s">
        <v>3490</v>
      </c>
      <c r="BIV1782" t="s">
        <v>3490</v>
      </c>
      <c r="BIW1782" t="s">
        <v>3490</v>
      </c>
      <c r="BIX1782" t="s">
        <v>3490</v>
      </c>
      <c r="BIY1782" t="s">
        <v>3490</v>
      </c>
      <c r="BIZ1782" t="s">
        <v>3490</v>
      </c>
      <c r="BJA1782" t="s">
        <v>3490</v>
      </c>
      <c r="BJB1782" t="s">
        <v>3490</v>
      </c>
      <c r="BJC1782" t="s">
        <v>3490</v>
      </c>
      <c r="BJD1782" t="s">
        <v>3490</v>
      </c>
      <c r="BJE1782" t="s">
        <v>3490</v>
      </c>
      <c r="BJF1782" t="s">
        <v>3490</v>
      </c>
      <c r="BJG1782" t="s">
        <v>3490</v>
      </c>
      <c r="BJH1782" t="s">
        <v>3490</v>
      </c>
      <c r="BJI1782" t="s">
        <v>3490</v>
      </c>
      <c r="BJJ1782" t="s">
        <v>3490</v>
      </c>
      <c r="BJK1782" t="s">
        <v>3490</v>
      </c>
      <c r="BJL1782" t="s">
        <v>3490</v>
      </c>
      <c r="BJM1782" t="s">
        <v>3490</v>
      </c>
      <c r="BJN1782" t="s">
        <v>3490</v>
      </c>
      <c r="BJO1782" t="s">
        <v>3490</v>
      </c>
      <c r="BJP1782" t="s">
        <v>3490</v>
      </c>
      <c r="BJQ1782" t="s">
        <v>3490</v>
      </c>
      <c r="BJR1782" t="s">
        <v>3490</v>
      </c>
      <c r="BJS1782" t="s">
        <v>3490</v>
      </c>
      <c r="BJT1782" t="s">
        <v>3490</v>
      </c>
      <c r="BJU1782" t="s">
        <v>3490</v>
      </c>
      <c r="BJV1782" t="s">
        <v>3490</v>
      </c>
      <c r="BJW1782" t="s">
        <v>3490</v>
      </c>
      <c r="BJX1782" t="s">
        <v>3490</v>
      </c>
      <c r="BJY1782" t="s">
        <v>3490</v>
      </c>
      <c r="BJZ1782" t="s">
        <v>3490</v>
      </c>
      <c r="BKA1782" t="s">
        <v>3490</v>
      </c>
      <c r="BKB1782" t="s">
        <v>3490</v>
      </c>
      <c r="BKC1782" t="s">
        <v>3490</v>
      </c>
      <c r="BKD1782" t="s">
        <v>3490</v>
      </c>
      <c r="BKE1782" t="s">
        <v>3490</v>
      </c>
      <c r="BKF1782" t="s">
        <v>3490</v>
      </c>
      <c r="BKG1782" t="s">
        <v>3490</v>
      </c>
      <c r="BKH1782" t="s">
        <v>3490</v>
      </c>
      <c r="BKI1782" t="s">
        <v>3490</v>
      </c>
      <c r="BKJ1782" t="s">
        <v>3490</v>
      </c>
      <c r="BKK1782" t="s">
        <v>3490</v>
      </c>
      <c r="BKL1782" t="s">
        <v>3490</v>
      </c>
      <c r="BKM1782" t="s">
        <v>3490</v>
      </c>
      <c r="BKN1782" t="s">
        <v>3490</v>
      </c>
      <c r="BKO1782" t="s">
        <v>3490</v>
      </c>
      <c r="BKP1782" t="s">
        <v>3490</v>
      </c>
      <c r="BKQ1782" t="s">
        <v>3490</v>
      </c>
      <c r="BKR1782" t="s">
        <v>3490</v>
      </c>
      <c r="BKS1782" t="s">
        <v>3490</v>
      </c>
      <c r="BKT1782" t="s">
        <v>3490</v>
      </c>
      <c r="BKU1782" t="s">
        <v>3490</v>
      </c>
      <c r="BKV1782" t="s">
        <v>3490</v>
      </c>
      <c r="BKW1782" t="s">
        <v>3490</v>
      </c>
      <c r="BKX1782" t="s">
        <v>3490</v>
      </c>
      <c r="BKY1782" t="s">
        <v>3490</v>
      </c>
      <c r="BKZ1782" t="s">
        <v>3490</v>
      </c>
      <c r="BLA1782" t="s">
        <v>3490</v>
      </c>
      <c r="BLB1782" t="s">
        <v>3490</v>
      </c>
      <c r="BLC1782" t="s">
        <v>3490</v>
      </c>
      <c r="BLD1782" t="s">
        <v>3490</v>
      </c>
      <c r="BLE1782" t="s">
        <v>3490</v>
      </c>
      <c r="BLF1782" t="s">
        <v>3490</v>
      </c>
      <c r="BLG1782" t="s">
        <v>3490</v>
      </c>
      <c r="BLH1782" t="s">
        <v>3490</v>
      </c>
      <c r="BLI1782" t="s">
        <v>3490</v>
      </c>
      <c r="BLJ1782" t="s">
        <v>3490</v>
      </c>
      <c r="BLK1782" t="s">
        <v>3490</v>
      </c>
      <c r="BLL1782" t="s">
        <v>3490</v>
      </c>
      <c r="BLM1782" t="s">
        <v>3490</v>
      </c>
      <c r="BLN1782" t="s">
        <v>3490</v>
      </c>
      <c r="BLO1782" t="s">
        <v>3490</v>
      </c>
      <c r="BLP1782" t="s">
        <v>3490</v>
      </c>
      <c r="BLQ1782" t="s">
        <v>3490</v>
      </c>
      <c r="BLR1782" t="s">
        <v>3490</v>
      </c>
      <c r="BLS1782" t="s">
        <v>3490</v>
      </c>
      <c r="BLT1782" t="s">
        <v>3490</v>
      </c>
      <c r="BLU1782" t="s">
        <v>3490</v>
      </c>
      <c r="BLV1782" t="s">
        <v>3490</v>
      </c>
      <c r="BLW1782" t="s">
        <v>3490</v>
      </c>
      <c r="BLX1782" t="s">
        <v>3490</v>
      </c>
      <c r="BLY1782" t="s">
        <v>3490</v>
      </c>
      <c r="BLZ1782" t="s">
        <v>3490</v>
      </c>
      <c r="BMA1782" t="s">
        <v>3490</v>
      </c>
      <c r="BMB1782" t="s">
        <v>3490</v>
      </c>
      <c r="BMC1782" t="s">
        <v>3490</v>
      </c>
      <c r="BMD1782" t="s">
        <v>3490</v>
      </c>
      <c r="BME1782" t="s">
        <v>3490</v>
      </c>
      <c r="BMF1782" t="s">
        <v>3490</v>
      </c>
      <c r="BMG1782" t="s">
        <v>3490</v>
      </c>
      <c r="BMH1782" t="s">
        <v>3490</v>
      </c>
      <c r="BMI1782" t="s">
        <v>3490</v>
      </c>
      <c r="BMJ1782" t="s">
        <v>3490</v>
      </c>
      <c r="BMK1782" t="s">
        <v>3490</v>
      </c>
      <c r="BML1782" t="s">
        <v>3490</v>
      </c>
      <c r="BMM1782" t="s">
        <v>3490</v>
      </c>
      <c r="BMN1782" t="s">
        <v>3490</v>
      </c>
      <c r="BMO1782" t="s">
        <v>3490</v>
      </c>
      <c r="BMP1782" t="s">
        <v>3490</v>
      </c>
      <c r="BMQ1782" t="s">
        <v>3490</v>
      </c>
      <c r="BMR1782" t="s">
        <v>3490</v>
      </c>
      <c r="BMS1782" t="s">
        <v>3490</v>
      </c>
      <c r="BMT1782" t="s">
        <v>3490</v>
      </c>
      <c r="BMU1782" t="s">
        <v>3490</v>
      </c>
      <c r="BMV1782" t="s">
        <v>3490</v>
      </c>
      <c r="BMW1782" t="s">
        <v>3490</v>
      </c>
      <c r="BMX1782" t="s">
        <v>3490</v>
      </c>
      <c r="BMY1782" t="s">
        <v>3490</v>
      </c>
      <c r="BMZ1782" t="s">
        <v>3490</v>
      </c>
      <c r="BNA1782" t="s">
        <v>3490</v>
      </c>
      <c r="BNB1782" t="s">
        <v>3490</v>
      </c>
      <c r="BNC1782" t="s">
        <v>3490</v>
      </c>
      <c r="BND1782" t="s">
        <v>3490</v>
      </c>
      <c r="BNE1782" t="s">
        <v>3490</v>
      </c>
      <c r="BNF1782" t="s">
        <v>3490</v>
      </c>
      <c r="BNG1782" t="s">
        <v>3490</v>
      </c>
      <c r="BNH1782" t="s">
        <v>3490</v>
      </c>
      <c r="BNI1782" t="s">
        <v>3490</v>
      </c>
      <c r="BNJ1782" t="s">
        <v>3490</v>
      </c>
      <c r="BNK1782" t="s">
        <v>3490</v>
      </c>
      <c r="BNL1782" t="s">
        <v>3490</v>
      </c>
      <c r="BNM1782" t="s">
        <v>3490</v>
      </c>
      <c r="BNN1782" t="s">
        <v>3490</v>
      </c>
      <c r="BNO1782" t="s">
        <v>3490</v>
      </c>
      <c r="BNP1782" t="s">
        <v>3490</v>
      </c>
      <c r="BNQ1782" t="s">
        <v>3490</v>
      </c>
      <c r="BNR1782" t="s">
        <v>3490</v>
      </c>
      <c r="BNS1782" t="s">
        <v>3490</v>
      </c>
      <c r="BNT1782" t="s">
        <v>3490</v>
      </c>
      <c r="BNU1782" t="s">
        <v>3490</v>
      </c>
      <c r="BNV1782" t="s">
        <v>3490</v>
      </c>
      <c r="BNW1782" t="s">
        <v>3490</v>
      </c>
      <c r="BNX1782" t="s">
        <v>3490</v>
      </c>
      <c r="BNY1782" t="s">
        <v>3490</v>
      </c>
      <c r="BNZ1782" t="s">
        <v>3490</v>
      </c>
      <c r="BOA1782" t="s">
        <v>3490</v>
      </c>
      <c r="BOB1782" t="s">
        <v>3490</v>
      </c>
      <c r="BOC1782" t="s">
        <v>3490</v>
      </c>
      <c r="BOD1782" t="s">
        <v>3490</v>
      </c>
      <c r="BOE1782" t="s">
        <v>3490</v>
      </c>
      <c r="BOF1782" t="s">
        <v>3490</v>
      </c>
      <c r="BOG1782" t="s">
        <v>3490</v>
      </c>
      <c r="BOH1782" t="s">
        <v>3490</v>
      </c>
      <c r="BOI1782" t="s">
        <v>3490</v>
      </c>
      <c r="BOJ1782" t="s">
        <v>3490</v>
      </c>
      <c r="BOK1782" t="s">
        <v>3490</v>
      </c>
      <c r="BOL1782" t="s">
        <v>3490</v>
      </c>
      <c r="BOM1782" t="s">
        <v>3490</v>
      </c>
      <c r="BON1782" t="s">
        <v>3490</v>
      </c>
      <c r="BOO1782" t="s">
        <v>3490</v>
      </c>
      <c r="BOP1782" t="s">
        <v>3490</v>
      </c>
      <c r="BOQ1782" t="s">
        <v>3490</v>
      </c>
      <c r="BOR1782" t="s">
        <v>3490</v>
      </c>
      <c r="BOS1782" t="s">
        <v>3490</v>
      </c>
      <c r="BOT1782" t="s">
        <v>3490</v>
      </c>
      <c r="BOU1782" t="s">
        <v>3490</v>
      </c>
      <c r="BOV1782" t="s">
        <v>3490</v>
      </c>
      <c r="BOW1782" t="s">
        <v>3490</v>
      </c>
      <c r="BOX1782" t="s">
        <v>3490</v>
      </c>
      <c r="BOY1782" t="s">
        <v>3490</v>
      </c>
      <c r="BOZ1782" t="s">
        <v>3490</v>
      </c>
      <c r="BPA1782" t="s">
        <v>3490</v>
      </c>
      <c r="BPB1782" t="s">
        <v>3490</v>
      </c>
      <c r="BPC1782" t="s">
        <v>3490</v>
      </c>
      <c r="BPD1782" t="s">
        <v>3490</v>
      </c>
      <c r="BPE1782" t="s">
        <v>3490</v>
      </c>
      <c r="BPF1782" t="s">
        <v>3490</v>
      </c>
      <c r="BPG1782" t="s">
        <v>3490</v>
      </c>
      <c r="BPH1782" t="s">
        <v>3490</v>
      </c>
      <c r="BPI1782" t="s">
        <v>3490</v>
      </c>
      <c r="BPJ1782" t="s">
        <v>3490</v>
      </c>
      <c r="BPK1782" t="s">
        <v>3490</v>
      </c>
      <c r="BPL1782" t="s">
        <v>3490</v>
      </c>
      <c r="BPM1782" t="s">
        <v>3490</v>
      </c>
      <c r="BPN1782" t="s">
        <v>3490</v>
      </c>
      <c r="BPO1782" t="s">
        <v>3490</v>
      </c>
      <c r="BPP1782" t="s">
        <v>3490</v>
      </c>
      <c r="BPQ1782" t="s">
        <v>3490</v>
      </c>
      <c r="BPR1782" t="s">
        <v>3490</v>
      </c>
      <c r="BPS1782" t="s">
        <v>3490</v>
      </c>
      <c r="BPT1782" t="s">
        <v>3490</v>
      </c>
      <c r="BPU1782" t="s">
        <v>3490</v>
      </c>
      <c r="BPV1782" t="s">
        <v>3490</v>
      </c>
      <c r="BPW1782" t="s">
        <v>3490</v>
      </c>
      <c r="BPX1782" t="s">
        <v>3490</v>
      </c>
      <c r="BPY1782" t="s">
        <v>3490</v>
      </c>
      <c r="BPZ1782" t="s">
        <v>3490</v>
      </c>
      <c r="BQA1782" t="s">
        <v>3490</v>
      </c>
      <c r="BQB1782" t="s">
        <v>3490</v>
      </c>
      <c r="BQC1782" t="s">
        <v>3490</v>
      </c>
      <c r="BQD1782" t="s">
        <v>3490</v>
      </c>
      <c r="BQE1782" t="s">
        <v>3490</v>
      </c>
      <c r="BQF1782" t="s">
        <v>3490</v>
      </c>
      <c r="BQG1782" t="s">
        <v>3490</v>
      </c>
      <c r="BQH1782" t="s">
        <v>3490</v>
      </c>
      <c r="BQI1782" t="s">
        <v>3490</v>
      </c>
      <c r="BQJ1782" t="s">
        <v>3490</v>
      </c>
      <c r="BQK1782" t="s">
        <v>3490</v>
      </c>
      <c r="BQL1782" t="s">
        <v>3490</v>
      </c>
      <c r="BQM1782" t="s">
        <v>3490</v>
      </c>
      <c r="BQN1782" t="s">
        <v>3490</v>
      </c>
      <c r="BQO1782" t="s">
        <v>3490</v>
      </c>
      <c r="BQP1782" t="s">
        <v>3490</v>
      </c>
      <c r="BQQ1782" t="s">
        <v>3490</v>
      </c>
      <c r="BQR1782" t="s">
        <v>3490</v>
      </c>
      <c r="BQS1782" t="s">
        <v>3490</v>
      </c>
      <c r="BQT1782" t="s">
        <v>3490</v>
      </c>
      <c r="BQU1782" t="s">
        <v>3490</v>
      </c>
      <c r="BQV1782" t="s">
        <v>3490</v>
      </c>
      <c r="BQW1782" t="s">
        <v>3490</v>
      </c>
      <c r="BQX1782" t="s">
        <v>3490</v>
      </c>
      <c r="BQY1782" t="s">
        <v>3490</v>
      </c>
      <c r="BQZ1782" t="s">
        <v>3490</v>
      </c>
      <c r="BRA1782" t="s">
        <v>3490</v>
      </c>
      <c r="BRB1782" t="s">
        <v>3490</v>
      </c>
      <c r="BRC1782" t="s">
        <v>3490</v>
      </c>
      <c r="BRD1782" t="s">
        <v>3490</v>
      </c>
      <c r="BRE1782" t="s">
        <v>3490</v>
      </c>
      <c r="BRF1782" t="s">
        <v>3490</v>
      </c>
      <c r="BRG1782" t="s">
        <v>3490</v>
      </c>
      <c r="BRH1782" t="s">
        <v>3490</v>
      </c>
      <c r="BRI1782" t="s">
        <v>3490</v>
      </c>
      <c r="BRJ1782" t="s">
        <v>3490</v>
      </c>
      <c r="BRK1782" t="s">
        <v>3490</v>
      </c>
      <c r="BRL1782" t="s">
        <v>3490</v>
      </c>
      <c r="BRM1782" t="s">
        <v>3490</v>
      </c>
      <c r="BRN1782" t="s">
        <v>3490</v>
      </c>
      <c r="BRO1782" t="s">
        <v>3490</v>
      </c>
      <c r="BRP1782" t="s">
        <v>3490</v>
      </c>
      <c r="BRQ1782" t="s">
        <v>3490</v>
      </c>
      <c r="BRR1782" t="s">
        <v>3490</v>
      </c>
      <c r="BRS1782" t="s">
        <v>3490</v>
      </c>
      <c r="BRT1782" t="s">
        <v>3490</v>
      </c>
      <c r="BRU1782" t="s">
        <v>3490</v>
      </c>
      <c r="BRV1782" t="s">
        <v>3490</v>
      </c>
      <c r="BRW1782" t="s">
        <v>3490</v>
      </c>
      <c r="BRX1782" t="s">
        <v>3490</v>
      </c>
      <c r="BRY1782" t="s">
        <v>3490</v>
      </c>
      <c r="BRZ1782" t="s">
        <v>3490</v>
      </c>
      <c r="BSA1782" t="s">
        <v>3490</v>
      </c>
      <c r="BSB1782" t="s">
        <v>3490</v>
      </c>
      <c r="BSC1782" t="s">
        <v>3490</v>
      </c>
      <c r="BSD1782" t="s">
        <v>3490</v>
      </c>
      <c r="BSE1782" t="s">
        <v>3490</v>
      </c>
      <c r="BSF1782" t="s">
        <v>3490</v>
      </c>
      <c r="BSG1782" t="s">
        <v>3490</v>
      </c>
      <c r="BSH1782" t="s">
        <v>3490</v>
      </c>
      <c r="BSI1782" t="s">
        <v>3490</v>
      </c>
      <c r="BSJ1782" t="s">
        <v>3490</v>
      </c>
      <c r="BSK1782" t="s">
        <v>3490</v>
      </c>
      <c r="BSL1782" t="s">
        <v>3490</v>
      </c>
      <c r="BSM1782" t="s">
        <v>3490</v>
      </c>
      <c r="BSN1782" t="s">
        <v>3490</v>
      </c>
      <c r="BSO1782" t="s">
        <v>3490</v>
      </c>
      <c r="BSP1782" t="s">
        <v>3490</v>
      </c>
      <c r="BSQ1782" t="s">
        <v>3490</v>
      </c>
      <c r="BSR1782" t="s">
        <v>3490</v>
      </c>
      <c r="BSS1782" t="s">
        <v>3490</v>
      </c>
      <c r="BST1782" t="s">
        <v>3490</v>
      </c>
      <c r="BSU1782" t="s">
        <v>3490</v>
      </c>
      <c r="BSV1782" t="s">
        <v>3490</v>
      </c>
      <c r="BSW1782" t="s">
        <v>3490</v>
      </c>
      <c r="BSX1782" t="s">
        <v>3490</v>
      </c>
      <c r="BSY1782" t="s">
        <v>3490</v>
      </c>
      <c r="BSZ1782" t="s">
        <v>3490</v>
      </c>
      <c r="BTA1782" t="s">
        <v>3490</v>
      </c>
      <c r="BTB1782" t="s">
        <v>3490</v>
      </c>
      <c r="BTC1782" t="s">
        <v>3490</v>
      </c>
      <c r="BTD1782" t="s">
        <v>3490</v>
      </c>
      <c r="BTE1782" t="s">
        <v>3490</v>
      </c>
      <c r="BTF1782" t="s">
        <v>3490</v>
      </c>
      <c r="BTG1782" t="s">
        <v>3490</v>
      </c>
      <c r="BTH1782" t="s">
        <v>3490</v>
      </c>
      <c r="BTI1782" t="s">
        <v>3490</v>
      </c>
      <c r="BTJ1782" t="s">
        <v>3490</v>
      </c>
      <c r="BTK1782" t="s">
        <v>3490</v>
      </c>
      <c r="BTL1782" t="s">
        <v>3490</v>
      </c>
      <c r="BTM1782" t="s">
        <v>3490</v>
      </c>
      <c r="BTN1782" t="s">
        <v>3490</v>
      </c>
      <c r="BTO1782" t="s">
        <v>3490</v>
      </c>
      <c r="BTP1782" t="s">
        <v>3490</v>
      </c>
      <c r="BTQ1782" t="s">
        <v>3490</v>
      </c>
      <c r="BTR1782" t="s">
        <v>3490</v>
      </c>
      <c r="BTS1782" t="s">
        <v>3490</v>
      </c>
      <c r="BTT1782" t="s">
        <v>3490</v>
      </c>
      <c r="BTU1782" t="s">
        <v>3490</v>
      </c>
      <c r="BTV1782" t="s">
        <v>3490</v>
      </c>
      <c r="BTW1782" t="s">
        <v>3490</v>
      </c>
      <c r="BTX1782" t="s">
        <v>3490</v>
      </c>
      <c r="BTY1782" t="s">
        <v>3490</v>
      </c>
      <c r="BTZ1782" t="s">
        <v>3490</v>
      </c>
      <c r="BUA1782" t="s">
        <v>3490</v>
      </c>
      <c r="BUB1782" t="s">
        <v>3490</v>
      </c>
      <c r="BUC1782" t="s">
        <v>3490</v>
      </c>
      <c r="BUD1782" t="s">
        <v>3490</v>
      </c>
      <c r="BUE1782" t="s">
        <v>3490</v>
      </c>
      <c r="BUF1782" t="s">
        <v>3490</v>
      </c>
      <c r="BUG1782" t="s">
        <v>3490</v>
      </c>
      <c r="BUH1782" t="s">
        <v>3490</v>
      </c>
      <c r="BUI1782" t="s">
        <v>3490</v>
      </c>
      <c r="BUJ1782" t="s">
        <v>3490</v>
      </c>
      <c r="BUK1782" t="s">
        <v>3490</v>
      </c>
      <c r="BUL1782" t="s">
        <v>3490</v>
      </c>
      <c r="BUM1782" t="s">
        <v>3490</v>
      </c>
      <c r="BUN1782" t="s">
        <v>3490</v>
      </c>
      <c r="BUO1782" t="s">
        <v>3490</v>
      </c>
      <c r="BUP1782" t="s">
        <v>3490</v>
      </c>
      <c r="BUQ1782" t="s">
        <v>3490</v>
      </c>
      <c r="BUR1782" t="s">
        <v>3490</v>
      </c>
      <c r="BUS1782" t="s">
        <v>3490</v>
      </c>
      <c r="BUT1782" t="s">
        <v>3490</v>
      </c>
      <c r="BUU1782" t="s">
        <v>3490</v>
      </c>
      <c r="BUV1782" t="s">
        <v>3490</v>
      </c>
      <c r="BUW1782" t="s">
        <v>3490</v>
      </c>
      <c r="BUX1782" t="s">
        <v>3490</v>
      </c>
      <c r="BUY1782" t="s">
        <v>3490</v>
      </c>
      <c r="BUZ1782" t="s">
        <v>3490</v>
      </c>
      <c r="BVA1782" t="s">
        <v>3490</v>
      </c>
      <c r="BVB1782" t="s">
        <v>3490</v>
      </c>
      <c r="BVC1782" t="s">
        <v>3490</v>
      </c>
      <c r="BVD1782" t="s">
        <v>3490</v>
      </c>
      <c r="BVE1782" t="s">
        <v>3490</v>
      </c>
      <c r="BVF1782" t="s">
        <v>3490</v>
      </c>
      <c r="BVG1782" t="s">
        <v>3490</v>
      </c>
      <c r="BVH1782" t="s">
        <v>3490</v>
      </c>
      <c r="BVI1782" t="s">
        <v>3490</v>
      </c>
      <c r="BVJ1782" t="s">
        <v>3490</v>
      </c>
      <c r="BVK1782" t="s">
        <v>3490</v>
      </c>
      <c r="BVL1782" t="s">
        <v>3490</v>
      </c>
      <c r="BVM1782" t="s">
        <v>3490</v>
      </c>
      <c r="BVN1782" t="s">
        <v>3490</v>
      </c>
      <c r="BVO1782" t="s">
        <v>3490</v>
      </c>
      <c r="BVP1782" t="s">
        <v>3490</v>
      </c>
      <c r="BVQ1782" t="s">
        <v>3490</v>
      </c>
      <c r="BVR1782" t="s">
        <v>3490</v>
      </c>
      <c r="BVS1782" t="s">
        <v>3490</v>
      </c>
      <c r="BVT1782" t="s">
        <v>3490</v>
      </c>
      <c r="BVU1782" t="s">
        <v>3490</v>
      </c>
      <c r="BVV1782" t="s">
        <v>3490</v>
      </c>
      <c r="BVW1782" t="s">
        <v>3490</v>
      </c>
      <c r="BVX1782" t="s">
        <v>3490</v>
      </c>
      <c r="BVY1782" t="s">
        <v>3490</v>
      </c>
      <c r="BVZ1782" t="s">
        <v>3490</v>
      </c>
      <c r="BWA1782" t="s">
        <v>3490</v>
      </c>
      <c r="BWB1782" t="s">
        <v>3490</v>
      </c>
      <c r="BWC1782" t="s">
        <v>3490</v>
      </c>
      <c r="BWD1782" t="s">
        <v>3490</v>
      </c>
      <c r="BWE1782" t="s">
        <v>3490</v>
      </c>
      <c r="BWF1782" t="s">
        <v>3490</v>
      </c>
      <c r="BWG1782" t="s">
        <v>3490</v>
      </c>
      <c r="BWH1782" t="s">
        <v>3490</v>
      </c>
      <c r="BWI1782" t="s">
        <v>3490</v>
      </c>
      <c r="BWJ1782" t="s">
        <v>3490</v>
      </c>
      <c r="BWK1782" t="s">
        <v>3490</v>
      </c>
      <c r="BWL1782" t="s">
        <v>3490</v>
      </c>
      <c r="BWM1782" t="s">
        <v>3490</v>
      </c>
      <c r="BWN1782" t="s">
        <v>3490</v>
      </c>
      <c r="BWO1782" t="s">
        <v>3490</v>
      </c>
      <c r="BWP1782" t="s">
        <v>3490</v>
      </c>
      <c r="BWQ1782" t="s">
        <v>3490</v>
      </c>
      <c r="BWR1782" t="s">
        <v>3490</v>
      </c>
      <c r="BWS1782" t="s">
        <v>3490</v>
      </c>
      <c r="BWT1782" t="s">
        <v>3490</v>
      </c>
      <c r="BWU1782" t="s">
        <v>3490</v>
      </c>
      <c r="BWV1782" t="s">
        <v>3490</v>
      </c>
      <c r="BWW1782" t="s">
        <v>3490</v>
      </c>
      <c r="BWX1782" t="s">
        <v>3490</v>
      </c>
      <c r="BWY1782" t="s">
        <v>3490</v>
      </c>
      <c r="BWZ1782" t="s">
        <v>3490</v>
      </c>
      <c r="BXA1782" t="s">
        <v>3490</v>
      </c>
      <c r="BXB1782" t="s">
        <v>3490</v>
      </c>
      <c r="BXC1782" t="s">
        <v>3490</v>
      </c>
      <c r="BXD1782" t="s">
        <v>3490</v>
      </c>
      <c r="BXE1782" t="s">
        <v>3490</v>
      </c>
      <c r="BXF1782" t="s">
        <v>3490</v>
      </c>
      <c r="BXG1782" t="s">
        <v>3490</v>
      </c>
      <c r="BXH1782" t="s">
        <v>3490</v>
      </c>
      <c r="BXI1782" t="s">
        <v>3490</v>
      </c>
      <c r="BXJ1782" t="s">
        <v>3490</v>
      </c>
      <c r="BXK1782" t="s">
        <v>3490</v>
      </c>
      <c r="BXL1782" t="s">
        <v>3490</v>
      </c>
      <c r="BXM1782" t="s">
        <v>3490</v>
      </c>
      <c r="BXN1782" t="s">
        <v>3490</v>
      </c>
      <c r="BXO1782" t="s">
        <v>3490</v>
      </c>
      <c r="BXP1782" t="s">
        <v>3490</v>
      </c>
      <c r="BXQ1782" t="s">
        <v>3490</v>
      </c>
      <c r="BXR1782" t="s">
        <v>3490</v>
      </c>
      <c r="BXS1782" t="s">
        <v>3490</v>
      </c>
      <c r="BXT1782" t="s">
        <v>3490</v>
      </c>
      <c r="BXU1782" t="s">
        <v>3490</v>
      </c>
      <c r="BXV1782" t="s">
        <v>3490</v>
      </c>
      <c r="BXW1782" t="s">
        <v>3490</v>
      </c>
      <c r="BXX1782" t="s">
        <v>3490</v>
      </c>
      <c r="BXY1782" t="s">
        <v>3490</v>
      </c>
      <c r="BXZ1782" t="s">
        <v>3490</v>
      </c>
      <c r="BYA1782" t="s">
        <v>3490</v>
      </c>
      <c r="BYB1782" t="s">
        <v>3490</v>
      </c>
      <c r="BYC1782" t="s">
        <v>3490</v>
      </c>
      <c r="BYD1782" t="s">
        <v>3490</v>
      </c>
      <c r="BYE1782" t="s">
        <v>3490</v>
      </c>
      <c r="BYF1782" t="s">
        <v>3490</v>
      </c>
      <c r="BYG1782" t="s">
        <v>3490</v>
      </c>
      <c r="BYH1782" t="s">
        <v>3490</v>
      </c>
      <c r="BYI1782" t="s">
        <v>3490</v>
      </c>
      <c r="BYJ1782" t="s">
        <v>3490</v>
      </c>
      <c r="BYK1782" t="s">
        <v>3490</v>
      </c>
      <c r="BYL1782" t="s">
        <v>3490</v>
      </c>
      <c r="BYM1782" t="s">
        <v>3490</v>
      </c>
      <c r="BYN1782" t="s">
        <v>3490</v>
      </c>
      <c r="BYO1782" t="s">
        <v>3490</v>
      </c>
      <c r="BYP1782" t="s">
        <v>3490</v>
      </c>
      <c r="BYQ1782" t="s">
        <v>3490</v>
      </c>
      <c r="BYR1782" t="s">
        <v>3490</v>
      </c>
      <c r="BYS1782" t="s">
        <v>3490</v>
      </c>
      <c r="BYT1782" t="s">
        <v>3490</v>
      </c>
      <c r="BYU1782" t="s">
        <v>3490</v>
      </c>
      <c r="BYV1782" t="s">
        <v>3490</v>
      </c>
      <c r="BYW1782" t="s">
        <v>3490</v>
      </c>
      <c r="BYX1782" t="s">
        <v>3490</v>
      </c>
      <c r="BYY1782" t="s">
        <v>3490</v>
      </c>
      <c r="BYZ1782" t="s">
        <v>3490</v>
      </c>
      <c r="BZA1782" t="s">
        <v>3490</v>
      </c>
      <c r="BZB1782" t="s">
        <v>3490</v>
      </c>
      <c r="BZC1782" t="s">
        <v>3490</v>
      </c>
      <c r="BZD1782" t="s">
        <v>3490</v>
      </c>
      <c r="BZE1782" t="s">
        <v>3490</v>
      </c>
      <c r="BZF1782" t="s">
        <v>3490</v>
      </c>
      <c r="BZG1782" t="s">
        <v>3490</v>
      </c>
      <c r="BZH1782" t="s">
        <v>3490</v>
      </c>
      <c r="BZI1782" t="s">
        <v>3490</v>
      </c>
      <c r="BZJ1782" t="s">
        <v>3490</v>
      </c>
      <c r="BZK1782" t="s">
        <v>3490</v>
      </c>
      <c r="BZL1782" t="s">
        <v>3490</v>
      </c>
      <c r="BZM1782" t="s">
        <v>3490</v>
      </c>
      <c r="BZN1782" t="s">
        <v>3490</v>
      </c>
      <c r="BZO1782" t="s">
        <v>3490</v>
      </c>
      <c r="BZP1782" t="s">
        <v>3490</v>
      </c>
      <c r="BZQ1782" t="s">
        <v>3490</v>
      </c>
      <c r="BZR1782" t="s">
        <v>3490</v>
      </c>
      <c r="BZS1782" t="s">
        <v>3490</v>
      </c>
      <c r="BZT1782" t="s">
        <v>3490</v>
      </c>
      <c r="BZU1782" t="s">
        <v>3490</v>
      </c>
      <c r="BZV1782" t="s">
        <v>3490</v>
      </c>
      <c r="BZW1782" t="s">
        <v>3490</v>
      </c>
      <c r="BZX1782" t="s">
        <v>3490</v>
      </c>
      <c r="BZY1782" t="s">
        <v>3490</v>
      </c>
      <c r="BZZ1782" t="s">
        <v>3490</v>
      </c>
      <c r="CAA1782" t="s">
        <v>3490</v>
      </c>
      <c r="CAB1782" t="s">
        <v>3490</v>
      </c>
      <c r="CAC1782" t="s">
        <v>3490</v>
      </c>
      <c r="CAD1782" t="s">
        <v>3490</v>
      </c>
      <c r="CAE1782" t="s">
        <v>3490</v>
      </c>
      <c r="CAF1782" t="s">
        <v>3490</v>
      </c>
      <c r="CAG1782" t="s">
        <v>3490</v>
      </c>
      <c r="CAH1782" t="s">
        <v>3490</v>
      </c>
      <c r="CAI1782" t="s">
        <v>3490</v>
      </c>
      <c r="CAJ1782" t="s">
        <v>3490</v>
      </c>
      <c r="CAK1782" t="s">
        <v>3490</v>
      </c>
      <c r="CAL1782" t="s">
        <v>3490</v>
      </c>
      <c r="CAM1782" t="s">
        <v>3490</v>
      </c>
      <c r="CAN1782" t="s">
        <v>3490</v>
      </c>
      <c r="CAO1782" t="s">
        <v>3490</v>
      </c>
      <c r="CAP1782" t="s">
        <v>3490</v>
      </c>
      <c r="CAQ1782" t="s">
        <v>3490</v>
      </c>
      <c r="CAR1782" t="s">
        <v>3490</v>
      </c>
      <c r="CAS1782" t="s">
        <v>3490</v>
      </c>
      <c r="CAT1782" t="s">
        <v>3490</v>
      </c>
      <c r="CAU1782" t="s">
        <v>3490</v>
      </c>
      <c r="CAV1782" t="s">
        <v>3490</v>
      </c>
      <c r="CAW1782" t="s">
        <v>3490</v>
      </c>
      <c r="CAX1782" t="s">
        <v>3490</v>
      </c>
      <c r="CAY1782" t="s">
        <v>3490</v>
      </c>
      <c r="CAZ1782" t="s">
        <v>3490</v>
      </c>
      <c r="CBA1782" t="s">
        <v>3490</v>
      </c>
      <c r="CBB1782" t="s">
        <v>3490</v>
      </c>
      <c r="CBC1782" t="s">
        <v>3490</v>
      </c>
      <c r="CBD1782" t="s">
        <v>3490</v>
      </c>
      <c r="CBE1782" t="s">
        <v>3490</v>
      </c>
      <c r="CBF1782" t="s">
        <v>3490</v>
      </c>
      <c r="CBG1782" t="s">
        <v>3490</v>
      </c>
      <c r="CBH1782" t="s">
        <v>3490</v>
      </c>
      <c r="CBI1782" t="s">
        <v>3490</v>
      </c>
      <c r="CBJ1782" t="s">
        <v>3490</v>
      </c>
      <c r="CBK1782" t="s">
        <v>3490</v>
      </c>
      <c r="CBL1782" t="s">
        <v>3490</v>
      </c>
      <c r="CBM1782" t="s">
        <v>3490</v>
      </c>
      <c r="CBN1782" t="s">
        <v>3490</v>
      </c>
      <c r="CBO1782" t="s">
        <v>3490</v>
      </c>
      <c r="CBP1782" t="s">
        <v>3490</v>
      </c>
      <c r="CBQ1782" t="s">
        <v>3490</v>
      </c>
      <c r="CBR1782" t="s">
        <v>3490</v>
      </c>
      <c r="CBS1782" t="s">
        <v>3490</v>
      </c>
      <c r="CBT1782" t="s">
        <v>3490</v>
      </c>
      <c r="CBU1782" t="s">
        <v>3490</v>
      </c>
      <c r="CBV1782" t="s">
        <v>3490</v>
      </c>
      <c r="CBW1782" t="s">
        <v>3490</v>
      </c>
      <c r="CBX1782" t="s">
        <v>3490</v>
      </c>
      <c r="CBY1782" t="s">
        <v>3490</v>
      </c>
      <c r="CBZ1782" t="s">
        <v>3490</v>
      </c>
      <c r="CCA1782" t="s">
        <v>3490</v>
      </c>
      <c r="CCB1782" t="s">
        <v>3490</v>
      </c>
      <c r="CCC1782" t="s">
        <v>3490</v>
      </c>
      <c r="CCD1782" t="s">
        <v>3490</v>
      </c>
      <c r="CCE1782" t="s">
        <v>3490</v>
      </c>
      <c r="CCF1782" t="s">
        <v>3490</v>
      </c>
      <c r="CCG1782" t="s">
        <v>3490</v>
      </c>
      <c r="CCH1782" t="s">
        <v>3490</v>
      </c>
      <c r="CCI1782" t="s">
        <v>3490</v>
      </c>
      <c r="CCJ1782" t="s">
        <v>3490</v>
      </c>
      <c r="CCK1782" t="s">
        <v>3490</v>
      </c>
      <c r="CCL1782" t="s">
        <v>3490</v>
      </c>
      <c r="CCM1782" t="s">
        <v>3490</v>
      </c>
      <c r="CCN1782" t="s">
        <v>3490</v>
      </c>
      <c r="CCO1782" t="s">
        <v>3490</v>
      </c>
      <c r="CCP1782" t="s">
        <v>3490</v>
      </c>
      <c r="CCQ1782" t="s">
        <v>3490</v>
      </c>
      <c r="CCR1782" t="s">
        <v>3490</v>
      </c>
      <c r="CCS1782" t="s">
        <v>3490</v>
      </c>
      <c r="CCT1782" t="s">
        <v>3490</v>
      </c>
      <c r="CCU1782" t="s">
        <v>3490</v>
      </c>
      <c r="CCV1782" t="s">
        <v>3490</v>
      </c>
      <c r="CCW1782" t="s">
        <v>3490</v>
      </c>
      <c r="CCX1782" t="s">
        <v>3490</v>
      </c>
      <c r="CCY1782" t="s">
        <v>3490</v>
      </c>
      <c r="CCZ1782" t="s">
        <v>3490</v>
      </c>
      <c r="CDA1782" t="s">
        <v>3490</v>
      </c>
      <c r="CDB1782" t="s">
        <v>3490</v>
      </c>
      <c r="CDC1782" t="s">
        <v>3490</v>
      </c>
      <c r="CDD1782" t="s">
        <v>3490</v>
      </c>
      <c r="CDE1782" t="s">
        <v>3490</v>
      </c>
      <c r="CDF1782" t="s">
        <v>3490</v>
      </c>
      <c r="CDG1782" t="s">
        <v>3490</v>
      </c>
      <c r="CDH1782" t="s">
        <v>3490</v>
      </c>
      <c r="CDI1782" t="s">
        <v>3490</v>
      </c>
      <c r="CDJ1782" t="s">
        <v>3490</v>
      </c>
      <c r="CDK1782" t="s">
        <v>3490</v>
      </c>
      <c r="CDL1782" t="s">
        <v>3490</v>
      </c>
      <c r="CDM1782" t="s">
        <v>3490</v>
      </c>
      <c r="CDN1782" t="s">
        <v>3490</v>
      </c>
      <c r="CDO1782" t="s">
        <v>3490</v>
      </c>
      <c r="CDP1782" t="s">
        <v>3490</v>
      </c>
      <c r="CDQ1782" t="s">
        <v>3490</v>
      </c>
      <c r="CDR1782" t="s">
        <v>3490</v>
      </c>
      <c r="CDS1782" t="s">
        <v>3490</v>
      </c>
      <c r="CDT1782" t="s">
        <v>3490</v>
      </c>
      <c r="CDU1782" t="s">
        <v>3490</v>
      </c>
      <c r="CDV1782" t="s">
        <v>3490</v>
      </c>
      <c r="CDW1782" t="s">
        <v>3490</v>
      </c>
      <c r="CDX1782" t="s">
        <v>3490</v>
      </c>
      <c r="CDY1782" t="s">
        <v>3490</v>
      </c>
      <c r="CDZ1782" t="s">
        <v>3490</v>
      </c>
      <c r="CEA1782" t="s">
        <v>3490</v>
      </c>
      <c r="CEB1782" t="s">
        <v>3490</v>
      </c>
      <c r="CEC1782" t="s">
        <v>3490</v>
      </c>
      <c r="CED1782" t="s">
        <v>3490</v>
      </c>
      <c r="CEE1782" t="s">
        <v>3490</v>
      </c>
      <c r="CEF1782" t="s">
        <v>3490</v>
      </c>
      <c r="CEG1782" t="s">
        <v>3490</v>
      </c>
      <c r="CEH1782" t="s">
        <v>3490</v>
      </c>
      <c r="CEI1782" t="s">
        <v>3490</v>
      </c>
      <c r="CEJ1782" t="s">
        <v>3490</v>
      </c>
      <c r="CEK1782" t="s">
        <v>3490</v>
      </c>
      <c r="CEL1782" t="s">
        <v>3490</v>
      </c>
      <c r="CEM1782" t="s">
        <v>3490</v>
      </c>
      <c r="CEN1782" t="s">
        <v>3490</v>
      </c>
      <c r="CEO1782" t="s">
        <v>3490</v>
      </c>
      <c r="CEP1782" t="s">
        <v>3490</v>
      </c>
      <c r="CEQ1782" t="s">
        <v>3490</v>
      </c>
      <c r="CER1782" t="s">
        <v>3490</v>
      </c>
      <c r="CES1782" t="s">
        <v>3490</v>
      </c>
      <c r="CET1782" t="s">
        <v>3490</v>
      </c>
      <c r="CEU1782" t="s">
        <v>3490</v>
      </c>
      <c r="CEV1782" t="s">
        <v>3490</v>
      </c>
      <c r="CEW1782" t="s">
        <v>3490</v>
      </c>
      <c r="CEX1782" t="s">
        <v>3490</v>
      </c>
      <c r="CEY1782" t="s">
        <v>3490</v>
      </c>
      <c r="CEZ1782" t="s">
        <v>3490</v>
      </c>
      <c r="CFA1782" t="s">
        <v>3490</v>
      </c>
      <c r="CFB1782" t="s">
        <v>3490</v>
      </c>
      <c r="CFC1782" t="s">
        <v>3490</v>
      </c>
      <c r="CFD1782" t="s">
        <v>3490</v>
      </c>
      <c r="CFE1782" t="s">
        <v>3490</v>
      </c>
      <c r="CFF1782" t="s">
        <v>3490</v>
      </c>
      <c r="CFG1782" t="s">
        <v>3490</v>
      </c>
      <c r="CFH1782" t="s">
        <v>3490</v>
      </c>
      <c r="CFI1782" t="s">
        <v>3490</v>
      </c>
      <c r="CFJ1782" t="s">
        <v>3490</v>
      </c>
      <c r="CFK1782" t="s">
        <v>3490</v>
      </c>
      <c r="CFL1782" t="s">
        <v>3490</v>
      </c>
      <c r="CFM1782" t="s">
        <v>3490</v>
      </c>
      <c r="CFN1782" t="s">
        <v>3490</v>
      </c>
      <c r="CFO1782" t="s">
        <v>3490</v>
      </c>
      <c r="CFP1782" t="s">
        <v>3490</v>
      </c>
      <c r="CFQ1782" t="s">
        <v>3490</v>
      </c>
      <c r="CFR1782" t="s">
        <v>3490</v>
      </c>
      <c r="CFS1782" t="s">
        <v>3490</v>
      </c>
      <c r="CFT1782" t="s">
        <v>3490</v>
      </c>
      <c r="CFU1782" t="s">
        <v>3490</v>
      </c>
      <c r="CFV1782" t="s">
        <v>3490</v>
      </c>
      <c r="CFW1782" t="s">
        <v>3490</v>
      </c>
      <c r="CFX1782" t="s">
        <v>3490</v>
      </c>
      <c r="CFY1782" t="s">
        <v>3490</v>
      </c>
      <c r="CFZ1782" t="s">
        <v>3490</v>
      </c>
      <c r="CGA1782" t="s">
        <v>3490</v>
      </c>
      <c r="CGB1782" t="s">
        <v>3490</v>
      </c>
      <c r="CGC1782" t="s">
        <v>3490</v>
      </c>
      <c r="CGD1782" t="s">
        <v>3490</v>
      </c>
      <c r="CGE1782" t="s">
        <v>3490</v>
      </c>
      <c r="CGF1782" t="s">
        <v>3490</v>
      </c>
      <c r="CGG1782" t="s">
        <v>3490</v>
      </c>
      <c r="CGH1782" t="s">
        <v>3490</v>
      </c>
      <c r="CGI1782" t="s">
        <v>3490</v>
      </c>
      <c r="CGJ1782" t="s">
        <v>3490</v>
      </c>
      <c r="CGK1782" t="s">
        <v>3490</v>
      </c>
      <c r="CGL1782" t="s">
        <v>3490</v>
      </c>
      <c r="CGM1782" t="s">
        <v>3490</v>
      </c>
      <c r="CGN1782" t="s">
        <v>3490</v>
      </c>
      <c r="CGO1782" t="s">
        <v>3490</v>
      </c>
      <c r="CGP1782" t="s">
        <v>3490</v>
      </c>
      <c r="CGQ1782" t="s">
        <v>3490</v>
      </c>
      <c r="CGR1782" t="s">
        <v>3490</v>
      </c>
      <c r="CGS1782" t="s">
        <v>3490</v>
      </c>
      <c r="CGT1782" t="s">
        <v>3490</v>
      </c>
      <c r="CGU1782" t="s">
        <v>3490</v>
      </c>
      <c r="CGV1782" t="s">
        <v>3490</v>
      </c>
      <c r="CGW1782" t="s">
        <v>3490</v>
      </c>
      <c r="CGX1782" t="s">
        <v>3490</v>
      </c>
      <c r="CGY1782" t="s">
        <v>3490</v>
      </c>
      <c r="CGZ1782" t="s">
        <v>3490</v>
      </c>
      <c r="CHA1782" t="s">
        <v>3490</v>
      </c>
      <c r="CHB1782" t="s">
        <v>3490</v>
      </c>
      <c r="CHC1782" t="s">
        <v>3490</v>
      </c>
      <c r="CHD1782" t="s">
        <v>3490</v>
      </c>
      <c r="CHE1782" t="s">
        <v>3490</v>
      </c>
      <c r="CHF1782" t="s">
        <v>3490</v>
      </c>
      <c r="CHG1782" t="s">
        <v>3490</v>
      </c>
      <c r="CHH1782" t="s">
        <v>3490</v>
      </c>
      <c r="CHI1782" t="s">
        <v>3490</v>
      </c>
      <c r="CHJ1782" t="s">
        <v>3490</v>
      </c>
      <c r="CHK1782" t="s">
        <v>3490</v>
      </c>
      <c r="CHL1782" t="s">
        <v>3490</v>
      </c>
      <c r="CHM1782" t="s">
        <v>3490</v>
      </c>
      <c r="CHN1782" t="s">
        <v>3490</v>
      </c>
      <c r="CHO1782" t="s">
        <v>3490</v>
      </c>
      <c r="CHP1782" t="s">
        <v>3490</v>
      </c>
      <c r="CHQ1782" t="s">
        <v>3490</v>
      </c>
      <c r="CHR1782" t="s">
        <v>3490</v>
      </c>
      <c r="CHS1782" t="s">
        <v>3490</v>
      </c>
      <c r="CHT1782" t="s">
        <v>3490</v>
      </c>
      <c r="CHU1782" t="s">
        <v>3490</v>
      </c>
      <c r="CHV1782" t="s">
        <v>3490</v>
      </c>
      <c r="CHW1782" t="s">
        <v>3490</v>
      </c>
      <c r="CHX1782" t="s">
        <v>3490</v>
      </c>
      <c r="CHY1782" t="s">
        <v>3490</v>
      </c>
      <c r="CHZ1782" t="s">
        <v>3490</v>
      </c>
      <c r="CIA1782" t="s">
        <v>3490</v>
      </c>
      <c r="CIB1782" t="s">
        <v>3490</v>
      </c>
      <c r="CIC1782" t="s">
        <v>3490</v>
      </c>
      <c r="CID1782" t="s">
        <v>3490</v>
      </c>
      <c r="CIE1782" t="s">
        <v>3490</v>
      </c>
      <c r="CIF1782" t="s">
        <v>3490</v>
      </c>
      <c r="CIG1782" t="s">
        <v>3490</v>
      </c>
      <c r="CIH1782" t="s">
        <v>3490</v>
      </c>
      <c r="CII1782" t="s">
        <v>3490</v>
      </c>
      <c r="CIJ1782" t="s">
        <v>3490</v>
      </c>
      <c r="CIK1782" t="s">
        <v>3490</v>
      </c>
      <c r="CIL1782" t="s">
        <v>3490</v>
      </c>
      <c r="CIM1782" t="s">
        <v>3490</v>
      </c>
      <c r="CIN1782" t="s">
        <v>3490</v>
      </c>
      <c r="CIO1782" t="s">
        <v>3490</v>
      </c>
      <c r="CIP1782" t="s">
        <v>3490</v>
      </c>
      <c r="CIQ1782" t="s">
        <v>3490</v>
      </c>
      <c r="CIR1782" t="s">
        <v>3490</v>
      </c>
      <c r="CIS1782" t="s">
        <v>3490</v>
      </c>
      <c r="CIT1782" t="s">
        <v>3490</v>
      </c>
      <c r="CIU1782" t="s">
        <v>3490</v>
      </c>
      <c r="CIV1782" t="s">
        <v>3490</v>
      </c>
      <c r="CIW1782" t="s">
        <v>3490</v>
      </c>
      <c r="CIX1782" t="s">
        <v>3490</v>
      </c>
      <c r="CIY1782" t="s">
        <v>3490</v>
      </c>
      <c r="CIZ1782" t="s">
        <v>3490</v>
      </c>
      <c r="CJA1782" t="s">
        <v>3490</v>
      </c>
      <c r="CJB1782" t="s">
        <v>3490</v>
      </c>
      <c r="CJC1782" t="s">
        <v>3490</v>
      </c>
      <c r="CJD1782" t="s">
        <v>3490</v>
      </c>
      <c r="CJE1782" t="s">
        <v>3490</v>
      </c>
      <c r="CJF1782" t="s">
        <v>3490</v>
      </c>
      <c r="CJG1782" t="s">
        <v>3490</v>
      </c>
      <c r="CJH1782" t="s">
        <v>3490</v>
      </c>
      <c r="CJI1782" t="s">
        <v>3490</v>
      </c>
      <c r="CJJ1782" t="s">
        <v>3490</v>
      </c>
      <c r="CJK1782" t="s">
        <v>3490</v>
      </c>
      <c r="CJL1782" t="s">
        <v>3490</v>
      </c>
      <c r="CJM1782" t="s">
        <v>3490</v>
      </c>
      <c r="CJN1782" t="s">
        <v>3490</v>
      </c>
      <c r="CJO1782" t="s">
        <v>3490</v>
      </c>
      <c r="CJP1782" t="s">
        <v>3490</v>
      </c>
      <c r="CJQ1782" t="s">
        <v>3490</v>
      </c>
      <c r="CJR1782" t="s">
        <v>3490</v>
      </c>
      <c r="CJS1782" t="s">
        <v>3490</v>
      </c>
      <c r="CJT1782" t="s">
        <v>3490</v>
      </c>
      <c r="CJU1782" t="s">
        <v>3490</v>
      </c>
      <c r="CJV1782" t="s">
        <v>3490</v>
      </c>
      <c r="CJW1782" t="s">
        <v>3490</v>
      </c>
      <c r="CJX1782" t="s">
        <v>3490</v>
      </c>
      <c r="CJY1782" t="s">
        <v>3490</v>
      </c>
      <c r="CJZ1782" t="s">
        <v>3490</v>
      </c>
      <c r="CKA1782" t="s">
        <v>3490</v>
      </c>
      <c r="CKB1782" t="s">
        <v>3490</v>
      </c>
      <c r="CKC1782" t="s">
        <v>3490</v>
      </c>
      <c r="CKD1782" t="s">
        <v>3490</v>
      </c>
      <c r="CKE1782" t="s">
        <v>3490</v>
      </c>
      <c r="CKF1782" t="s">
        <v>3490</v>
      </c>
      <c r="CKG1782" t="s">
        <v>3490</v>
      </c>
      <c r="CKH1782" t="s">
        <v>3490</v>
      </c>
      <c r="CKI1782" t="s">
        <v>3490</v>
      </c>
      <c r="CKJ1782" t="s">
        <v>3490</v>
      </c>
      <c r="CKK1782" t="s">
        <v>3490</v>
      </c>
      <c r="CKL1782" t="s">
        <v>3490</v>
      </c>
      <c r="CKM1782" t="s">
        <v>3490</v>
      </c>
      <c r="CKN1782" t="s">
        <v>3490</v>
      </c>
      <c r="CKO1782" t="s">
        <v>3490</v>
      </c>
      <c r="CKP1782" t="s">
        <v>3490</v>
      </c>
      <c r="CKQ1782" t="s">
        <v>3490</v>
      </c>
      <c r="CKR1782" t="s">
        <v>3490</v>
      </c>
      <c r="CKS1782" t="s">
        <v>3490</v>
      </c>
      <c r="CKT1782" t="s">
        <v>3490</v>
      </c>
      <c r="CKU1782" t="s">
        <v>3490</v>
      </c>
      <c r="CKV1782" t="s">
        <v>3490</v>
      </c>
      <c r="CKW1782" t="s">
        <v>3490</v>
      </c>
      <c r="CKX1782" t="s">
        <v>3490</v>
      </c>
      <c r="CKY1782" t="s">
        <v>3490</v>
      </c>
      <c r="CKZ1782" t="s">
        <v>3490</v>
      </c>
      <c r="CLA1782" t="s">
        <v>3490</v>
      </c>
      <c r="CLB1782" t="s">
        <v>3490</v>
      </c>
      <c r="CLC1782" t="s">
        <v>3490</v>
      </c>
      <c r="CLD1782" t="s">
        <v>3490</v>
      </c>
      <c r="CLE1782" t="s">
        <v>3490</v>
      </c>
      <c r="CLF1782" t="s">
        <v>3490</v>
      </c>
      <c r="CLG1782" t="s">
        <v>3490</v>
      </c>
      <c r="CLH1782" t="s">
        <v>3490</v>
      </c>
      <c r="CLI1782" t="s">
        <v>3490</v>
      </c>
      <c r="CLJ1782" t="s">
        <v>3490</v>
      </c>
      <c r="CLK1782" t="s">
        <v>3490</v>
      </c>
      <c r="CLL1782" t="s">
        <v>3490</v>
      </c>
      <c r="CLM1782" t="s">
        <v>3490</v>
      </c>
      <c r="CLN1782" t="s">
        <v>3490</v>
      </c>
      <c r="CLO1782" t="s">
        <v>3490</v>
      </c>
      <c r="CLP1782" t="s">
        <v>3490</v>
      </c>
      <c r="CLQ1782" t="s">
        <v>3490</v>
      </c>
      <c r="CLR1782" t="s">
        <v>3490</v>
      </c>
      <c r="CLS1782" t="s">
        <v>3490</v>
      </c>
      <c r="CLT1782" t="s">
        <v>3490</v>
      </c>
      <c r="CLU1782" t="s">
        <v>3490</v>
      </c>
      <c r="CLV1782" t="s">
        <v>3490</v>
      </c>
      <c r="CLW1782" t="s">
        <v>3490</v>
      </c>
      <c r="CLX1782" t="s">
        <v>3490</v>
      </c>
      <c r="CLY1782" t="s">
        <v>3490</v>
      </c>
      <c r="CLZ1782" t="s">
        <v>3490</v>
      </c>
      <c r="CMA1782" t="s">
        <v>3490</v>
      </c>
      <c r="CMB1782" t="s">
        <v>3490</v>
      </c>
      <c r="CMC1782" t="s">
        <v>3490</v>
      </c>
      <c r="CMD1782" t="s">
        <v>3490</v>
      </c>
      <c r="CME1782" t="s">
        <v>3490</v>
      </c>
      <c r="CMF1782" t="s">
        <v>3490</v>
      </c>
      <c r="CMG1782" t="s">
        <v>3490</v>
      </c>
      <c r="CMH1782" t="s">
        <v>3490</v>
      </c>
      <c r="CMI1782" t="s">
        <v>3490</v>
      </c>
      <c r="CMJ1782" t="s">
        <v>3490</v>
      </c>
      <c r="CMK1782" t="s">
        <v>3490</v>
      </c>
      <c r="CML1782" t="s">
        <v>3490</v>
      </c>
      <c r="CMM1782" t="s">
        <v>3490</v>
      </c>
      <c r="CMN1782" t="s">
        <v>3490</v>
      </c>
      <c r="CMO1782" t="s">
        <v>3490</v>
      </c>
      <c r="CMP1782" t="s">
        <v>3490</v>
      </c>
      <c r="CMQ1782" t="s">
        <v>3490</v>
      </c>
      <c r="CMR1782" t="s">
        <v>3490</v>
      </c>
      <c r="CMS1782" t="s">
        <v>3490</v>
      </c>
      <c r="CMT1782" t="s">
        <v>3490</v>
      </c>
      <c r="CMU1782" t="s">
        <v>3490</v>
      </c>
      <c r="CMV1782" t="s">
        <v>3490</v>
      </c>
      <c r="CMW1782" t="s">
        <v>3490</v>
      </c>
      <c r="CMX1782" t="s">
        <v>3490</v>
      </c>
      <c r="CMY1782" t="s">
        <v>3490</v>
      </c>
      <c r="CMZ1782" t="s">
        <v>3490</v>
      </c>
      <c r="CNA1782" t="s">
        <v>3490</v>
      </c>
      <c r="CNB1782" t="s">
        <v>3490</v>
      </c>
      <c r="CNC1782" t="s">
        <v>3490</v>
      </c>
      <c r="CND1782" t="s">
        <v>3490</v>
      </c>
      <c r="CNE1782" t="s">
        <v>3490</v>
      </c>
      <c r="CNF1782" t="s">
        <v>3490</v>
      </c>
      <c r="CNG1782" t="s">
        <v>3490</v>
      </c>
      <c r="CNH1782" t="s">
        <v>3490</v>
      </c>
      <c r="CNI1782" t="s">
        <v>3490</v>
      </c>
      <c r="CNJ1782" t="s">
        <v>3490</v>
      </c>
      <c r="CNK1782" t="s">
        <v>3490</v>
      </c>
      <c r="CNL1782" t="s">
        <v>3490</v>
      </c>
      <c r="CNM1782" t="s">
        <v>3490</v>
      </c>
      <c r="CNN1782" t="s">
        <v>3490</v>
      </c>
      <c r="CNO1782" t="s">
        <v>3490</v>
      </c>
      <c r="CNP1782" t="s">
        <v>3490</v>
      </c>
      <c r="CNQ1782" t="s">
        <v>3490</v>
      </c>
      <c r="CNR1782" t="s">
        <v>3490</v>
      </c>
      <c r="CNS1782" t="s">
        <v>3490</v>
      </c>
      <c r="CNT1782" t="s">
        <v>3490</v>
      </c>
      <c r="CNU1782" t="s">
        <v>3490</v>
      </c>
      <c r="CNV1782" t="s">
        <v>3490</v>
      </c>
      <c r="CNW1782" t="s">
        <v>3490</v>
      </c>
      <c r="CNX1782" t="s">
        <v>3490</v>
      </c>
      <c r="CNY1782" t="s">
        <v>3490</v>
      </c>
      <c r="CNZ1782" t="s">
        <v>3490</v>
      </c>
      <c r="COA1782" t="s">
        <v>3490</v>
      </c>
      <c r="COB1782" t="s">
        <v>3490</v>
      </c>
      <c r="COC1782" t="s">
        <v>3490</v>
      </c>
      <c r="COD1782" t="s">
        <v>3490</v>
      </c>
      <c r="COE1782" t="s">
        <v>3490</v>
      </c>
      <c r="COF1782" t="s">
        <v>3490</v>
      </c>
      <c r="COG1782" t="s">
        <v>3490</v>
      </c>
      <c r="COH1782" t="s">
        <v>3490</v>
      </c>
      <c r="COI1782" t="s">
        <v>3490</v>
      </c>
      <c r="COJ1782" t="s">
        <v>3490</v>
      </c>
      <c r="COK1782" t="s">
        <v>3490</v>
      </c>
      <c r="COL1782" t="s">
        <v>3490</v>
      </c>
      <c r="COM1782" t="s">
        <v>3490</v>
      </c>
      <c r="CON1782" t="s">
        <v>3490</v>
      </c>
      <c r="COO1782" t="s">
        <v>3490</v>
      </c>
      <c r="COP1782" t="s">
        <v>3490</v>
      </c>
      <c r="COQ1782" t="s">
        <v>3490</v>
      </c>
      <c r="COR1782" t="s">
        <v>3490</v>
      </c>
      <c r="COS1782" t="s">
        <v>3490</v>
      </c>
      <c r="COT1782" t="s">
        <v>3490</v>
      </c>
      <c r="COU1782" t="s">
        <v>3490</v>
      </c>
      <c r="COV1782" t="s">
        <v>3490</v>
      </c>
      <c r="COW1782" t="s">
        <v>3490</v>
      </c>
      <c r="COX1782" t="s">
        <v>3490</v>
      </c>
      <c r="COY1782" t="s">
        <v>3490</v>
      </c>
      <c r="COZ1782" t="s">
        <v>3490</v>
      </c>
      <c r="CPA1782" t="s">
        <v>3490</v>
      </c>
      <c r="CPB1782" t="s">
        <v>3490</v>
      </c>
      <c r="CPC1782" t="s">
        <v>3490</v>
      </c>
      <c r="CPD1782" t="s">
        <v>3490</v>
      </c>
      <c r="CPE1782" t="s">
        <v>3490</v>
      </c>
      <c r="CPF1782" t="s">
        <v>3490</v>
      </c>
      <c r="CPG1782" t="s">
        <v>3490</v>
      </c>
      <c r="CPH1782" t="s">
        <v>3490</v>
      </c>
      <c r="CPI1782" t="s">
        <v>3490</v>
      </c>
      <c r="CPJ1782" t="s">
        <v>3490</v>
      </c>
      <c r="CPK1782" t="s">
        <v>3490</v>
      </c>
      <c r="CPL1782" t="s">
        <v>3490</v>
      </c>
      <c r="CPM1782" t="s">
        <v>3490</v>
      </c>
      <c r="CPN1782" t="s">
        <v>3490</v>
      </c>
      <c r="CPO1782" t="s">
        <v>3490</v>
      </c>
      <c r="CPP1782" t="s">
        <v>3490</v>
      </c>
      <c r="CPQ1782" t="s">
        <v>3490</v>
      </c>
      <c r="CPR1782" t="s">
        <v>3490</v>
      </c>
      <c r="CPS1782" t="s">
        <v>3490</v>
      </c>
      <c r="CPT1782" t="s">
        <v>3490</v>
      </c>
      <c r="CPU1782" t="s">
        <v>3490</v>
      </c>
      <c r="CPV1782" t="s">
        <v>3490</v>
      </c>
      <c r="CPW1782" t="s">
        <v>3490</v>
      </c>
      <c r="CPX1782" t="s">
        <v>3490</v>
      </c>
      <c r="CPY1782" t="s">
        <v>3490</v>
      </c>
      <c r="CPZ1782" t="s">
        <v>3490</v>
      </c>
      <c r="CQA1782" t="s">
        <v>3490</v>
      </c>
      <c r="CQB1782" t="s">
        <v>3490</v>
      </c>
      <c r="CQC1782" t="s">
        <v>3490</v>
      </c>
      <c r="CQD1782" t="s">
        <v>3490</v>
      </c>
      <c r="CQE1782" t="s">
        <v>3490</v>
      </c>
      <c r="CQF1782" t="s">
        <v>3490</v>
      </c>
      <c r="CQG1782" t="s">
        <v>3490</v>
      </c>
      <c r="CQH1782" t="s">
        <v>3490</v>
      </c>
      <c r="CQI1782" t="s">
        <v>3490</v>
      </c>
      <c r="CQJ1782" t="s">
        <v>3490</v>
      </c>
      <c r="CQK1782" t="s">
        <v>3490</v>
      </c>
      <c r="CQL1782" t="s">
        <v>3490</v>
      </c>
      <c r="CQM1782" t="s">
        <v>3490</v>
      </c>
      <c r="CQN1782" t="s">
        <v>3490</v>
      </c>
      <c r="CQO1782" t="s">
        <v>3490</v>
      </c>
      <c r="CQP1782" t="s">
        <v>3490</v>
      </c>
      <c r="CQQ1782" t="s">
        <v>3490</v>
      </c>
      <c r="CQR1782" t="s">
        <v>3490</v>
      </c>
      <c r="CQS1782" t="s">
        <v>3490</v>
      </c>
      <c r="CQT1782" t="s">
        <v>3490</v>
      </c>
      <c r="CQU1782" t="s">
        <v>3490</v>
      </c>
      <c r="CQV1782" t="s">
        <v>3490</v>
      </c>
      <c r="CQW1782" t="s">
        <v>3490</v>
      </c>
      <c r="CQX1782" t="s">
        <v>3490</v>
      </c>
      <c r="CQY1782" t="s">
        <v>3490</v>
      </c>
      <c r="CQZ1782" t="s">
        <v>3490</v>
      </c>
      <c r="CRA1782" t="s">
        <v>3490</v>
      </c>
      <c r="CRB1782" t="s">
        <v>3490</v>
      </c>
      <c r="CRC1782" t="s">
        <v>3490</v>
      </c>
      <c r="CRD1782" t="s">
        <v>3490</v>
      </c>
      <c r="CRE1782" t="s">
        <v>3490</v>
      </c>
      <c r="CRF1782" t="s">
        <v>3490</v>
      </c>
      <c r="CRG1782" t="s">
        <v>3490</v>
      </c>
      <c r="CRH1782" t="s">
        <v>3490</v>
      </c>
      <c r="CRI1782" t="s">
        <v>3490</v>
      </c>
      <c r="CRJ1782" t="s">
        <v>3490</v>
      </c>
      <c r="CRK1782" t="s">
        <v>3490</v>
      </c>
      <c r="CRL1782" t="s">
        <v>3490</v>
      </c>
      <c r="CRM1782" t="s">
        <v>3490</v>
      </c>
      <c r="CRN1782" t="s">
        <v>3490</v>
      </c>
      <c r="CRO1782" t="s">
        <v>3490</v>
      </c>
      <c r="CRP1782" t="s">
        <v>3490</v>
      </c>
      <c r="CRQ1782" t="s">
        <v>3490</v>
      </c>
      <c r="CRR1782" t="s">
        <v>3490</v>
      </c>
      <c r="CRS1782" t="s">
        <v>3490</v>
      </c>
      <c r="CRT1782" t="s">
        <v>3490</v>
      </c>
      <c r="CRU1782" t="s">
        <v>3490</v>
      </c>
      <c r="CRV1782" t="s">
        <v>3490</v>
      </c>
      <c r="CRW1782" t="s">
        <v>3490</v>
      </c>
      <c r="CRX1782" t="s">
        <v>3490</v>
      </c>
      <c r="CRY1782" t="s">
        <v>3490</v>
      </c>
      <c r="CRZ1782" t="s">
        <v>3490</v>
      </c>
      <c r="CSA1782" t="s">
        <v>3490</v>
      </c>
      <c r="CSB1782" t="s">
        <v>3490</v>
      </c>
      <c r="CSC1782" t="s">
        <v>3490</v>
      </c>
      <c r="CSD1782" t="s">
        <v>3490</v>
      </c>
      <c r="CSE1782" t="s">
        <v>3490</v>
      </c>
      <c r="CSF1782" t="s">
        <v>3490</v>
      </c>
      <c r="CSG1782" t="s">
        <v>3490</v>
      </c>
      <c r="CSH1782" t="s">
        <v>3490</v>
      </c>
      <c r="CSI1782" t="s">
        <v>3490</v>
      </c>
      <c r="CSJ1782" t="s">
        <v>3490</v>
      </c>
      <c r="CSK1782" t="s">
        <v>3490</v>
      </c>
      <c r="CSL1782" t="s">
        <v>3490</v>
      </c>
      <c r="CSM1782" t="s">
        <v>3490</v>
      </c>
      <c r="CSN1782" t="s">
        <v>3490</v>
      </c>
      <c r="CSO1782" t="s">
        <v>3490</v>
      </c>
      <c r="CSP1782" t="s">
        <v>3490</v>
      </c>
      <c r="CSQ1782" t="s">
        <v>3490</v>
      </c>
      <c r="CSR1782" t="s">
        <v>3490</v>
      </c>
      <c r="CSS1782" t="s">
        <v>3490</v>
      </c>
      <c r="CST1782" t="s">
        <v>3490</v>
      </c>
      <c r="CSU1782" t="s">
        <v>3490</v>
      </c>
      <c r="CSV1782" t="s">
        <v>3490</v>
      </c>
      <c r="CSW1782" t="s">
        <v>3490</v>
      </c>
      <c r="CSX1782" t="s">
        <v>3490</v>
      </c>
      <c r="CSY1782" t="s">
        <v>3490</v>
      </c>
      <c r="CSZ1782" t="s">
        <v>3490</v>
      </c>
      <c r="CTA1782" t="s">
        <v>3490</v>
      </c>
      <c r="CTB1782" t="s">
        <v>3490</v>
      </c>
      <c r="CTC1782" t="s">
        <v>3490</v>
      </c>
      <c r="CTD1782" t="s">
        <v>3490</v>
      </c>
      <c r="CTE1782" t="s">
        <v>3490</v>
      </c>
      <c r="CTF1782" t="s">
        <v>3490</v>
      </c>
      <c r="CTG1782" t="s">
        <v>3490</v>
      </c>
      <c r="CTH1782" t="s">
        <v>3490</v>
      </c>
      <c r="CTI1782" t="s">
        <v>3490</v>
      </c>
      <c r="CTJ1782" t="s">
        <v>3490</v>
      </c>
      <c r="CTK1782" t="s">
        <v>3490</v>
      </c>
      <c r="CTL1782" t="s">
        <v>3490</v>
      </c>
      <c r="CTM1782" t="s">
        <v>3490</v>
      </c>
      <c r="CTN1782" t="s">
        <v>3490</v>
      </c>
      <c r="CTO1782" t="s">
        <v>3490</v>
      </c>
      <c r="CTP1782" t="s">
        <v>3490</v>
      </c>
      <c r="CTQ1782" t="s">
        <v>3490</v>
      </c>
      <c r="CTR1782" t="s">
        <v>3490</v>
      </c>
      <c r="CTS1782" t="s">
        <v>3490</v>
      </c>
      <c r="CTT1782" t="s">
        <v>3490</v>
      </c>
      <c r="CTU1782" t="s">
        <v>3490</v>
      </c>
      <c r="CTV1782" t="s">
        <v>3490</v>
      </c>
      <c r="CTW1782" t="s">
        <v>3490</v>
      </c>
      <c r="CTX1782" t="s">
        <v>3490</v>
      </c>
      <c r="CTY1782" t="s">
        <v>3490</v>
      </c>
      <c r="CTZ1782" t="s">
        <v>3490</v>
      </c>
      <c r="CUA1782" t="s">
        <v>3490</v>
      </c>
      <c r="CUB1782" t="s">
        <v>3490</v>
      </c>
      <c r="CUC1782" t="s">
        <v>3490</v>
      </c>
      <c r="CUD1782" t="s">
        <v>3490</v>
      </c>
      <c r="CUE1782" t="s">
        <v>3490</v>
      </c>
      <c r="CUF1782" t="s">
        <v>3490</v>
      </c>
      <c r="CUG1782" t="s">
        <v>3490</v>
      </c>
      <c r="CUH1782" t="s">
        <v>3490</v>
      </c>
      <c r="CUI1782" t="s">
        <v>3490</v>
      </c>
      <c r="CUJ1782" t="s">
        <v>3490</v>
      </c>
      <c r="CUK1782" t="s">
        <v>3490</v>
      </c>
      <c r="CUL1782" t="s">
        <v>3490</v>
      </c>
      <c r="CUM1782" t="s">
        <v>3490</v>
      </c>
      <c r="CUN1782" t="s">
        <v>3490</v>
      </c>
      <c r="CUO1782" t="s">
        <v>3490</v>
      </c>
      <c r="CUP1782" t="s">
        <v>3490</v>
      </c>
      <c r="CUQ1782" t="s">
        <v>3490</v>
      </c>
      <c r="CUR1782" t="s">
        <v>3490</v>
      </c>
      <c r="CUS1782" t="s">
        <v>3490</v>
      </c>
      <c r="CUT1782" t="s">
        <v>3490</v>
      </c>
      <c r="CUU1782" t="s">
        <v>3490</v>
      </c>
      <c r="CUV1782" t="s">
        <v>3490</v>
      </c>
      <c r="CUW1782" t="s">
        <v>3490</v>
      </c>
      <c r="CUX1782" t="s">
        <v>3490</v>
      </c>
      <c r="CUY1782" t="s">
        <v>3490</v>
      </c>
      <c r="CUZ1782" t="s">
        <v>3490</v>
      </c>
      <c r="CVA1782" t="s">
        <v>3490</v>
      </c>
      <c r="CVB1782" t="s">
        <v>3490</v>
      </c>
      <c r="CVC1782" t="s">
        <v>3490</v>
      </c>
      <c r="CVD1782" t="s">
        <v>3490</v>
      </c>
      <c r="CVE1782" t="s">
        <v>3490</v>
      </c>
      <c r="CVF1782" t="s">
        <v>3490</v>
      </c>
      <c r="CVG1782" t="s">
        <v>3490</v>
      </c>
      <c r="CVH1782" t="s">
        <v>3490</v>
      </c>
      <c r="CVI1782" t="s">
        <v>3490</v>
      </c>
      <c r="CVJ1782" t="s">
        <v>3490</v>
      </c>
      <c r="CVK1782" t="s">
        <v>3490</v>
      </c>
      <c r="CVL1782" t="s">
        <v>3490</v>
      </c>
      <c r="CVM1782" t="s">
        <v>3490</v>
      </c>
      <c r="CVN1782" t="s">
        <v>3490</v>
      </c>
      <c r="CVO1782" t="s">
        <v>3490</v>
      </c>
      <c r="CVP1782" t="s">
        <v>3490</v>
      </c>
      <c r="CVQ1782" t="s">
        <v>3490</v>
      </c>
      <c r="CVR1782" t="s">
        <v>3490</v>
      </c>
      <c r="CVS1782" t="s">
        <v>3490</v>
      </c>
      <c r="CVT1782" t="s">
        <v>3490</v>
      </c>
      <c r="CVU1782" t="s">
        <v>3490</v>
      </c>
      <c r="CVV1782" t="s">
        <v>3490</v>
      </c>
      <c r="CVW1782" t="s">
        <v>3490</v>
      </c>
      <c r="CVX1782" t="s">
        <v>3490</v>
      </c>
      <c r="CVY1782" t="s">
        <v>3490</v>
      </c>
      <c r="CVZ1782" t="s">
        <v>3490</v>
      </c>
      <c r="CWA1782" t="s">
        <v>3490</v>
      </c>
      <c r="CWB1782" t="s">
        <v>3490</v>
      </c>
      <c r="CWC1782" t="s">
        <v>3490</v>
      </c>
      <c r="CWD1782" t="s">
        <v>3490</v>
      </c>
      <c r="CWE1782" t="s">
        <v>3490</v>
      </c>
      <c r="CWF1782" t="s">
        <v>3490</v>
      </c>
      <c r="CWG1782" t="s">
        <v>3490</v>
      </c>
      <c r="CWH1782" t="s">
        <v>3490</v>
      </c>
      <c r="CWI1782" t="s">
        <v>3490</v>
      </c>
      <c r="CWJ1782" t="s">
        <v>3490</v>
      </c>
      <c r="CWK1782" t="s">
        <v>3490</v>
      </c>
      <c r="CWL1782" t="s">
        <v>3490</v>
      </c>
      <c r="CWM1782" t="s">
        <v>3490</v>
      </c>
      <c r="CWN1782" t="s">
        <v>3490</v>
      </c>
      <c r="CWO1782" t="s">
        <v>3490</v>
      </c>
      <c r="CWP1782" t="s">
        <v>3490</v>
      </c>
      <c r="CWQ1782" t="s">
        <v>3490</v>
      </c>
      <c r="CWR1782" t="s">
        <v>3490</v>
      </c>
      <c r="CWS1782" t="s">
        <v>3490</v>
      </c>
      <c r="CWT1782" t="s">
        <v>3490</v>
      </c>
      <c r="CWU1782" t="s">
        <v>3490</v>
      </c>
      <c r="CWV1782" t="s">
        <v>3490</v>
      </c>
      <c r="CWW1782" t="s">
        <v>3490</v>
      </c>
      <c r="CWX1782" t="s">
        <v>3490</v>
      </c>
      <c r="CWY1782" t="s">
        <v>3490</v>
      </c>
      <c r="CWZ1782" t="s">
        <v>3490</v>
      </c>
      <c r="CXA1782" t="s">
        <v>3490</v>
      </c>
      <c r="CXB1782" t="s">
        <v>3490</v>
      </c>
      <c r="CXC1782" t="s">
        <v>3490</v>
      </c>
      <c r="CXD1782" t="s">
        <v>3490</v>
      </c>
      <c r="CXE1782" t="s">
        <v>3490</v>
      </c>
      <c r="CXF1782" t="s">
        <v>3490</v>
      </c>
      <c r="CXG1782" t="s">
        <v>3490</v>
      </c>
      <c r="CXH1782" t="s">
        <v>3490</v>
      </c>
      <c r="CXI1782" t="s">
        <v>3490</v>
      </c>
      <c r="CXJ1782" t="s">
        <v>3490</v>
      </c>
      <c r="CXK1782" t="s">
        <v>3490</v>
      </c>
      <c r="CXL1782" t="s">
        <v>3490</v>
      </c>
      <c r="CXM1782" t="s">
        <v>3490</v>
      </c>
      <c r="CXN1782" t="s">
        <v>3490</v>
      </c>
      <c r="CXO1782" t="s">
        <v>3490</v>
      </c>
      <c r="CXP1782" t="s">
        <v>3490</v>
      </c>
      <c r="CXQ1782" t="s">
        <v>3490</v>
      </c>
      <c r="CXR1782" t="s">
        <v>3490</v>
      </c>
      <c r="CXS1782" t="s">
        <v>3490</v>
      </c>
      <c r="CXT1782" t="s">
        <v>3490</v>
      </c>
      <c r="CXU1782" t="s">
        <v>3490</v>
      </c>
      <c r="CXV1782" t="s">
        <v>3490</v>
      </c>
      <c r="CXW1782" t="s">
        <v>3490</v>
      </c>
      <c r="CXX1782" t="s">
        <v>3490</v>
      </c>
      <c r="CXY1782" t="s">
        <v>3490</v>
      </c>
      <c r="CXZ1782" t="s">
        <v>3490</v>
      </c>
      <c r="CYA1782" t="s">
        <v>3490</v>
      </c>
      <c r="CYB1782" t="s">
        <v>3490</v>
      </c>
      <c r="CYC1782" t="s">
        <v>3490</v>
      </c>
      <c r="CYD1782" t="s">
        <v>3490</v>
      </c>
      <c r="CYE1782" t="s">
        <v>3490</v>
      </c>
      <c r="CYF1782" t="s">
        <v>3490</v>
      </c>
      <c r="CYG1782" t="s">
        <v>3490</v>
      </c>
      <c r="CYH1782" t="s">
        <v>3490</v>
      </c>
      <c r="CYI1782" t="s">
        <v>3490</v>
      </c>
      <c r="CYJ1782" t="s">
        <v>3490</v>
      </c>
      <c r="CYK1782" t="s">
        <v>3490</v>
      </c>
      <c r="CYL1782" t="s">
        <v>3490</v>
      </c>
      <c r="CYM1782" t="s">
        <v>3490</v>
      </c>
      <c r="CYN1782" t="s">
        <v>3490</v>
      </c>
      <c r="CYO1782" t="s">
        <v>3490</v>
      </c>
      <c r="CYP1782" t="s">
        <v>3490</v>
      </c>
      <c r="CYQ1782" t="s">
        <v>3490</v>
      </c>
      <c r="CYR1782" t="s">
        <v>3490</v>
      </c>
      <c r="CYS1782" t="s">
        <v>3490</v>
      </c>
      <c r="CYT1782" t="s">
        <v>3490</v>
      </c>
      <c r="CYU1782" t="s">
        <v>3490</v>
      </c>
      <c r="CYV1782" t="s">
        <v>3490</v>
      </c>
      <c r="CYW1782" t="s">
        <v>3490</v>
      </c>
      <c r="CYX1782" t="s">
        <v>3490</v>
      </c>
      <c r="CYY1782" t="s">
        <v>3490</v>
      </c>
      <c r="CYZ1782" t="s">
        <v>3490</v>
      </c>
      <c r="CZA1782" t="s">
        <v>3490</v>
      </c>
      <c r="CZB1782" t="s">
        <v>3490</v>
      </c>
      <c r="CZC1782" t="s">
        <v>3490</v>
      </c>
      <c r="CZD1782" t="s">
        <v>3490</v>
      </c>
      <c r="CZE1782" t="s">
        <v>3490</v>
      </c>
      <c r="CZF1782" t="s">
        <v>3490</v>
      </c>
      <c r="CZG1782" t="s">
        <v>3490</v>
      </c>
      <c r="CZH1782" t="s">
        <v>3490</v>
      </c>
      <c r="CZI1782" t="s">
        <v>3490</v>
      </c>
      <c r="CZJ1782" t="s">
        <v>3490</v>
      </c>
      <c r="CZK1782" t="s">
        <v>3490</v>
      </c>
      <c r="CZL1782" t="s">
        <v>3490</v>
      </c>
      <c r="CZM1782" t="s">
        <v>3490</v>
      </c>
      <c r="CZN1782" t="s">
        <v>3490</v>
      </c>
      <c r="CZO1782" t="s">
        <v>3490</v>
      </c>
      <c r="CZP1782" t="s">
        <v>3490</v>
      </c>
      <c r="CZQ1782" t="s">
        <v>3490</v>
      </c>
      <c r="CZR1782" t="s">
        <v>3490</v>
      </c>
      <c r="CZS1782" t="s">
        <v>3490</v>
      </c>
      <c r="CZT1782" t="s">
        <v>3490</v>
      </c>
      <c r="CZU1782" t="s">
        <v>3490</v>
      </c>
      <c r="CZV1782" t="s">
        <v>3490</v>
      </c>
      <c r="CZW1782" t="s">
        <v>3490</v>
      </c>
      <c r="CZX1782" t="s">
        <v>3490</v>
      </c>
      <c r="CZY1782" t="s">
        <v>3490</v>
      </c>
      <c r="CZZ1782" t="s">
        <v>3490</v>
      </c>
      <c r="DAA1782" t="s">
        <v>3490</v>
      </c>
      <c r="DAB1782" t="s">
        <v>3490</v>
      </c>
      <c r="DAC1782" t="s">
        <v>3490</v>
      </c>
      <c r="DAD1782" t="s">
        <v>3490</v>
      </c>
      <c r="DAE1782" t="s">
        <v>3490</v>
      </c>
      <c r="DAF1782" t="s">
        <v>3490</v>
      </c>
      <c r="DAG1782" t="s">
        <v>3490</v>
      </c>
      <c r="DAH1782" t="s">
        <v>3490</v>
      </c>
      <c r="DAI1782" t="s">
        <v>3490</v>
      </c>
      <c r="DAJ1782" t="s">
        <v>3490</v>
      </c>
      <c r="DAK1782" t="s">
        <v>3490</v>
      </c>
      <c r="DAL1782" t="s">
        <v>3490</v>
      </c>
      <c r="DAM1782" t="s">
        <v>3490</v>
      </c>
      <c r="DAN1782" t="s">
        <v>3490</v>
      </c>
      <c r="DAO1782" t="s">
        <v>3490</v>
      </c>
      <c r="DAP1782" t="s">
        <v>3490</v>
      </c>
      <c r="DAQ1782" t="s">
        <v>3490</v>
      </c>
      <c r="DAR1782" t="s">
        <v>3490</v>
      </c>
      <c r="DAS1782" t="s">
        <v>3490</v>
      </c>
      <c r="DAT1782" t="s">
        <v>3490</v>
      </c>
      <c r="DAU1782" t="s">
        <v>3490</v>
      </c>
      <c r="DAV1782" t="s">
        <v>3490</v>
      </c>
      <c r="DAW1782" t="s">
        <v>3490</v>
      </c>
      <c r="DAX1782" t="s">
        <v>3490</v>
      </c>
      <c r="DAY1782" t="s">
        <v>3490</v>
      </c>
      <c r="DAZ1782" t="s">
        <v>3490</v>
      </c>
      <c r="DBA1782" t="s">
        <v>3490</v>
      </c>
      <c r="DBB1782" t="s">
        <v>3490</v>
      </c>
      <c r="DBC1782" t="s">
        <v>3490</v>
      </c>
      <c r="DBD1782" t="s">
        <v>3490</v>
      </c>
      <c r="DBE1782" t="s">
        <v>3490</v>
      </c>
      <c r="DBF1782" t="s">
        <v>3490</v>
      </c>
      <c r="DBG1782" t="s">
        <v>3490</v>
      </c>
      <c r="DBH1782" t="s">
        <v>3490</v>
      </c>
      <c r="DBI1782" t="s">
        <v>3490</v>
      </c>
      <c r="DBJ1782" t="s">
        <v>3490</v>
      </c>
      <c r="DBK1782" t="s">
        <v>3490</v>
      </c>
      <c r="DBL1782" t="s">
        <v>3490</v>
      </c>
      <c r="DBM1782" t="s">
        <v>3490</v>
      </c>
      <c r="DBN1782" t="s">
        <v>3490</v>
      </c>
      <c r="DBO1782" t="s">
        <v>3490</v>
      </c>
      <c r="DBP1782" t="s">
        <v>3490</v>
      </c>
      <c r="DBQ1782" t="s">
        <v>3490</v>
      </c>
      <c r="DBR1782" t="s">
        <v>3490</v>
      </c>
      <c r="DBS1782" t="s">
        <v>3490</v>
      </c>
      <c r="DBT1782" t="s">
        <v>3490</v>
      </c>
      <c r="DBU1782" t="s">
        <v>3490</v>
      </c>
      <c r="DBV1782" t="s">
        <v>3490</v>
      </c>
      <c r="DBW1782" t="s">
        <v>3490</v>
      </c>
      <c r="DBX1782" t="s">
        <v>3490</v>
      </c>
      <c r="DBY1782" t="s">
        <v>3490</v>
      </c>
      <c r="DBZ1782" t="s">
        <v>3490</v>
      </c>
      <c r="DCA1782" t="s">
        <v>3490</v>
      </c>
      <c r="DCB1782" t="s">
        <v>3490</v>
      </c>
      <c r="DCC1782" t="s">
        <v>3490</v>
      </c>
      <c r="DCD1782" t="s">
        <v>3490</v>
      </c>
      <c r="DCE1782" t="s">
        <v>3490</v>
      </c>
      <c r="DCF1782" t="s">
        <v>3490</v>
      </c>
      <c r="DCG1782" t="s">
        <v>3490</v>
      </c>
      <c r="DCH1782" t="s">
        <v>3490</v>
      </c>
      <c r="DCI1782" t="s">
        <v>3490</v>
      </c>
      <c r="DCJ1782" t="s">
        <v>3490</v>
      </c>
      <c r="DCK1782" t="s">
        <v>3490</v>
      </c>
      <c r="DCL1782" t="s">
        <v>3490</v>
      </c>
      <c r="DCM1782" t="s">
        <v>3490</v>
      </c>
      <c r="DCN1782" t="s">
        <v>3490</v>
      </c>
      <c r="DCO1782" t="s">
        <v>3490</v>
      </c>
      <c r="DCP1782" t="s">
        <v>3490</v>
      </c>
      <c r="DCQ1782" t="s">
        <v>3490</v>
      </c>
      <c r="DCR1782" t="s">
        <v>3490</v>
      </c>
      <c r="DCS1782" t="s">
        <v>3490</v>
      </c>
      <c r="DCT1782" t="s">
        <v>3490</v>
      </c>
      <c r="DCU1782" t="s">
        <v>3490</v>
      </c>
      <c r="DCV1782" t="s">
        <v>3490</v>
      </c>
      <c r="DCW1782" t="s">
        <v>3490</v>
      </c>
      <c r="DCX1782" t="s">
        <v>3490</v>
      </c>
      <c r="DCY1782" t="s">
        <v>3490</v>
      </c>
      <c r="DCZ1782" t="s">
        <v>3490</v>
      </c>
      <c r="DDA1782" t="s">
        <v>3490</v>
      </c>
      <c r="DDB1782" t="s">
        <v>3490</v>
      </c>
      <c r="DDC1782" t="s">
        <v>3490</v>
      </c>
      <c r="DDD1782" t="s">
        <v>3490</v>
      </c>
      <c r="DDE1782" t="s">
        <v>3490</v>
      </c>
      <c r="DDF1782" t="s">
        <v>3490</v>
      </c>
      <c r="DDG1782" t="s">
        <v>3490</v>
      </c>
      <c r="DDH1782" t="s">
        <v>3490</v>
      </c>
      <c r="DDI1782" t="s">
        <v>3490</v>
      </c>
      <c r="DDJ1782" t="s">
        <v>3490</v>
      </c>
      <c r="DDK1782" t="s">
        <v>3490</v>
      </c>
      <c r="DDL1782" t="s">
        <v>3490</v>
      </c>
      <c r="DDM1782" t="s">
        <v>3490</v>
      </c>
      <c r="DDN1782" t="s">
        <v>3490</v>
      </c>
      <c r="DDO1782" t="s">
        <v>3490</v>
      </c>
      <c r="DDP1782" t="s">
        <v>3490</v>
      </c>
      <c r="DDQ1782" t="s">
        <v>3490</v>
      </c>
      <c r="DDR1782" t="s">
        <v>3490</v>
      </c>
      <c r="DDS1782" t="s">
        <v>3490</v>
      </c>
      <c r="DDT1782" t="s">
        <v>3490</v>
      </c>
      <c r="DDU1782" t="s">
        <v>3490</v>
      </c>
      <c r="DDV1782" t="s">
        <v>3490</v>
      </c>
      <c r="DDW1782" t="s">
        <v>3490</v>
      </c>
      <c r="DDX1782" t="s">
        <v>3490</v>
      </c>
      <c r="DDY1782" t="s">
        <v>3490</v>
      </c>
      <c r="DDZ1782" t="s">
        <v>3490</v>
      </c>
      <c r="DEA1782" t="s">
        <v>3490</v>
      </c>
      <c r="DEB1782" t="s">
        <v>3490</v>
      </c>
      <c r="DEC1782" t="s">
        <v>3490</v>
      </c>
      <c r="DED1782" t="s">
        <v>3490</v>
      </c>
      <c r="DEE1782" t="s">
        <v>3490</v>
      </c>
      <c r="DEF1782" t="s">
        <v>3490</v>
      </c>
      <c r="DEG1782" t="s">
        <v>3490</v>
      </c>
      <c r="DEH1782" t="s">
        <v>3490</v>
      </c>
      <c r="DEI1782" t="s">
        <v>3490</v>
      </c>
      <c r="DEJ1782" t="s">
        <v>3490</v>
      </c>
      <c r="DEK1782" t="s">
        <v>3490</v>
      </c>
      <c r="DEL1782" t="s">
        <v>3490</v>
      </c>
      <c r="DEM1782" t="s">
        <v>3490</v>
      </c>
      <c r="DEN1782" t="s">
        <v>3490</v>
      </c>
      <c r="DEO1782" t="s">
        <v>3490</v>
      </c>
      <c r="DEP1782" t="s">
        <v>3490</v>
      </c>
      <c r="DEQ1782" t="s">
        <v>3490</v>
      </c>
      <c r="DER1782" t="s">
        <v>3490</v>
      </c>
      <c r="DES1782" t="s">
        <v>3490</v>
      </c>
      <c r="DET1782" t="s">
        <v>3490</v>
      </c>
      <c r="DEU1782" t="s">
        <v>3490</v>
      </c>
      <c r="DEV1782" t="s">
        <v>3490</v>
      </c>
      <c r="DEW1782" t="s">
        <v>3490</v>
      </c>
      <c r="DEX1782" t="s">
        <v>3490</v>
      </c>
      <c r="DEY1782" t="s">
        <v>3490</v>
      </c>
      <c r="DEZ1782" t="s">
        <v>3490</v>
      </c>
      <c r="DFA1782" t="s">
        <v>3490</v>
      </c>
      <c r="DFB1782" t="s">
        <v>3490</v>
      </c>
      <c r="DFC1782" t="s">
        <v>3490</v>
      </c>
      <c r="DFD1782" t="s">
        <v>3490</v>
      </c>
      <c r="DFE1782" t="s">
        <v>3490</v>
      </c>
      <c r="DFF1782" t="s">
        <v>3490</v>
      </c>
      <c r="DFG1782" t="s">
        <v>3490</v>
      </c>
      <c r="DFH1782" t="s">
        <v>3490</v>
      </c>
      <c r="DFI1782" t="s">
        <v>3490</v>
      </c>
      <c r="DFJ1782" t="s">
        <v>3490</v>
      </c>
      <c r="DFK1782" t="s">
        <v>3490</v>
      </c>
      <c r="DFL1782" t="s">
        <v>3490</v>
      </c>
      <c r="DFM1782" t="s">
        <v>3490</v>
      </c>
      <c r="DFN1782" t="s">
        <v>3490</v>
      </c>
      <c r="DFO1782" t="s">
        <v>3490</v>
      </c>
      <c r="DFP1782" t="s">
        <v>3490</v>
      </c>
      <c r="DFQ1782" t="s">
        <v>3490</v>
      </c>
      <c r="DFR1782" t="s">
        <v>3490</v>
      </c>
      <c r="DFS1782" t="s">
        <v>3490</v>
      </c>
      <c r="DFT1782" t="s">
        <v>3490</v>
      </c>
      <c r="DFU1782" t="s">
        <v>3490</v>
      </c>
      <c r="DFV1782" t="s">
        <v>3490</v>
      </c>
      <c r="DFW1782" t="s">
        <v>3490</v>
      </c>
      <c r="DFX1782" t="s">
        <v>3490</v>
      </c>
      <c r="DFY1782" t="s">
        <v>3490</v>
      </c>
      <c r="DFZ1782" t="s">
        <v>3490</v>
      </c>
      <c r="DGA1782" t="s">
        <v>3490</v>
      </c>
      <c r="DGB1782" t="s">
        <v>3490</v>
      </c>
      <c r="DGC1782" t="s">
        <v>3490</v>
      </c>
      <c r="DGD1782" t="s">
        <v>3490</v>
      </c>
      <c r="DGE1782" t="s">
        <v>3490</v>
      </c>
      <c r="DGF1782" t="s">
        <v>3490</v>
      </c>
      <c r="DGG1782" t="s">
        <v>3490</v>
      </c>
      <c r="DGH1782" t="s">
        <v>3490</v>
      </c>
      <c r="DGI1782" t="s">
        <v>3490</v>
      </c>
      <c r="DGJ1782" t="s">
        <v>3490</v>
      </c>
      <c r="DGK1782" t="s">
        <v>3490</v>
      </c>
      <c r="DGL1782" t="s">
        <v>3490</v>
      </c>
      <c r="DGM1782" t="s">
        <v>3490</v>
      </c>
      <c r="DGN1782" t="s">
        <v>3490</v>
      </c>
      <c r="DGO1782" t="s">
        <v>3490</v>
      </c>
      <c r="DGP1782" t="s">
        <v>3490</v>
      </c>
      <c r="DGQ1782" t="s">
        <v>3490</v>
      </c>
      <c r="DGR1782" t="s">
        <v>3490</v>
      </c>
      <c r="DGS1782" t="s">
        <v>3490</v>
      </c>
      <c r="DGT1782" t="s">
        <v>3490</v>
      </c>
      <c r="DGU1782" t="s">
        <v>3490</v>
      </c>
      <c r="DGV1782" t="s">
        <v>3490</v>
      </c>
      <c r="DGW1782" t="s">
        <v>3490</v>
      </c>
      <c r="DGX1782" t="s">
        <v>3490</v>
      </c>
      <c r="DGY1782" t="s">
        <v>3490</v>
      </c>
      <c r="DGZ1782" t="s">
        <v>3490</v>
      </c>
      <c r="DHA1782" t="s">
        <v>3490</v>
      </c>
      <c r="DHB1782" t="s">
        <v>3490</v>
      </c>
      <c r="DHC1782" t="s">
        <v>3490</v>
      </c>
      <c r="DHD1782" t="s">
        <v>3490</v>
      </c>
      <c r="DHE1782" t="s">
        <v>3490</v>
      </c>
      <c r="DHF1782" t="s">
        <v>3490</v>
      </c>
      <c r="DHG1782" t="s">
        <v>3490</v>
      </c>
      <c r="DHH1782" t="s">
        <v>3490</v>
      </c>
      <c r="DHI1782" t="s">
        <v>3490</v>
      </c>
      <c r="DHJ1782" t="s">
        <v>3490</v>
      </c>
      <c r="DHK1782" t="s">
        <v>3490</v>
      </c>
      <c r="DHL1782" t="s">
        <v>3490</v>
      </c>
      <c r="DHM1782" t="s">
        <v>3490</v>
      </c>
      <c r="DHN1782" t="s">
        <v>3490</v>
      </c>
      <c r="DHO1782" t="s">
        <v>3490</v>
      </c>
      <c r="DHP1782" t="s">
        <v>3490</v>
      </c>
      <c r="DHQ1782" t="s">
        <v>3490</v>
      </c>
      <c r="DHR1782" t="s">
        <v>3490</v>
      </c>
      <c r="DHS1782" t="s">
        <v>3490</v>
      </c>
      <c r="DHT1782" t="s">
        <v>3490</v>
      </c>
      <c r="DHU1782" t="s">
        <v>3490</v>
      </c>
      <c r="DHV1782" t="s">
        <v>3490</v>
      </c>
      <c r="DHW1782" t="s">
        <v>3490</v>
      </c>
      <c r="DHX1782" t="s">
        <v>3490</v>
      </c>
      <c r="DHY1782" t="s">
        <v>3490</v>
      </c>
      <c r="DHZ1782" t="s">
        <v>3490</v>
      </c>
      <c r="DIA1782" t="s">
        <v>3490</v>
      </c>
      <c r="DIB1782" t="s">
        <v>3490</v>
      </c>
      <c r="DIC1782" t="s">
        <v>3490</v>
      </c>
      <c r="DID1782" t="s">
        <v>3490</v>
      </c>
      <c r="DIE1782" t="s">
        <v>3490</v>
      </c>
      <c r="DIF1782" t="s">
        <v>3490</v>
      </c>
      <c r="DIG1782" t="s">
        <v>3490</v>
      </c>
      <c r="DIH1782" t="s">
        <v>3490</v>
      </c>
      <c r="DII1782" t="s">
        <v>3490</v>
      </c>
      <c r="DIJ1782" t="s">
        <v>3490</v>
      </c>
      <c r="DIK1782" t="s">
        <v>3490</v>
      </c>
      <c r="DIL1782" t="s">
        <v>3490</v>
      </c>
      <c r="DIM1782" t="s">
        <v>3490</v>
      </c>
      <c r="DIN1782" t="s">
        <v>3490</v>
      </c>
      <c r="DIO1782" t="s">
        <v>3490</v>
      </c>
      <c r="DIP1782" t="s">
        <v>3490</v>
      </c>
      <c r="DIQ1782" t="s">
        <v>3490</v>
      </c>
      <c r="DIR1782" t="s">
        <v>3490</v>
      </c>
      <c r="DIS1782" t="s">
        <v>3490</v>
      </c>
      <c r="DIT1782" t="s">
        <v>3490</v>
      </c>
      <c r="DIU1782" t="s">
        <v>3490</v>
      </c>
      <c r="DIV1782" t="s">
        <v>3490</v>
      </c>
      <c r="DIW1782" t="s">
        <v>3490</v>
      </c>
      <c r="DIX1782" t="s">
        <v>3490</v>
      </c>
      <c r="DIY1782" t="s">
        <v>3490</v>
      </c>
      <c r="DIZ1782" t="s">
        <v>3490</v>
      </c>
      <c r="DJA1782" t="s">
        <v>3490</v>
      </c>
      <c r="DJB1782" t="s">
        <v>3490</v>
      </c>
      <c r="DJC1782" t="s">
        <v>3490</v>
      </c>
      <c r="DJD1782" t="s">
        <v>3490</v>
      </c>
      <c r="DJE1782" t="s">
        <v>3490</v>
      </c>
      <c r="DJF1782" t="s">
        <v>3490</v>
      </c>
      <c r="DJG1782" t="s">
        <v>3490</v>
      </c>
      <c r="DJH1782" t="s">
        <v>3490</v>
      </c>
      <c r="DJI1782" t="s">
        <v>3490</v>
      </c>
      <c r="DJJ1782" t="s">
        <v>3490</v>
      </c>
      <c r="DJK1782" t="s">
        <v>3490</v>
      </c>
      <c r="DJL1782" t="s">
        <v>3490</v>
      </c>
      <c r="DJM1782" t="s">
        <v>3490</v>
      </c>
      <c r="DJN1782" t="s">
        <v>3490</v>
      </c>
      <c r="DJO1782" t="s">
        <v>3490</v>
      </c>
      <c r="DJP1782" t="s">
        <v>3490</v>
      </c>
      <c r="DJQ1782" t="s">
        <v>3490</v>
      </c>
      <c r="DJR1782" t="s">
        <v>3490</v>
      </c>
      <c r="DJS1782" t="s">
        <v>3490</v>
      </c>
      <c r="DJT1782" t="s">
        <v>3490</v>
      </c>
      <c r="DJU1782" t="s">
        <v>3490</v>
      </c>
      <c r="DJV1782" t="s">
        <v>3490</v>
      </c>
      <c r="DJW1782" t="s">
        <v>3490</v>
      </c>
      <c r="DJX1782" t="s">
        <v>3490</v>
      </c>
      <c r="DJY1782" t="s">
        <v>3490</v>
      </c>
      <c r="DJZ1782" t="s">
        <v>3490</v>
      </c>
      <c r="DKA1782" t="s">
        <v>3490</v>
      </c>
      <c r="DKB1782" t="s">
        <v>3490</v>
      </c>
      <c r="DKC1782" t="s">
        <v>3490</v>
      </c>
      <c r="DKD1782" t="s">
        <v>3490</v>
      </c>
      <c r="DKE1782" t="s">
        <v>3490</v>
      </c>
      <c r="DKF1782" t="s">
        <v>3490</v>
      </c>
      <c r="DKG1782" t="s">
        <v>3490</v>
      </c>
      <c r="DKH1782" t="s">
        <v>3490</v>
      </c>
      <c r="DKI1782" t="s">
        <v>3490</v>
      </c>
      <c r="DKJ1782" t="s">
        <v>3490</v>
      </c>
      <c r="DKK1782" t="s">
        <v>3490</v>
      </c>
      <c r="DKL1782" t="s">
        <v>3490</v>
      </c>
      <c r="DKM1782" t="s">
        <v>3490</v>
      </c>
      <c r="DKN1782" t="s">
        <v>3490</v>
      </c>
      <c r="DKO1782" t="s">
        <v>3490</v>
      </c>
      <c r="DKP1782" t="s">
        <v>3490</v>
      </c>
      <c r="DKQ1782" t="s">
        <v>3490</v>
      </c>
      <c r="DKR1782" t="s">
        <v>3490</v>
      </c>
      <c r="DKS1782" t="s">
        <v>3490</v>
      </c>
      <c r="DKT1782" t="s">
        <v>3490</v>
      </c>
      <c r="DKU1782" t="s">
        <v>3490</v>
      </c>
      <c r="DKV1782" t="s">
        <v>3490</v>
      </c>
      <c r="DKW1782" t="s">
        <v>3490</v>
      </c>
      <c r="DKX1782" t="s">
        <v>3490</v>
      </c>
      <c r="DKY1782" t="s">
        <v>3490</v>
      </c>
      <c r="DKZ1782" t="s">
        <v>3490</v>
      </c>
      <c r="DLA1782" t="s">
        <v>3490</v>
      </c>
      <c r="DLB1782" t="s">
        <v>3490</v>
      </c>
      <c r="DLC1782" t="s">
        <v>3490</v>
      </c>
      <c r="DLD1782" t="s">
        <v>3490</v>
      </c>
      <c r="DLE1782" t="s">
        <v>3490</v>
      </c>
      <c r="DLF1782" t="s">
        <v>3490</v>
      </c>
      <c r="DLG1782" t="s">
        <v>3490</v>
      </c>
      <c r="DLH1782" t="s">
        <v>3490</v>
      </c>
      <c r="DLI1782" t="s">
        <v>3490</v>
      </c>
      <c r="DLJ1782" t="s">
        <v>3490</v>
      </c>
      <c r="DLK1782" t="s">
        <v>3490</v>
      </c>
      <c r="DLL1782" t="s">
        <v>3490</v>
      </c>
      <c r="DLM1782" t="s">
        <v>3490</v>
      </c>
      <c r="DLN1782" t="s">
        <v>3490</v>
      </c>
      <c r="DLO1782" t="s">
        <v>3490</v>
      </c>
      <c r="DLP1782" t="s">
        <v>3490</v>
      </c>
      <c r="DLQ1782" t="s">
        <v>3490</v>
      </c>
      <c r="DLR1782" t="s">
        <v>3490</v>
      </c>
      <c r="DLS1782" t="s">
        <v>3490</v>
      </c>
      <c r="DLT1782" t="s">
        <v>3490</v>
      </c>
      <c r="DLU1782" t="s">
        <v>3490</v>
      </c>
      <c r="DLV1782" t="s">
        <v>3490</v>
      </c>
      <c r="DLW1782" t="s">
        <v>3490</v>
      </c>
      <c r="DLX1782" t="s">
        <v>3490</v>
      </c>
      <c r="DLY1782" t="s">
        <v>3490</v>
      </c>
      <c r="DLZ1782" t="s">
        <v>3490</v>
      </c>
      <c r="DMA1782" t="s">
        <v>3490</v>
      </c>
      <c r="DMB1782" t="s">
        <v>3490</v>
      </c>
      <c r="DMC1782" t="s">
        <v>3490</v>
      </c>
      <c r="DMD1782" t="s">
        <v>3490</v>
      </c>
      <c r="DME1782" t="s">
        <v>3490</v>
      </c>
      <c r="DMF1782" t="s">
        <v>3490</v>
      </c>
      <c r="DMG1782" t="s">
        <v>3490</v>
      </c>
      <c r="DMH1782" t="s">
        <v>3490</v>
      </c>
      <c r="DMI1782" t="s">
        <v>3490</v>
      </c>
      <c r="DMJ1782" t="s">
        <v>3490</v>
      </c>
      <c r="DMK1782" t="s">
        <v>3490</v>
      </c>
      <c r="DML1782" t="s">
        <v>3490</v>
      </c>
      <c r="DMM1782" t="s">
        <v>3490</v>
      </c>
      <c r="DMN1782" t="s">
        <v>3490</v>
      </c>
      <c r="DMO1782" t="s">
        <v>3490</v>
      </c>
      <c r="DMP1782" t="s">
        <v>3490</v>
      </c>
      <c r="DMQ1782" t="s">
        <v>3490</v>
      </c>
      <c r="DMR1782" t="s">
        <v>3490</v>
      </c>
      <c r="DMS1782" t="s">
        <v>3490</v>
      </c>
      <c r="DMT1782" t="s">
        <v>3490</v>
      </c>
      <c r="DMU1782" t="s">
        <v>3490</v>
      </c>
      <c r="DMV1782" t="s">
        <v>3490</v>
      </c>
      <c r="DMW1782" t="s">
        <v>3490</v>
      </c>
      <c r="DMX1782" t="s">
        <v>3490</v>
      </c>
      <c r="DMY1782" t="s">
        <v>3490</v>
      </c>
      <c r="DMZ1782" t="s">
        <v>3490</v>
      </c>
      <c r="DNA1782" t="s">
        <v>3490</v>
      </c>
      <c r="DNB1782" t="s">
        <v>3490</v>
      </c>
      <c r="DNC1782" t="s">
        <v>3490</v>
      </c>
      <c r="DND1782" t="s">
        <v>3490</v>
      </c>
      <c r="DNE1782" t="s">
        <v>3490</v>
      </c>
      <c r="DNF1782" t="s">
        <v>3490</v>
      </c>
      <c r="DNG1782" t="s">
        <v>3490</v>
      </c>
      <c r="DNH1782" t="s">
        <v>3490</v>
      </c>
      <c r="DNI1782" t="s">
        <v>3490</v>
      </c>
      <c r="DNJ1782" t="s">
        <v>3490</v>
      </c>
      <c r="DNK1782" t="s">
        <v>3490</v>
      </c>
      <c r="DNL1782" t="s">
        <v>3490</v>
      </c>
      <c r="DNM1782" t="s">
        <v>3490</v>
      </c>
      <c r="DNN1782" t="s">
        <v>3490</v>
      </c>
      <c r="DNO1782" t="s">
        <v>3490</v>
      </c>
      <c r="DNP1782" t="s">
        <v>3490</v>
      </c>
      <c r="DNQ1782" t="s">
        <v>3490</v>
      </c>
      <c r="DNR1782" t="s">
        <v>3490</v>
      </c>
      <c r="DNS1782" t="s">
        <v>3490</v>
      </c>
      <c r="DNT1782" t="s">
        <v>3490</v>
      </c>
      <c r="DNU1782" t="s">
        <v>3490</v>
      </c>
      <c r="DNV1782" t="s">
        <v>3490</v>
      </c>
      <c r="DNW1782" t="s">
        <v>3490</v>
      </c>
      <c r="DNX1782" t="s">
        <v>3490</v>
      </c>
      <c r="DNY1782" t="s">
        <v>3490</v>
      </c>
      <c r="DNZ1782" t="s">
        <v>3490</v>
      </c>
      <c r="DOA1782" t="s">
        <v>3490</v>
      </c>
      <c r="DOB1782" t="s">
        <v>3490</v>
      </c>
      <c r="DOC1782" t="s">
        <v>3490</v>
      </c>
      <c r="DOD1782" t="s">
        <v>3490</v>
      </c>
      <c r="DOE1782" t="s">
        <v>3490</v>
      </c>
      <c r="DOF1782" t="s">
        <v>3490</v>
      </c>
      <c r="DOG1782" t="s">
        <v>3490</v>
      </c>
      <c r="DOH1782" t="s">
        <v>3490</v>
      </c>
      <c r="DOI1782" t="s">
        <v>3490</v>
      </c>
      <c r="DOJ1782" t="s">
        <v>3490</v>
      </c>
      <c r="DOK1782" t="s">
        <v>3490</v>
      </c>
      <c r="DOL1782" t="s">
        <v>3490</v>
      </c>
      <c r="DOM1782" t="s">
        <v>3490</v>
      </c>
      <c r="DON1782" t="s">
        <v>3490</v>
      </c>
      <c r="DOO1782" t="s">
        <v>3490</v>
      </c>
      <c r="DOP1782" t="s">
        <v>3490</v>
      </c>
      <c r="DOQ1782" t="s">
        <v>3490</v>
      </c>
      <c r="DOR1782" t="s">
        <v>3490</v>
      </c>
      <c r="DOS1782" t="s">
        <v>3490</v>
      </c>
      <c r="DOT1782" t="s">
        <v>3490</v>
      </c>
      <c r="DOU1782" t="s">
        <v>3490</v>
      </c>
      <c r="DOV1782" t="s">
        <v>3490</v>
      </c>
      <c r="DOW1782" t="s">
        <v>3490</v>
      </c>
      <c r="DOX1782" t="s">
        <v>3490</v>
      </c>
      <c r="DOY1782" t="s">
        <v>3490</v>
      </c>
      <c r="DOZ1782" t="s">
        <v>3490</v>
      </c>
      <c r="DPA1782" t="s">
        <v>3490</v>
      </c>
      <c r="DPB1782" t="s">
        <v>3490</v>
      </c>
      <c r="DPC1782" t="s">
        <v>3490</v>
      </c>
      <c r="DPD1782" t="s">
        <v>3490</v>
      </c>
      <c r="DPE1782" t="s">
        <v>3490</v>
      </c>
      <c r="DPF1782" t="s">
        <v>3490</v>
      </c>
      <c r="DPG1782" t="s">
        <v>3490</v>
      </c>
      <c r="DPH1782" t="s">
        <v>3490</v>
      </c>
      <c r="DPI1782" t="s">
        <v>3490</v>
      </c>
      <c r="DPJ1782" t="s">
        <v>3490</v>
      </c>
      <c r="DPK1782" t="s">
        <v>3490</v>
      </c>
      <c r="DPL1782" t="s">
        <v>3490</v>
      </c>
      <c r="DPM1782" t="s">
        <v>3490</v>
      </c>
      <c r="DPN1782" t="s">
        <v>3490</v>
      </c>
      <c r="DPO1782" t="s">
        <v>3490</v>
      </c>
      <c r="DPP1782" t="s">
        <v>3490</v>
      </c>
      <c r="DPQ1782" t="s">
        <v>3490</v>
      </c>
      <c r="DPR1782" t="s">
        <v>3490</v>
      </c>
      <c r="DPS1782" t="s">
        <v>3490</v>
      </c>
      <c r="DPT1782" t="s">
        <v>3490</v>
      </c>
      <c r="DPU1782" t="s">
        <v>3490</v>
      </c>
      <c r="DPV1782" t="s">
        <v>3490</v>
      </c>
      <c r="DPW1782" t="s">
        <v>3490</v>
      </c>
      <c r="DPX1782" t="s">
        <v>3490</v>
      </c>
      <c r="DPY1782" t="s">
        <v>3490</v>
      </c>
      <c r="DPZ1782" t="s">
        <v>3490</v>
      </c>
      <c r="DQA1782" t="s">
        <v>3490</v>
      </c>
      <c r="DQB1782" t="s">
        <v>3490</v>
      </c>
      <c r="DQC1782" t="s">
        <v>3490</v>
      </c>
      <c r="DQD1782" t="s">
        <v>3490</v>
      </c>
      <c r="DQE1782" t="s">
        <v>3490</v>
      </c>
      <c r="DQF1782" t="s">
        <v>3490</v>
      </c>
      <c r="DQG1782" t="s">
        <v>3490</v>
      </c>
      <c r="DQH1782" t="s">
        <v>3490</v>
      </c>
      <c r="DQI1782" t="s">
        <v>3490</v>
      </c>
      <c r="DQJ1782" t="s">
        <v>3490</v>
      </c>
      <c r="DQK1782" t="s">
        <v>3490</v>
      </c>
      <c r="DQL1782" t="s">
        <v>3490</v>
      </c>
      <c r="DQM1782" t="s">
        <v>3490</v>
      </c>
      <c r="DQN1782" t="s">
        <v>3490</v>
      </c>
      <c r="DQO1782" t="s">
        <v>3490</v>
      </c>
      <c r="DQP1782" t="s">
        <v>3490</v>
      </c>
      <c r="DQQ1782" t="s">
        <v>3490</v>
      </c>
      <c r="DQR1782" t="s">
        <v>3490</v>
      </c>
      <c r="DQS1782" t="s">
        <v>3490</v>
      </c>
      <c r="DQT1782" t="s">
        <v>3490</v>
      </c>
      <c r="DQU1782" t="s">
        <v>3490</v>
      </c>
      <c r="DQV1782" t="s">
        <v>3490</v>
      </c>
      <c r="DQW1782" t="s">
        <v>3490</v>
      </c>
      <c r="DQX1782" t="s">
        <v>3490</v>
      </c>
      <c r="DQY1782" t="s">
        <v>3490</v>
      </c>
      <c r="DQZ1782" t="s">
        <v>3490</v>
      </c>
      <c r="DRA1782" t="s">
        <v>3490</v>
      </c>
      <c r="DRB1782" t="s">
        <v>3490</v>
      </c>
      <c r="DRC1782" t="s">
        <v>3490</v>
      </c>
      <c r="DRD1782" t="s">
        <v>3490</v>
      </c>
      <c r="DRE1782" t="s">
        <v>3490</v>
      </c>
      <c r="DRF1782" t="s">
        <v>3490</v>
      </c>
      <c r="DRG1782" t="s">
        <v>3490</v>
      </c>
      <c r="DRH1782" t="s">
        <v>3490</v>
      </c>
      <c r="DRI1782" t="s">
        <v>3490</v>
      </c>
      <c r="DRJ1782" t="s">
        <v>3490</v>
      </c>
      <c r="DRK1782" t="s">
        <v>3490</v>
      </c>
      <c r="DRL1782" t="s">
        <v>3490</v>
      </c>
      <c r="DRM1782" t="s">
        <v>3490</v>
      </c>
      <c r="DRN1782" t="s">
        <v>3490</v>
      </c>
      <c r="DRO1782" t="s">
        <v>3490</v>
      </c>
      <c r="DRP1782" t="s">
        <v>3490</v>
      </c>
      <c r="DRQ1782" t="s">
        <v>3490</v>
      </c>
      <c r="DRR1782" t="s">
        <v>3490</v>
      </c>
      <c r="DRS1782" t="s">
        <v>3490</v>
      </c>
      <c r="DRT1782" t="s">
        <v>3490</v>
      </c>
      <c r="DRU1782" t="s">
        <v>3490</v>
      </c>
      <c r="DRV1782" t="s">
        <v>3490</v>
      </c>
      <c r="DRW1782" t="s">
        <v>3490</v>
      </c>
      <c r="DRX1782" t="s">
        <v>3490</v>
      </c>
      <c r="DRY1782" t="s">
        <v>3490</v>
      </c>
      <c r="DRZ1782" t="s">
        <v>3490</v>
      </c>
      <c r="DSA1782" t="s">
        <v>3490</v>
      </c>
      <c r="DSB1782" t="s">
        <v>3490</v>
      </c>
      <c r="DSC1782" t="s">
        <v>3490</v>
      </c>
      <c r="DSD1782" t="s">
        <v>3490</v>
      </c>
      <c r="DSE1782" t="s">
        <v>3490</v>
      </c>
      <c r="DSF1782" t="s">
        <v>3490</v>
      </c>
      <c r="DSG1782" t="s">
        <v>3490</v>
      </c>
      <c r="DSH1782" t="s">
        <v>3490</v>
      </c>
      <c r="DSI1782" t="s">
        <v>3490</v>
      </c>
      <c r="DSJ1782" t="s">
        <v>3490</v>
      </c>
      <c r="DSK1782" t="s">
        <v>3490</v>
      </c>
      <c r="DSL1782" t="s">
        <v>3490</v>
      </c>
      <c r="DSM1782" t="s">
        <v>3490</v>
      </c>
      <c r="DSN1782" t="s">
        <v>3490</v>
      </c>
      <c r="DSO1782" t="s">
        <v>3490</v>
      </c>
      <c r="DSP1782" t="s">
        <v>3490</v>
      </c>
      <c r="DSQ1782" t="s">
        <v>3490</v>
      </c>
      <c r="DSR1782" t="s">
        <v>3490</v>
      </c>
      <c r="DSS1782" t="s">
        <v>3490</v>
      </c>
      <c r="DST1782" t="s">
        <v>3490</v>
      </c>
      <c r="DSU1782" t="s">
        <v>3490</v>
      </c>
      <c r="DSV1782" t="s">
        <v>3490</v>
      </c>
      <c r="DSW1782" t="s">
        <v>3490</v>
      </c>
      <c r="DSX1782" t="s">
        <v>3490</v>
      </c>
      <c r="DSY1782" t="s">
        <v>3490</v>
      </c>
      <c r="DSZ1782" t="s">
        <v>3490</v>
      </c>
      <c r="DTA1782" t="s">
        <v>3490</v>
      </c>
      <c r="DTB1782" t="s">
        <v>3490</v>
      </c>
      <c r="DTC1782" t="s">
        <v>3490</v>
      </c>
      <c r="DTD1782" t="s">
        <v>3490</v>
      </c>
      <c r="DTE1782" t="s">
        <v>3490</v>
      </c>
      <c r="DTF1782" t="s">
        <v>3490</v>
      </c>
      <c r="DTG1782" t="s">
        <v>3490</v>
      </c>
      <c r="DTH1782" t="s">
        <v>3490</v>
      </c>
      <c r="DTI1782" t="s">
        <v>3490</v>
      </c>
      <c r="DTJ1782" t="s">
        <v>3490</v>
      </c>
      <c r="DTK1782" t="s">
        <v>3490</v>
      </c>
      <c r="DTL1782" t="s">
        <v>3490</v>
      </c>
      <c r="DTM1782" t="s">
        <v>3490</v>
      </c>
      <c r="DTN1782" t="s">
        <v>3490</v>
      </c>
      <c r="DTO1782" t="s">
        <v>3490</v>
      </c>
      <c r="DTP1782" t="s">
        <v>3490</v>
      </c>
      <c r="DTQ1782" t="s">
        <v>3490</v>
      </c>
      <c r="DTR1782" t="s">
        <v>3490</v>
      </c>
      <c r="DTS1782" t="s">
        <v>3490</v>
      </c>
      <c r="DTT1782" t="s">
        <v>3490</v>
      </c>
      <c r="DTU1782" t="s">
        <v>3490</v>
      </c>
      <c r="DTV1782" t="s">
        <v>3490</v>
      </c>
      <c r="DTW1782" t="s">
        <v>3490</v>
      </c>
      <c r="DTX1782" t="s">
        <v>3490</v>
      </c>
      <c r="DTY1782" t="s">
        <v>3490</v>
      </c>
      <c r="DTZ1782" t="s">
        <v>3490</v>
      </c>
      <c r="DUA1782" t="s">
        <v>3490</v>
      </c>
      <c r="DUB1782" t="s">
        <v>3490</v>
      </c>
      <c r="DUC1782" t="s">
        <v>3490</v>
      </c>
      <c r="DUD1782" t="s">
        <v>3490</v>
      </c>
      <c r="DUE1782" t="s">
        <v>3490</v>
      </c>
      <c r="DUF1782" t="s">
        <v>3490</v>
      </c>
      <c r="DUG1782" t="s">
        <v>3490</v>
      </c>
      <c r="DUH1782" t="s">
        <v>3490</v>
      </c>
      <c r="DUI1782" t="s">
        <v>3490</v>
      </c>
      <c r="DUJ1782" t="s">
        <v>3490</v>
      </c>
      <c r="DUK1782" t="s">
        <v>3490</v>
      </c>
      <c r="DUL1782" t="s">
        <v>3490</v>
      </c>
      <c r="DUM1782" t="s">
        <v>3490</v>
      </c>
      <c r="DUN1782" t="s">
        <v>3490</v>
      </c>
      <c r="DUO1782" t="s">
        <v>3490</v>
      </c>
      <c r="DUP1782" t="s">
        <v>3490</v>
      </c>
      <c r="DUQ1782" t="s">
        <v>3490</v>
      </c>
      <c r="DUR1782" t="s">
        <v>3490</v>
      </c>
      <c r="DUS1782" t="s">
        <v>3490</v>
      </c>
      <c r="DUT1782" t="s">
        <v>3490</v>
      </c>
      <c r="DUU1782" t="s">
        <v>3490</v>
      </c>
      <c r="DUV1782" t="s">
        <v>3490</v>
      </c>
      <c r="DUW1782" t="s">
        <v>3490</v>
      </c>
      <c r="DUX1782" t="s">
        <v>3490</v>
      </c>
      <c r="DUY1782" t="s">
        <v>3490</v>
      </c>
      <c r="DUZ1782" t="s">
        <v>3490</v>
      </c>
      <c r="DVA1782" t="s">
        <v>3490</v>
      </c>
      <c r="DVB1782" t="s">
        <v>3490</v>
      </c>
      <c r="DVC1782" t="s">
        <v>3490</v>
      </c>
      <c r="DVD1782" t="s">
        <v>3490</v>
      </c>
      <c r="DVE1782" t="s">
        <v>3490</v>
      </c>
      <c r="DVF1782" t="s">
        <v>3490</v>
      </c>
      <c r="DVG1782" t="s">
        <v>3490</v>
      </c>
      <c r="DVH1782" t="s">
        <v>3490</v>
      </c>
      <c r="DVI1782" t="s">
        <v>3490</v>
      </c>
      <c r="DVJ1782" t="s">
        <v>3490</v>
      </c>
      <c r="DVK1782" t="s">
        <v>3490</v>
      </c>
      <c r="DVL1782" t="s">
        <v>3490</v>
      </c>
      <c r="DVM1782" t="s">
        <v>3490</v>
      </c>
      <c r="DVN1782" t="s">
        <v>3490</v>
      </c>
      <c r="DVO1782" t="s">
        <v>3490</v>
      </c>
      <c r="DVP1782" t="s">
        <v>3490</v>
      </c>
      <c r="DVQ1782" t="s">
        <v>3490</v>
      </c>
      <c r="DVR1782" t="s">
        <v>3490</v>
      </c>
      <c r="DVS1782" t="s">
        <v>3490</v>
      </c>
      <c r="DVT1782" t="s">
        <v>3490</v>
      </c>
      <c r="DVU1782" t="s">
        <v>3490</v>
      </c>
      <c r="DVV1782" t="s">
        <v>3490</v>
      </c>
      <c r="DVW1782" t="s">
        <v>3490</v>
      </c>
      <c r="DVX1782" t="s">
        <v>3490</v>
      </c>
      <c r="DVY1782" t="s">
        <v>3490</v>
      </c>
      <c r="DVZ1782" t="s">
        <v>3490</v>
      </c>
      <c r="DWA1782" t="s">
        <v>3490</v>
      </c>
      <c r="DWB1782" t="s">
        <v>3490</v>
      </c>
      <c r="DWC1782" t="s">
        <v>3490</v>
      </c>
      <c r="DWD1782" t="s">
        <v>3490</v>
      </c>
      <c r="DWE1782" t="s">
        <v>3490</v>
      </c>
      <c r="DWF1782" t="s">
        <v>3490</v>
      </c>
      <c r="DWG1782" t="s">
        <v>3490</v>
      </c>
      <c r="DWH1782" t="s">
        <v>3490</v>
      </c>
      <c r="DWI1782" t="s">
        <v>3490</v>
      </c>
      <c r="DWJ1782" t="s">
        <v>3490</v>
      </c>
      <c r="DWK1782" t="s">
        <v>3490</v>
      </c>
      <c r="DWL1782" t="s">
        <v>3490</v>
      </c>
      <c r="DWM1782" t="s">
        <v>3490</v>
      </c>
      <c r="DWN1782" t="s">
        <v>3490</v>
      </c>
      <c r="DWO1782" t="s">
        <v>3490</v>
      </c>
      <c r="DWP1782" t="s">
        <v>3490</v>
      </c>
      <c r="DWQ1782" t="s">
        <v>3490</v>
      </c>
      <c r="DWR1782" t="s">
        <v>3490</v>
      </c>
      <c r="DWS1782" t="s">
        <v>3490</v>
      </c>
      <c r="DWT1782" t="s">
        <v>3490</v>
      </c>
      <c r="DWU1782" t="s">
        <v>3490</v>
      </c>
      <c r="DWV1782" t="s">
        <v>3490</v>
      </c>
      <c r="DWW1782" t="s">
        <v>3490</v>
      </c>
      <c r="DWX1782" t="s">
        <v>3490</v>
      </c>
      <c r="DWY1782" t="s">
        <v>3490</v>
      </c>
      <c r="DWZ1782" t="s">
        <v>3490</v>
      </c>
      <c r="DXA1782" t="s">
        <v>3490</v>
      </c>
      <c r="DXB1782" t="s">
        <v>3490</v>
      </c>
      <c r="DXC1782" t="s">
        <v>3490</v>
      </c>
      <c r="DXD1782" t="s">
        <v>3490</v>
      </c>
      <c r="DXE1782" t="s">
        <v>3490</v>
      </c>
      <c r="DXF1782" t="s">
        <v>3490</v>
      </c>
      <c r="DXG1782" t="s">
        <v>3490</v>
      </c>
      <c r="DXH1782" t="s">
        <v>3490</v>
      </c>
      <c r="DXI1782" t="s">
        <v>3490</v>
      </c>
      <c r="DXJ1782" t="s">
        <v>3490</v>
      </c>
      <c r="DXK1782" t="s">
        <v>3490</v>
      </c>
      <c r="DXL1782" t="s">
        <v>3490</v>
      </c>
      <c r="DXM1782" t="s">
        <v>3490</v>
      </c>
      <c r="DXN1782" t="s">
        <v>3490</v>
      </c>
      <c r="DXO1782" t="s">
        <v>3490</v>
      </c>
      <c r="DXP1782" t="s">
        <v>3490</v>
      </c>
      <c r="DXQ1782" t="s">
        <v>3490</v>
      </c>
      <c r="DXR1782" t="s">
        <v>3490</v>
      </c>
      <c r="DXS1782" t="s">
        <v>3490</v>
      </c>
      <c r="DXT1782" t="s">
        <v>3490</v>
      </c>
      <c r="DXU1782" t="s">
        <v>3490</v>
      </c>
      <c r="DXV1782" t="s">
        <v>3490</v>
      </c>
      <c r="DXW1782" t="s">
        <v>3490</v>
      </c>
      <c r="DXX1782" t="s">
        <v>3490</v>
      </c>
      <c r="DXY1782" t="s">
        <v>3490</v>
      </c>
      <c r="DXZ1782" t="s">
        <v>3490</v>
      </c>
      <c r="DYA1782" t="s">
        <v>3490</v>
      </c>
      <c r="DYB1782" t="s">
        <v>3490</v>
      </c>
      <c r="DYC1782" t="s">
        <v>3490</v>
      </c>
      <c r="DYD1782" t="s">
        <v>3490</v>
      </c>
      <c r="DYE1782" t="s">
        <v>3490</v>
      </c>
      <c r="DYF1782" t="s">
        <v>3490</v>
      </c>
      <c r="DYG1782" t="s">
        <v>3490</v>
      </c>
      <c r="DYH1782" t="s">
        <v>3490</v>
      </c>
      <c r="DYI1782" t="s">
        <v>3490</v>
      </c>
      <c r="DYJ1782" t="s">
        <v>3490</v>
      </c>
      <c r="DYK1782" t="s">
        <v>3490</v>
      </c>
      <c r="DYL1782" t="s">
        <v>3490</v>
      </c>
      <c r="DYM1782" t="s">
        <v>3490</v>
      </c>
      <c r="DYN1782" t="s">
        <v>3490</v>
      </c>
      <c r="DYO1782" t="s">
        <v>3490</v>
      </c>
      <c r="DYP1782" t="s">
        <v>3490</v>
      </c>
      <c r="DYQ1782" t="s">
        <v>3490</v>
      </c>
      <c r="DYR1782" t="s">
        <v>3490</v>
      </c>
      <c r="DYS1782" t="s">
        <v>3490</v>
      </c>
      <c r="DYT1782" t="s">
        <v>3490</v>
      </c>
      <c r="DYU1782" t="s">
        <v>3490</v>
      </c>
      <c r="DYV1782" t="s">
        <v>3490</v>
      </c>
      <c r="DYW1782" t="s">
        <v>3490</v>
      </c>
      <c r="DYX1782" t="s">
        <v>3490</v>
      </c>
      <c r="DYY1782" t="s">
        <v>3490</v>
      </c>
      <c r="DYZ1782" t="s">
        <v>3490</v>
      </c>
      <c r="DZA1782" t="s">
        <v>3490</v>
      </c>
      <c r="DZB1782" t="s">
        <v>3490</v>
      </c>
      <c r="DZC1782" t="s">
        <v>3490</v>
      </c>
      <c r="DZD1782" t="s">
        <v>3490</v>
      </c>
      <c r="DZE1782" t="s">
        <v>3490</v>
      </c>
      <c r="DZF1782" t="s">
        <v>3490</v>
      </c>
      <c r="DZG1782" t="s">
        <v>3490</v>
      </c>
      <c r="DZH1782" t="s">
        <v>3490</v>
      </c>
      <c r="DZI1782" t="s">
        <v>3490</v>
      </c>
      <c r="DZJ1782" t="s">
        <v>3490</v>
      </c>
      <c r="DZK1782" t="s">
        <v>3490</v>
      </c>
      <c r="DZL1782" t="s">
        <v>3490</v>
      </c>
      <c r="DZM1782" t="s">
        <v>3490</v>
      </c>
      <c r="DZN1782" t="s">
        <v>3490</v>
      </c>
      <c r="DZO1782" t="s">
        <v>3490</v>
      </c>
      <c r="DZP1782" t="s">
        <v>3490</v>
      </c>
      <c r="DZQ1782" t="s">
        <v>3490</v>
      </c>
      <c r="DZR1782" t="s">
        <v>3490</v>
      </c>
      <c r="DZS1782" t="s">
        <v>3490</v>
      </c>
      <c r="DZT1782" t="s">
        <v>3490</v>
      </c>
      <c r="DZU1782" t="s">
        <v>3490</v>
      </c>
      <c r="DZV1782" t="s">
        <v>3490</v>
      </c>
      <c r="DZW1782" t="s">
        <v>3490</v>
      </c>
      <c r="DZX1782" t="s">
        <v>3490</v>
      </c>
      <c r="DZY1782" t="s">
        <v>3490</v>
      </c>
      <c r="DZZ1782" t="s">
        <v>3490</v>
      </c>
      <c r="EAA1782" t="s">
        <v>3490</v>
      </c>
      <c r="EAB1782" t="s">
        <v>3490</v>
      </c>
      <c r="EAC1782" t="s">
        <v>3490</v>
      </c>
      <c r="EAD1782" t="s">
        <v>3490</v>
      </c>
      <c r="EAE1782" t="s">
        <v>3490</v>
      </c>
      <c r="EAF1782" t="s">
        <v>3490</v>
      </c>
      <c r="EAG1782" t="s">
        <v>3490</v>
      </c>
      <c r="EAH1782" t="s">
        <v>3490</v>
      </c>
      <c r="EAI1782" t="s">
        <v>3490</v>
      </c>
      <c r="EAJ1782" t="s">
        <v>3490</v>
      </c>
      <c r="EAK1782" t="s">
        <v>3490</v>
      </c>
      <c r="EAL1782" t="s">
        <v>3490</v>
      </c>
      <c r="EAM1782" t="s">
        <v>3490</v>
      </c>
      <c r="EAN1782" t="s">
        <v>3490</v>
      </c>
      <c r="EAO1782" t="s">
        <v>3490</v>
      </c>
      <c r="EAP1782" t="s">
        <v>3490</v>
      </c>
      <c r="EAQ1782" t="s">
        <v>3490</v>
      </c>
      <c r="EAR1782" t="s">
        <v>3490</v>
      </c>
      <c r="EAS1782" t="s">
        <v>3490</v>
      </c>
      <c r="EAT1782" t="s">
        <v>3490</v>
      </c>
      <c r="EAU1782" t="s">
        <v>3490</v>
      </c>
      <c r="EAV1782" t="s">
        <v>3490</v>
      </c>
      <c r="EAW1782" t="s">
        <v>3490</v>
      </c>
      <c r="EAX1782" t="s">
        <v>3490</v>
      </c>
      <c r="EAY1782" t="s">
        <v>3490</v>
      </c>
      <c r="EAZ1782" t="s">
        <v>3490</v>
      </c>
      <c r="EBA1782" t="s">
        <v>3490</v>
      </c>
      <c r="EBB1782" t="s">
        <v>3490</v>
      </c>
      <c r="EBC1782" t="s">
        <v>3490</v>
      </c>
      <c r="EBD1782" t="s">
        <v>3490</v>
      </c>
      <c r="EBE1782" t="s">
        <v>3490</v>
      </c>
      <c r="EBF1782" t="s">
        <v>3490</v>
      </c>
      <c r="EBG1782" t="s">
        <v>3490</v>
      </c>
      <c r="EBH1782" t="s">
        <v>3490</v>
      </c>
      <c r="EBI1782" t="s">
        <v>3490</v>
      </c>
      <c r="EBJ1782" t="s">
        <v>3490</v>
      </c>
      <c r="EBK1782" t="s">
        <v>3490</v>
      </c>
      <c r="EBL1782" t="s">
        <v>3490</v>
      </c>
      <c r="EBM1782" t="s">
        <v>3490</v>
      </c>
      <c r="EBN1782" t="s">
        <v>3490</v>
      </c>
      <c r="EBO1782" t="s">
        <v>3490</v>
      </c>
      <c r="EBP1782" t="s">
        <v>3490</v>
      </c>
      <c r="EBQ1782" t="s">
        <v>3490</v>
      </c>
      <c r="EBR1782" t="s">
        <v>3490</v>
      </c>
      <c r="EBS1782" t="s">
        <v>3490</v>
      </c>
      <c r="EBT1782" t="s">
        <v>3490</v>
      </c>
      <c r="EBU1782" t="s">
        <v>3490</v>
      </c>
      <c r="EBV1782" t="s">
        <v>3490</v>
      </c>
      <c r="EBW1782" t="s">
        <v>3490</v>
      </c>
      <c r="EBX1782" t="s">
        <v>3490</v>
      </c>
      <c r="EBY1782" t="s">
        <v>3490</v>
      </c>
      <c r="EBZ1782" t="s">
        <v>3490</v>
      </c>
      <c r="ECA1782" t="s">
        <v>3490</v>
      </c>
      <c r="ECB1782" t="s">
        <v>3490</v>
      </c>
      <c r="ECC1782" t="s">
        <v>3490</v>
      </c>
      <c r="ECD1782" t="s">
        <v>3490</v>
      </c>
      <c r="ECE1782" t="s">
        <v>3490</v>
      </c>
      <c r="ECF1782" t="s">
        <v>3490</v>
      </c>
      <c r="ECG1782" t="s">
        <v>3490</v>
      </c>
      <c r="ECH1782" t="s">
        <v>3490</v>
      </c>
      <c r="ECI1782" t="s">
        <v>3490</v>
      </c>
      <c r="ECJ1782" t="s">
        <v>3490</v>
      </c>
      <c r="ECK1782" t="s">
        <v>3490</v>
      </c>
      <c r="ECL1782" t="s">
        <v>3490</v>
      </c>
      <c r="ECM1782" t="s">
        <v>3490</v>
      </c>
      <c r="ECN1782" t="s">
        <v>3490</v>
      </c>
      <c r="ECO1782" t="s">
        <v>3490</v>
      </c>
      <c r="ECP1782" t="s">
        <v>3490</v>
      </c>
      <c r="ECQ1782" t="s">
        <v>3490</v>
      </c>
      <c r="ECR1782" t="s">
        <v>3490</v>
      </c>
      <c r="ECS1782" t="s">
        <v>3490</v>
      </c>
      <c r="ECT1782" t="s">
        <v>3490</v>
      </c>
      <c r="ECU1782" t="s">
        <v>3490</v>
      </c>
      <c r="ECV1782" t="s">
        <v>3490</v>
      </c>
      <c r="ECW1782" t="s">
        <v>3490</v>
      </c>
      <c r="ECX1782" t="s">
        <v>3490</v>
      </c>
      <c r="ECY1782" t="s">
        <v>3490</v>
      </c>
      <c r="ECZ1782" t="s">
        <v>3490</v>
      </c>
      <c r="EDA1782" t="s">
        <v>3490</v>
      </c>
      <c r="EDB1782" t="s">
        <v>3490</v>
      </c>
      <c r="EDC1782" t="s">
        <v>3490</v>
      </c>
      <c r="EDD1782" t="s">
        <v>3490</v>
      </c>
      <c r="EDE1782" t="s">
        <v>3490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3485-0094-492A-B818-E5BE9B6E2D8E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monday_model.lp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Ubeen Sim</dc:creator>
  <cp:lastModifiedBy>Ubeen Sim</cp:lastModifiedBy>
  <cp:lastPrinted>2026-08-06T04:37:25Z</cp:lastPrinted>
  <dcterms:created xsi:type="dcterms:W3CDTF">2026-08-06T04:27:38Z</dcterms:created>
  <dcterms:modified xsi:type="dcterms:W3CDTF">2026-08-06T04:38:55Z</dcterms:modified>
</cp:coreProperties>
</file>